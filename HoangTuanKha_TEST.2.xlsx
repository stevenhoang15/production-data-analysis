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ables/table5.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mc:AlternateContent xmlns:mc="http://schemas.openxmlformats.org/markup-compatibility/2006">
    <mc:Choice Requires="x15">
      <x15ac:absPath xmlns:x15ac="http://schemas.microsoft.com/office/spreadsheetml/2010/11/ac" url="D:\ProductionDataAnalysis\"/>
    </mc:Choice>
  </mc:AlternateContent>
  <xr:revisionPtr revIDLastSave="0" documentId="13_ncr:1_{FC357E98-870E-4330-933E-D8877C877BA3}" xr6:coauthVersionLast="47" xr6:coauthVersionMax="47" xr10:uidLastSave="{00000000-0000-0000-0000-000000000000}"/>
  <bookViews>
    <workbookView xWindow="28680" yWindow="1395" windowWidth="29040" windowHeight="15720" activeTab="4" xr2:uid="{00000000-000D-0000-FFFF-FFFF00000000}"/>
  </bookViews>
  <sheets>
    <sheet name="2. PU cánh" sheetId="12" r:id="rId1"/>
    <sheet name="3. DCTĐ" sheetId="11" r:id="rId2"/>
    <sheet name="4. DCTL" sheetId="8" r:id="rId3"/>
    <sheet name="Finish (4)" sheetId="53" state="hidden" r:id="rId4"/>
    <sheet name="Biểu đồ " sheetId="56" r:id="rId5"/>
    <sheet name="Dashboard" sheetId="54" r:id="rId6"/>
    <sheet name="Finish" sheetId="52" r:id="rId7"/>
    <sheet name="Setup" sheetId="55" state="hidden" r:id="rId8"/>
  </sheets>
  <definedNames>
    <definedName name="_xlnm._FilterDatabase" localSheetId="0" hidden="1">'2. PU cánh'!$B$3:$AX$3</definedName>
    <definedName name="_xlnm._FilterDatabase" localSheetId="1" hidden="1">'3. DCTĐ'!$A$3:$AL$131</definedName>
    <definedName name="_xlnm._FilterDatabase" localSheetId="2" hidden="1">'4. DCTL'!$B$3:$AR$274</definedName>
    <definedName name="ExternalData_6" localSheetId="6" hidden="1">Finish!$A$1:$T$308</definedName>
    <definedName name="ExternalData_7" localSheetId="3" hidden="1">'Finish (4)'!$A$1:$T$308</definedName>
    <definedName name="Slicer_Month">#N/A</definedName>
    <definedName name="Slicer_TỔ_SX">#N/A</definedName>
  </definedNames>
  <calcPr calcId="191028"/>
  <pivotCaches>
    <pivotCache cacheId="2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1" l="1"/>
  <c r="B10" i="54" a="1"/>
  <c r="B10" i="54" s="1"/>
  <c r="AW2" i="12"/>
  <c r="G2" i="12"/>
  <c r="B113" i="11"/>
  <c r="Q273" i="8"/>
  <c r="X273" i="8" s="1"/>
  <c r="Z273" i="8"/>
  <c r="Z274" i="8"/>
  <c r="Q274" i="8"/>
  <c r="X274" i="8" s="1"/>
  <c r="Q268" i="8"/>
  <c r="X268" i="8" s="1"/>
  <c r="Z268" i="8"/>
  <c r="Z267" i="8"/>
  <c r="Q267" i="8"/>
  <c r="X267" i="8" s="1"/>
  <c r="Z270" i="8"/>
  <c r="Z269" i="8"/>
  <c r="F131" i="11"/>
  <c r="J131" i="11"/>
  <c r="X269" i="8"/>
  <c r="X270" i="8"/>
  <c r="X271" i="8"/>
  <c r="H131" i="11"/>
  <c r="T130" i="11"/>
  <c r="T129" i="11"/>
  <c r="T128" i="11"/>
  <c r="T124" i="11"/>
  <c r="AF75" i="12"/>
  <c r="AL73" i="12"/>
  <c r="AL74" i="12"/>
  <c r="AL75" i="12"/>
  <c r="AF74" i="12"/>
  <c r="AA74" i="12"/>
  <c r="AE74" i="12" s="1"/>
  <c r="V74" i="12"/>
  <c r="C73" i="12"/>
  <c r="D73" i="12"/>
  <c r="C74" i="12"/>
  <c r="D74" i="12"/>
  <c r="C75" i="12"/>
  <c r="D75" i="12"/>
  <c r="Z272" i="8"/>
  <c r="Q272" i="8"/>
  <c r="X272" i="8" s="1"/>
  <c r="AJ266" i="8"/>
  <c r="AE266" i="8" s="1" a="1"/>
  <c r="AE266" i="8" s="1"/>
  <c r="AJ267" i="8"/>
  <c r="AE267" i="8" s="1" a="1"/>
  <c r="AE267" i="8" s="1"/>
  <c r="AJ268" i="8"/>
  <c r="AE268" i="8" s="1" a="1"/>
  <c r="AE268" i="8" s="1"/>
  <c r="AJ269" i="8"/>
  <c r="AJ270" i="8"/>
  <c r="AE270" i="8" s="1" a="1"/>
  <c r="AE270" i="8" s="1"/>
  <c r="AJ271" i="8"/>
  <c r="AE271" i="8" s="1" a="1"/>
  <c r="AE271" i="8" s="1"/>
  <c r="AJ272" i="8"/>
  <c r="AE272" i="8" s="1" a="1"/>
  <c r="AE272" i="8" s="1"/>
  <c r="AJ273" i="8"/>
  <c r="AD273" i="8" s="1"/>
  <c r="AJ274" i="8"/>
  <c r="AE274" i="8" s="1" a="1"/>
  <c r="AE274" i="8" s="1"/>
  <c r="AF274" i="8"/>
  <c r="AF273" i="8"/>
  <c r="AE273" i="8" a="1"/>
  <c r="AE273" i="8" s="1"/>
  <c r="AF272" i="8"/>
  <c r="AF271" i="8"/>
  <c r="AD271" i="8"/>
  <c r="AC271" i="8" a="1"/>
  <c r="AC271" i="8" s="1"/>
  <c r="AF270" i="8"/>
  <c r="AF269" i="8"/>
  <c r="AF268" i="8"/>
  <c r="AF267" i="8"/>
  <c r="Z271" i="8"/>
  <c r="Q265" i="8"/>
  <c r="X265" i="8" s="1"/>
  <c r="Z265" i="8"/>
  <c r="Z266" i="8"/>
  <c r="Q266" i="8"/>
  <c r="X266" i="8" s="1"/>
  <c r="O266" i="8"/>
  <c r="O2" i="8" s="1"/>
  <c r="Z262" i="8"/>
  <c r="Z261" i="8"/>
  <c r="Q260" i="8"/>
  <c r="X260" i="8" s="1"/>
  <c r="Z260" i="8"/>
  <c r="Z259" i="8"/>
  <c r="Q259" i="8"/>
  <c r="X259" i="8" s="1"/>
  <c r="AA73" i="12"/>
  <c r="AE73" i="12" s="1"/>
  <c r="AF73" i="12"/>
  <c r="Z264" i="8"/>
  <c r="Q264" i="8"/>
  <c r="X264" i="8" s="1"/>
  <c r="T127" i="11"/>
  <c r="H127" i="11"/>
  <c r="D127" i="11"/>
  <c r="F127" i="11"/>
  <c r="AF72" i="12"/>
  <c r="Z72" i="12"/>
  <c r="AE72" i="12" s="1"/>
  <c r="T126" i="11"/>
  <c r="H126" i="11"/>
  <c r="AU71" i="12"/>
  <c r="AU73" i="12"/>
  <c r="AP75" i="12"/>
  <c r="AJ75" i="12" s="1" a="1"/>
  <c r="AJ75" i="12" s="1"/>
  <c r="AK75" i="12" s="1" a="1"/>
  <c r="AK75" i="12" s="1"/>
  <c r="AP74" i="12"/>
  <c r="AJ74" i="12" s="1" a="1"/>
  <c r="AJ74" i="12" s="1"/>
  <c r="AK74" i="12" s="1" a="1"/>
  <c r="AK74" i="12" s="1"/>
  <c r="AP73" i="12"/>
  <c r="AJ73" i="12" s="1" a="1"/>
  <c r="AJ73" i="12" s="1"/>
  <c r="AK73" i="12" s="1" a="1"/>
  <c r="AK73" i="12" s="1"/>
  <c r="AP72" i="12"/>
  <c r="AJ72" i="12" s="1" a="1"/>
  <c r="AJ72" i="12" s="1"/>
  <c r="AK72" i="12" s="1" a="1"/>
  <c r="AK72" i="12" s="1"/>
  <c r="D126" i="11"/>
  <c r="AL72" i="12"/>
  <c r="AE75" i="12"/>
  <c r="C72" i="12"/>
  <c r="T125" i="11"/>
  <c r="Z263" i="8"/>
  <c r="Q263" i="8"/>
  <c r="X263" i="8" s="1"/>
  <c r="C267" i="8"/>
  <c r="C268" i="8"/>
  <c r="C269" i="8"/>
  <c r="C270" i="8"/>
  <c r="C271" i="8"/>
  <c r="C272" i="8"/>
  <c r="C273" i="8"/>
  <c r="C274" i="8"/>
  <c r="AJ259" i="8"/>
  <c r="AE259" i="8" s="1" a="1"/>
  <c r="AE259" i="8" s="1"/>
  <c r="AJ260" i="8"/>
  <c r="AD260" i="8" s="1"/>
  <c r="AJ261" i="8"/>
  <c r="AD261" i="8" s="1"/>
  <c r="AJ262" i="8"/>
  <c r="AE262" i="8" s="1" a="1"/>
  <c r="AE262" i="8" s="1"/>
  <c r="AJ263" i="8"/>
  <c r="AC263" i="8" s="1" a="1"/>
  <c r="AC263" i="8" s="1"/>
  <c r="AJ264" i="8"/>
  <c r="AC264" i="8" s="1" a="1"/>
  <c r="AC264" i="8" s="1"/>
  <c r="AJ265" i="8"/>
  <c r="AC265" i="8" s="1" a="1"/>
  <c r="AC265" i="8" s="1"/>
  <c r="AF259" i="8"/>
  <c r="AF260" i="8"/>
  <c r="AF261" i="8"/>
  <c r="AF262" i="8"/>
  <c r="AF263" i="8"/>
  <c r="AF264" i="8"/>
  <c r="AF265" i="8"/>
  <c r="AF266" i="8"/>
  <c r="Q257" i="8"/>
  <c r="Z257" i="8"/>
  <c r="Z258" i="8"/>
  <c r="Q258" i="8"/>
  <c r="AF70" i="12"/>
  <c r="AF71" i="12"/>
  <c r="AE69" i="12"/>
  <c r="AE70" i="12"/>
  <c r="P71" i="12"/>
  <c r="AE71" i="12" s="1"/>
  <c r="Q256" i="8"/>
  <c r="X256" i="8" s="1"/>
  <c r="Z256" i="8"/>
  <c r="Z255" i="8"/>
  <c r="Z254" i="8"/>
  <c r="Z253" i="8"/>
  <c r="Q252" i="8"/>
  <c r="Z252" i="8"/>
  <c r="Z251" i="8"/>
  <c r="F123" i="11"/>
  <c r="R123" i="11" s="1"/>
  <c r="T122" i="11"/>
  <c r="D122" i="11"/>
  <c r="H122" i="11"/>
  <c r="T121" i="11"/>
  <c r="T120" i="11"/>
  <c r="F120" i="11"/>
  <c r="J120" i="11"/>
  <c r="H120" i="11"/>
  <c r="G120" i="11"/>
  <c r="B124" i="11"/>
  <c r="R124" i="11"/>
  <c r="Z124" i="11"/>
  <c r="AD124" i="11"/>
  <c r="W124" i="11" s="1" a="1"/>
  <c r="W124" i="11" s="1"/>
  <c r="B125" i="11"/>
  <c r="R125" i="11"/>
  <c r="Z125" i="11"/>
  <c r="AD125" i="11"/>
  <c r="W125" i="11" s="1" a="1"/>
  <c r="W125" i="11" s="1"/>
  <c r="B126" i="11"/>
  <c r="Z126" i="11"/>
  <c r="AD126" i="11"/>
  <c r="W126" i="11" s="1" a="1"/>
  <c r="W126" i="11" s="1"/>
  <c r="B127" i="11"/>
  <c r="Z127" i="11"/>
  <c r="AD127" i="11"/>
  <c r="W127" i="11" s="1" a="1"/>
  <c r="W127" i="11" s="1"/>
  <c r="B128" i="11"/>
  <c r="R128" i="11"/>
  <c r="Z128" i="11"/>
  <c r="AD128" i="11"/>
  <c r="W128" i="11" s="1" a="1"/>
  <c r="W128" i="11" s="1"/>
  <c r="B129" i="11"/>
  <c r="R129" i="11"/>
  <c r="Z129" i="11"/>
  <c r="AD129" i="11"/>
  <c r="W129" i="11" s="1" a="1"/>
  <c r="W129" i="11" s="1"/>
  <c r="B130" i="11"/>
  <c r="R130" i="11"/>
  <c r="Z130" i="11"/>
  <c r="AD130" i="11"/>
  <c r="W130" i="11" s="1" a="1"/>
  <c r="W130" i="11" s="1"/>
  <c r="B131" i="11"/>
  <c r="Z131" i="11"/>
  <c r="AD131" i="11"/>
  <c r="W131" i="11" s="1" a="1"/>
  <c r="W131" i="11" s="1"/>
  <c r="D119" i="11"/>
  <c r="I119" i="11"/>
  <c r="I2" i="11" s="1"/>
  <c r="M250" i="8"/>
  <c r="Q250" i="8"/>
  <c r="Z250" i="8"/>
  <c r="AF69" i="12"/>
  <c r="Z248" i="8"/>
  <c r="Q248" i="8"/>
  <c r="X248" i="8" s="1"/>
  <c r="Z246" i="8"/>
  <c r="Z245" i="8"/>
  <c r="T119" i="11"/>
  <c r="F119" i="11"/>
  <c r="J119" i="11"/>
  <c r="T118" i="11"/>
  <c r="T117" i="11"/>
  <c r="T116" i="11"/>
  <c r="D116" i="11"/>
  <c r="R116" i="11" s="1"/>
  <c r="Q244" i="8"/>
  <c r="X244" i="8" s="1"/>
  <c r="Q243" i="8"/>
  <c r="F243" i="8"/>
  <c r="Z244" i="8"/>
  <c r="Z243" i="8"/>
  <c r="Z239" i="8"/>
  <c r="AF68" i="12"/>
  <c r="AF66" i="12"/>
  <c r="AA66" i="12"/>
  <c r="V66" i="12"/>
  <c r="U66" i="12"/>
  <c r="AF65" i="12"/>
  <c r="AF64" i="12"/>
  <c r="Q237" i="8"/>
  <c r="X237" i="8" s="1"/>
  <c r="Z237" i="8"/>
  <c r="Q238" i="8"/>
  <c r="X238" i="8" s="1"/>
  <c r="Z238" i="8"/>
  <c r="Z242" i="8"/>
  <c r="Z249" i="8"/>
  <c r="Q249" i="8"/>
  <c r="X249" i="8" s="1"/>
  <c r="Z247" i="8"/>
  <c r="Q247" i="8"/>
  <c r="X247" i="8" s="1"/>
  <c r="Z236" i="8"/>
  <c r="Z234" i="8"/>
  <c r="Z233" i="8"/>
  <c r="X232" i="8"/>
  <c r="X233" i="8"/>
  <c r="K231" i="8"/>
  <c r="X231" i="8" s="1"/>
  <c r="Z231" i="8"/>
  <c r="X235" i="8"/>
  <c r="Z235" i="8"/>
  <c r="T115" i="11"/>
  <c r="F113" i="11"/>
  <c r="R113" i="11" s="1"/>
  <c r="T112" i="11"/>
  <c r="T111" i="11"/>
  <c r="T110" i="11"/>
  <c r="AA60" i="12"/>
  <c r="AE60" i="12" s="1"/>
  <c r="AF60" i="12"/>
  <c r="AA61" i="12"/>
  <c r="Z61" i="12"/>
  <c r="AF61" i="12"/>
  <c r="AF62" i="12"/>
  <c r="AP71" i="12"/>
  <c r="AJ71" i="12" s="1" a="1"/>
  <c r="AJ71" i="12" s="1"/>
  <c r="AK71" i="12" s="1" a="1"/>
  <c r="AK71" i="12" s="1"/>
  <c r="AP70" i="12"/>
  <c r="AJ70" i="12" s="1" a="1"/>
  <c r="AJ70" i="12" s="1"/>
  <c r="AK70" i="12" s="1" a="1"/>
  <c r="AK70" i="12" s="1"/>
  <c r="AU69" i="12"/>
  <c r="AP69" i="12"/>
  <c r="AJ69" i="12" s="1" a="1"/>
  <c r="AJ69" i="12" s="1"/>
  <c r="AK69" i="12" s="1" a="1"/>
  <c r="AK69" i="12" s="1"/>
  <c r="AP68" i="12"/>
  <c r="AJ68" i="12" s="1" a="1"/>
  <c r="AJ68" i="12" s="1"/>
  <c r="AK68" i="12" s="1" a="1"/>
  <c r="AK68" i="12" s="1"/>
  <c r="AU67" i="12"/>
  <c r="AQ67" i="12"/>
  <c r="AP67" i="12"/>
  <c r="AJ67" i="12" s="1" a="1"/>
  <c r="AJ67" i="12" s="1"/>
  <c r="AK67" i="12" s="1" a="1"/>
  <c r="AK67" i="12" s="1"/>
  <c r="AP66" i="12"/>
  <c r="AJ66" i="12" s="1" a="1"/>
  <c r="AJ66" i="12" s="1"/>
  <c r="AK66" i="12" s="1" a="1"/>
  <c r="AK66" i="12" s="1"/>
  <c r="AU65" i="12"/>
  <c r="AP65" i="12"/>
  <c r="AI65" i="12" s="1" a="1"/>
  <c r="AI65" i="12" s="1"/>
  <c r="AP64" i="12"/>
  <c r="AI64" i="12" s="1" a="1"/>
  <c r="AI64" i="12" s="1"/>
  <c r="AU63" i="12"/>
  <c r="AP63" i="12"/>
  <c r="AI63" i="12" s="1" a="1"/>
  <c r="AI63" i="12" s="1"/>
  <c r="AP62" i="12"/>
  <c r="AI62" i="12" s="1" a="1"/>
  <c r="AI62" i="12" s="1"/>
  <c r="AU61" i="12"/>
  <c r="AP61" i="12"/>
  <c r="AI61" i="12" s="1" a="1"/>
  <c r="AI61" i="12" s="1"/>
  <c r="AP60" i="12"/>
  <c r="AJ60" i="12" s="1" a="1"/>
  <c r="AJ60" i="12" s="1"/>
  <c r="AK60" i="12" s="1" a="1"/>
  <c r="AK60" i="12" s="1"/>
  <c r="AL71" i="12"/>
  <c r="AL70" i="12"/>
  <c r="AL69" i="12"/>
  <c r="AL68" i="12"/>
  <c r="AL67" i="12"/>
  <c r="AL66" i="12"/>
  <c r="AL65" i="12"/>
  <c r="AL64" i="12"/>
  <c r="AL63" i="12"/>
  <c r="AL62" i="12"/>
  <c r="AL61" i="12"/>
  <c r="AL60" i="12"/>
  <c r="AF63" i="12"/>
  <c r="AE68" i="12"/>
  <c r="AE67" i="12"/>
  <c r="AE65" i="12"/>
  <c r="AE64" i="12"/>
  <c r="AE62" i="12"/>
  <c r="AA63" i="12"/>
  <c r="AE63" i="12" s="1"/>
  <c r="D72" i="12"/>
  <c r="D71" i="12"/>
  <c r="D70" i="12"/>
  <c r="D69" i="12"/>
  <c r="D68" i="12"/>
  <c r="D67" i="12"/>
  <c r="D66" i="12"/>
  <c r="D65" i="12"/>
  <c r="D64" i="12"/>
  <c r="D63" i="12"/>
  <c r="D62" i="12"/>
  <c r="D61" i="12"/>
  <c r="D60" i="12"/>
  <c r="C60" i="12"/>
  <c r="C61" i="12"/>
  <c r="C62" i="12"/>
  <c r="C63" i="12"/>
  <c r="C64" i="12"/>
  <c r="C65" i="12"/>
  <c r="C66" i="12"/>
  <c r="C67" i="12"/>
  <c r="C68" i="12"/>
  <c r="C69" i="12"/>
  <c r="C70" i="12"/>
  <c r="C71" i="12"/>
  <c r="T221" i="8"/>
  <c r="Q221" i="8"/>
  <c r="Z221" i="8"/>
  <c r="Q222" i="8"/>
  <c r="X222" i="8" s="1"/>
  <c r="Z222" i="8"/>
  <c r="Z229" i="8"/>
  <c r="T229" i="8"/>
  <c r="Q229" i="8"/>
  <c r="Z230" i="8"/>
  <c r="T230" i="8"/>
  <c r="Q230" i="8"/>
  <c r="Z225" i="8"/>
  <c r="Z226" i="8"/>
  <c r="Z224" i="8"/>
  <c r="Z223" i="8"/>
  <c r="Z228" i="8"/>
  <c r="Z227" i="8"/>
  <c r="Z218" i="8"/>
  <c r="Z217" i="8"/>
  <c r="Z216" i="8"/>
  <c r="Z215" i="8"/>
  <c r="Z220" i="8"/>
  <c r="Z219" i="8"/>
  <c r="T109" i="11"/>
  <c r="T108" i="11"/>
  <c r="T107" i="11"/>
  <c r="T106" i="11"/>
  <c r="T105" i="11"/>
  <c r="H105" i="11"/>
  <c r="R105" i="11" s="1"/>
  <c r="T104" i="11"/>
  <c r="T97" i="11"/>
  <c r="T99" i="11"/>
  <c r="T103" i="11"/>
  <c r="T102" i="11"/>
  <c r="H102" i="11"/>
  <c r="D102" i="11"/>
  <c r="Q213" i="8"/>
  <c r="T213" i="8"/>
  <c r="Z213" i="8"/>
  <c r="Z214" i="8"/>
  <c r="T214" i="8"/>
  <c r="X214" i="8" s="1"/>
  <c r="Q214" i="8"/>
  <c r="AF58" i="12"/>
  <c r="AF59" i="12"/>
  <c r="AA58" i="12"/>
  <c r="AE58" i="12" s="1"/>
  <c r="Z201" i="8"/>
  <c r="Z210" i="8"/>
  <c r="Z209" i="8"/>
  <c r="H100" i="11"/>
  <c r="Q208" i="8"/>
  <c r="X208" i="8" s="1"/>
  <c r="Z208" i="8"/>
  <c r="Z207" i="8"/>
  <c r="Z212" i="8"/>
  <c r="T212" i="8"/>
  <c r="X212" i="8" s="1"/>
  <c r="Z211" i="8"/>
  <c r="T101" i="11"/>
  <c r="H101" i="11"/>
  <c r="D101" i="11"/>
  <c r="J101" i="11"/>
  <c r="T100" i="11"/>
  <c r="D100" i="11"/>
  <c r="T98" i="11"/>
  <c r="T205" i="8"/>
  <c r="Q205" i="8"/>
  <c r="N205" i="8"/>
  <c r="M205" i="8"/>
  <c r="Z205" i="8"/>
  <c r="Z206" i="8"/>
  <c r="Q206" i="8"/>
  <c r="X206" i="8" s="1"/>
  <c r="Z202" i="8"/>
  <c r="Z199" i="8"/>
  <c r="Z200" i="8"/>
  <c r="Q199" i="8"/>
  <c r="X199" i="8" s="1"/>
  <c r="S199" i="8"/>
  <c r="T204" i="8"/>
  <c r="Z204" i="8"/>
  <c r="Z203" i="8"/>
  <c r="AF57" i="12"/>
  <c r="AF56" i="12"/>
  <c r="H97" i="11"/>
  <c r="F97" i="11"/>
  <c r="D97" i="11"/>
  <c r="T96" i="11"/>
  <c r="D96" i="11"/>
  <c r="R96" i="11" s="1"/>
  <c r="T95" i="11"/>
  <c r="T94" i="11"/>
  <c r="D94" i="11"/>
  <c r="R94" i="11" s="1"/>
  <c r="V197" i="8"/>
  <c r="X197" i="8" s="1"/>
  <c r="T197" i="8"/>
  <c r="Q197" i="8"/>
  <c r="Z197" i="8"/>
  <c r="T198" i="8"/>
  <c r="Q198" i="8"/>
  <c r="Z198" i="8"/>
  <c r="AF55" i="12"/>
  <c r="AF54" i="12"/>
  <c r="Z194" i="8"/>
  <c r="Z193" i="8"/>
  <c r="Z192" i="8"/>
  <c r="Z191" i="8"/>
  <c r="T191" i="8"/>
  <c r="X191" i="8" s="1"/>
  <c r="T196" i="8"/>
  <c r="X196" i="8" s="1"/>
  <c r="Z196" i="8"/>
  <c r="Z195" i="8"/>
  <c r="Q195" i="8"/>
  <c r="X195" i="8" s="1"/>
  <c r="Q189"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X262" i="8"/>
  <c r="X261" i="8"/>
  <c r="X258" i="8"/>
  <c r="X257" i="8"/>
  <c r="X255" i="8"/>
  <c r="X254" i="8"/>
  <c r="X253" i="8"/>
  <c r="X252" i="8"/>
  <c r="X251" i="8"/>
  <c r="X246" i="8"/>
  <c r="X245" i="8"/>
  <c r="X242" i="8"/>
  <c r="X241" i="8"/>
  <c r="X240" i="8"/>
  <c r="X239" i="8"/>
  <c r="X236" i="8"/>
  <c r="X234" i="8"/>
  <c r="X228" i="8"/>
  <c r="X227" i="8"/>
  <c r="X226" i="8"/>
  <c r="X225" i="8"/>
  <c r="X224" i="8"/>
  <c r="X223" i="8"/>
  <c r="X220" i="8"/>
  <c r="X219" i="8"/>
  <c r="X218" i="8"/>
  <c r="X217" i="8"/>
  <c r="X216" i="8"/>
  <c r="X215" i="8"/>
  <c r="X211" i="8"/>
  <c r="X210" i="8"/>
  <c r="X209" i="8"/>
  <c r="X207" i="8"/>
  <c r="X204" i="8"/>
  <c r="X203" i="8"/>
  <c r="X202" i="8"/>
  <c r="X201" i="8"/>
  <c r="X200" i="8"/>
  <c r="AF258" i="8"/>
  <c r="AF257" i="8"/>
  <c r="AF256" i="8"/>
  <c r="AF255" i="8"/>
  <c r="AF254" i="8"/>
  <c r="AF253" i="8"/>
  <c r="AF252" i="8"/>
  <c r="AF251" i="8"/>
  <c r="AF250" i="8"/>
  <c r="AF249" i="8"/>
  <c r="AF248" i="8"/>
  <c r="AF247" i="8"/>
  <c r="AF246" i="8"/>
  <c r="AF245" i="8"/>
  <c r="AF244" i="8"/>
  <c r="AF243" i="8"/>
  <c r="AF242" i="8"/>
  <c r="AF241" i="8"/>
  <c r="AF240" i="8"/>
  <c r="AF239" i="8"/>
  <c r="AF238" i="8"/>
  <c r="AF237" i="8"/>
  <c r="AF236" i="8"/>
  <c r="AF235" i="8"/>
  <c r="AF234" i="8"/>
  <c r="AF233" i="8"/>
  <c r="AF232" i="8"/>
  <c r="AF231" i="8"/>
  <c r="AF230" i="8"/>
  <c r="AF229" i="8"/>
  <c r="AF228" i="8"/>
  <c r="AF227" i="8"/>
  <c r="AF226" i="8"/>
  <c r="AF225" i="8"/>
  <c r="AF224" i="8"/>
  <c r="AF223" i="8"/>
  <c r="AF222" i="8"/>
  <c r="AF221" i="8"/>
  <c r="AF220" i="8"/>
  <c r="AF219" i="8"/>
  <c r="AF218" i="8"/>
  <c r="AF217" i="8"/>
  <c r="AF216" i="8"/>
  <c r="AF215" i="8"/>
  <c r="AF214" i="8"/>
  <c r="AF213" i="8"/>
  <c r="AF212" i="8"/>
  <c r="AF211" i="8"/>
  <c r="AF210" i="8"/>
  <c r="AF209" i="8"/>
  <c r="AF208" i="8"/>
  <c r="AF207" i="8"/>
  <c r="AF206" i="8"/>
  <c r="AF205" i="8"/>
  <c r="AF204" i="8"/>
  <c r="AF203" i="8"/>
  <c r="AF202" i="8"/>
  <c r="AF201" i="8"/>
  <c r="AF200" i="8"/>
  <c r="AF19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T93" i="11"/>
  <c r="F93" i="11"/>
  <c r="J93" i="11"/>
  <c r="D93" i="11"/>
  <c r="H93" i="11"/>
  <c r="T92" i="11"/>
  <c r="H92" i="11"/>
  <c r="R92" i="11" s="1"/>
  <c r="T91" i="11"/>
  <c r="T90" i="11"/>
  <c r="H90" i="11"/>
  <c r="D90" i="11"/>
  <c r="Q190" i="8"/>
  <c r="Z190" i="8"/>
  <c r="Q187" i="8"/>
  <c r="X187" i="8" s="1"/>
  <c r="Z187" i="8"/>
  <c r="Z186" i="8"/>
  <c r="T186" i="8"/>
  <c r="Q186" i="8"/>
  <c r="AF52" i="12"/>
  <c r="AF51" i="12"/>
  <c r="AF50" i="12"/>
  <c r="Z189" i="8"/>
  <c r="T189" i="8"/>
  <c r="T182" i="8"/>
  <c r="X182" i="8" s="1"/>
  <c r="Z183" i="8"/>
  <c r="Z182" i="8"/>
  <c r="Z181" i="8"/>
  <c r="Z180" i="8"/>
  <c r="Q181" i="8"/>
  <c r="X181" i="8" s="1"/>
  <c r="Q180" i="8"/>
  <c r="T180" i="8"/>
  <c r="E180" i="8"/>
  <c r="E2" i="8" s="1"/>
  <c r="Z185" i="8"/>
  <c r="Z184" i="8"/>
  <c r="T89" i="11"/>
  <c r="G89" i="11"/>
  <c r="J89" i="11"/>
  <c r="F89" i="11"/>
  <c r="T88" i="11"/>
  <c r="T87" i="11"/>
  <c r="T86" i="11"/>
  <c r="T85" i="11"/>
  <c r="G85" i="11"/>
  <c r="F85" i="11"/>
  <c r="J85" i="11"/>
  <c r="T84" i="11"/>
  <c r="T83" i="11"/>
  <c r="T82" i="11"/>
  <c r="Z143" i="8"/>
  <c r="Z179" i="8"/>
  <c r="Q179" i="8"/>
  <c r="X179" i="8" s="1"/>
  <c r="AF49" i="12"/>
  <c r="AF48" i="12"/>
  <c r="AU59" i="12"/>
  <c r="AU57" i="12"/>
  <c r="AU55" i="12"/>
  <c r="AU53" i="12"/>
  <c r="AU51" i="12"/>
  <c r="AU49" i="12"/>
  <c r="AU47" i="12"/>
  <c r="AP59" i="12"/>
  <c r="AJ59" i="12" s="1" a="1"/>
  <c r="AJ59" i="12" s="1"/>
  <c r="AK59" i="12" s="1" a="1"/>
  <c r="AK59" i="12" s="1"/>
  <c r="AP58" i="12"/>
  <c r="AI58" i="12" s="1" a="1"/>
  <c r="AI58" i="12" s="1"/>
  <c r="AP57" i="12"/>
  <c r="AJ57" i="12" s="1" a="1"/>
  <c r="AJ57" i="12" s="1"/>
  <c r="AK57" i="12" s="1" a="1"/>
  <c r="AK57" i="12" s="1"/>
  <c r="AP56" i="12"/>
  <c r="AJ56" i="12" s="1" a="1"/>
  <c r="AJ56" i="12" s="1"/>
  <c r="AK56" i="12" s="1" a="1"/>
  <c r="AK56" i="12" s="1"/>
  <c r="AP55" i="12"/>
  <c r="AJ55" i="12" s="1" a="1"/>
  <c r="AJ55" i="12" s="1"/>
  <c r="AK55" i="12" s="1" a="1"/>
  <c r="AK55" i="12" s="1"/>
  <c r="AP54" i="12"/>
  <c r="AJ54" i="12" s="1" a="1"/>
  <c r="AJ54" i="12" s="1"/>
  <c r="AK54" i="12" s="1" a="1"/>
  <c r="AK54" i="12" s="1"/>
  <c r="AQ53" i="12"/>
  <c r="AP53" i="12"/>
  <c r="AJ53" i="12" s="1" a="1"/>
  <c r="AJ53" i="12" s="1"/>
  <c r="AK53" i="12" s="1" a="1"/>
  <c r="AK53" i="12" s="1"/>
  <c r="AP52" i="12"/>
  <c r="AJ52" i="12" s="1" a="1"/>
  <c r="AJ52" i="12" s="1"/>
  <c r="AK52" i="12" s="1" a="1"/>
  <c r="AK52" i="12" s="1"/>
  <c r="AP51" i="12"/>
  <c r="AJ51" i="12" s="1" a="1"/>
  <c r="AJ51" i="12" s="1"/>
  <c r="AK51" i="12" s="1" a="1"/>
  <c r="AK51" i="12" s="1"/>
  <c r="AP50" i="12"/>
  <c r="AJ50" i="12" s="1" a="1"/>
  <c r="AJ50" i="12" s="1"/>
  <c r="AK50" i="12" s="1" a="1"/>
  <c r="AK50" i="12" s="1"/>
  <c r="AP49" i="12"/>
  <c r="AJ49" i="12" s="1" a="1"/>
  <c r="AJ49" i="12" s="1"/>
  <c r="AK49" i="12" s="1" a="1"/>
  <c r="AK49" i="12" s="1"/>
  <c r="AP48" i="12"/>
  <c r="AJ48" i="12" s="1" a="1"/>
  <c r="AJ48" i="12" s="1"/>
  <c r="AK48" i="12" s="1" a="1"/>
  <c r="AK48" i="12" s="1"/>
  <c r="AL59" i="12"/>
  <c r="AL58" i="12"/>
  <c r="AL57" i="12"/>
  <c r="AL56" i="12"/>
  <c r="AL55" i="12"/>
  <c r="AL54" i="12"/>
  <c r="AL53" i="12"/>
  <c r="AL52" i="12"/>
  <c r="AL51" i="12"/>
  <c r="AL50" i="12"/>
  <c r="AL49" i="12"/>
  <c r="AI49" i="12" a="1"/>
  <c r="AI49" i="12" s="1"/>
  <c r="AL48" i="12"/>
  <c r="AE59" i="12"/>
  <c r="AE57" i="12"/>
  <c r="AE56" i="12"/>
  <c r="AE55" i="12"/>
  <c r="AE54" i="12"/>
  <c r="AE53" i="12"/>
  <c r="AE52" i="12"/>
  <c r="AE51" i="12"/>
  <c r="AE50" i="12"/>
  <c r="AE49" i="12"/>
  <c r="AE48" i="12"/>
  <c r="D59" i="12"/>
  <c r="D58" i="12"/>
  <c r="D57" i="12"/>
  <c r="D56" i="12"/>
  <c r="D55" i="12"/>
  <c r="D54" i="12"/>
  <c r="D53" i="12"/>
  <c r="D52" i="12"/>
  <c r="D51" i="12"/>
  <c r="D50" i="12"/>
  <c r="D49" i="12"/>
  <c r="D48" i="12"/>
  <c r="C59" i="12"/>
  <c r="C58" i="12"/>
  <c r="C57" i="12"/>
  <c r="C56" i="12"/>
  <c r="C55" i="12"/>
  <c r="C54" i="12"/>
  <c r="C53" i="12"/>
  <c r="C52" i="12"/>
  <c r="C51" i="12"/>
  <c r="C50" i="12"/>
  <c r="C49" i="12"/>
  <c r="C48" i="12"/>
  <c r="AJ134" i="8"/>
  <c r="AC134" i="8" s="1" a="1"/>
  <c r="AC134" i="8" s="1"/>
  <c r="AJ135" i="8"/>
  <c r="AD135" i="8" s="1"/>
  <c r="AJ136" i="8"/>
  <c r="AE136" i="8" s="1" a="1"/>
  <c r="AE136" i="8" s="1"/>
  <c r="AJ137" i="8"/>
  <c r="AE137" i="8" s="1" a="1"/>
  <c r="AE137" i="8" s="1"/>
  <c r="AJ138" i="8"/>
  <c r="AE138" i="8" s="1" a="1"/>
  <c r="AE138" i="8" s="1"/>
  <c r="AJ139" i="8"/>
  <c r="AE139" i="8" s="1" a="1"/>
  <c r="AE139" i="8" s="1"/>
  <c r="AJ140" i="8"/>
  <c r="AE140" i="8" s="1" a="1"/>
  <c r="AE140" i="8" s="1"/>
  <c r="AJ141" i="8"/>
  <c r="AC141" i="8" s="1" a="1"/>
  <c r="AC141" i="8" s="1"/>
  <c r="AJ142" i="8"/>
  <c r="AC142" i="8" s="1" a="1"/>
  <c r="AC142" i="8" s="1"/>
  <c r="AJ143" i="8"/>
  <c r="AJ144" i="8"/>
  <c r="AE144" i="8" s="1" a="1"/>
  <c r="AE144" i="8" s="1"/>
  <c r="AJ145" i="8"/>
  <c r="AE145" i="8" s="1" a="1"/>
  <c r="AE145" i="8" s="1"/>
  <c r="AJ146" i="8"/>
  <c r="AD146" i="8" s="1"/>
  <c r="AJ147" i="8"/>
  <c r="AE147" i="8" s="1" a="1"/>
  <c r="AE147" i="8" s="1"/>
  <c r="AJ148" i="8"/>
  <c r="AE148" i="8" s="1" a="1"/>
  <c r="AE148" i="8" s="1"/>
  <c r="AJ149" i="8"/>
  <c r="AE149" i="8" s="1" a="1"/>
  <c r="AE149" i="8" s="1"/>
  <c r="AJ150" i="8"/>
  <c r="AC150" i="8" s="1" a="1"/>
  <c r="AC150" i="8" s="1"/>
  <c r="AJ151" i="8"/>
  <c r="AE151" i="8" s="1" a="1"/>
  <c r="AE151" i="8" s="1"/>
  <c r="AJ152" i="8"/>
  <c r="AE152" i="8" s="1" a="1"/>
  <c r="AE152" i="8" s="1"/>
  <c r="AJ153" i="8"/>
  <c r="AE153" i="8" s="1" a="1"/>
  <c r="AE153" i="8" s="1"/>
  <c r="AJ154" i="8"/>
  <c r="AD154" i="8" s="1"/>
  <c r="AJ155" i="8"/>
  <c r="AE155" i="8" s="1" a="1"/>
  <c r="AE155" i="8" s="1"/>
  <c r="AJ156" i="8"/>
  <c r="AD156" i="8" s="1"/>
  <c r="AJ157" i="8"/>
  <c r="AE157" i="8" s="1" a="1"/>
  <c r="AE157" i="8" s="1"/>
  <c r="AJ158" i="8"/>
  <c r="AD158" i="8" s="1"/>
  <c r="AJ159" i="8"/>
  <c r="AE159" i="8" s="1" a="1"/>
  <c r="AE159" i="8" s="1"/>
  <c r="AJ160" i="8"/>
  <c r="AD160" i="8" s="1"/>
  <c r="AJ161" i="8"/>
  <c r="AE161" i="8" s="1" a="1"/>
  <c r="AE161" i="8" s="1"/>
  <c r="AJ162" i="8"/>
  <c r="AD162" i="8" s="1"/>
  <c r="AJ163" i="8"/>
  <c r="AE163" i="8" s="1" a="1"/>
  <c r="AE163" i="8" s="1"/>
  <c r="AJ164" i="8"/>
  <c r="AE164" i="8" s="1" a="1"/>
  <c r="AE164" i="8" s="1"/>
  <c r="AJ165" i="8"/>
  <c r="AC165" i="8" s="1" a="1"/>
  <c r="AC165" i="8" s="1"/>
  <c r="AJ166" i="8"/>
  <c r="AD166" i="8" s="1"/>
  <c r="AJ167" i="8"/>
  <c r="AE167" i="8" s="1" a="1"/>
  <c r="AE167" i="8" s="1"/>
  <c r="AJ168" i="8"/>
  <c r="AE168" i="8" s="1" a="1"/>
  <c r="AE168" i="8" s="1"/>
  <c r="AJ169" i="8"/>
  <c r="AE169" i="8" s="1" a="1"/>
  <c r="AE169" i="8" s="1"/>
  <c r="AJ170" i="8"/>
  <c r="AD170" i="8" s="1"/>
  <c r="AJ171" i="8"/>
  <c r="AD171" i="8" s="1"/>
  <c r="AJ172" i="8"/>
  <c r="AD172" i="8" s="1"/>
  <c r="AJ173" i="8"/>
  <c r="AE173" i="8" s="1" a="1"/>
  <c r="AE173" i="8" s="1"/>
  <c r="AJ174" i="8"/>
  <c r="AD174" i="8" s="1"/>
  <c r="AJ175" i="8"/>
  <c r="AE175" i="8" s="1" a="1"/>
  <c r="AE175" i="8" s="1"/>
  <c r="AJ176" i="8"/>
  <c r="AD176" i="8" s="1"/>
  <c r="AJ177" i="8"/>
  <c r="AE177" i="8" s="1" a="1"/>
  <c r="AE177" i="8" s="1"/>
  <c r="AJ178" i="8"/>
  <c r="AD178" i="8" s="1"/>
  <c r="AJ179" i="8"/>
  <c r="AL179" i="8" s="1"/>
  <c r="AJ180" i="8"/>
  <c r="AC180" i="8" s="1" a="1"/>
  <c r="AC180" i="8" s="1"/>
  <c r="AJ181" i="8"/>
  <c r="AE181" i="8" s="1" a="1"/>
  <c r="AE181" i="8" s="1"/>
  <c r="AJ182" i="8"/>
  <c r="AL182" i="8" s="1"/>
  <c r="AJ183" i="8"/>
  <c r="AE183" i="8" s="1" a="1"/>
  <c r="AE183" i="8" s="1"/>
  <c r="AJ184" i="8"/>
  <c r="AJ185" i="8"/>
  <c r="AJ186" i="8"/>
  <c r="AC186" i="8" s="1" a="1"/>
  <c r="AC186" i="8" s="1"/>
  <c r="AJ187" i="8"/>
  <c r="AE187" i="8" s="1" a="1"/>
  <c r="AE187" i="8" s="1"/>
  <c r="AJ188" i="8"/>
  <c r="AL188" i="8" s="1"/>
  <c r="AJ189" i="8"/>
  <c r="AD189" i="8" s="1"/>
  <c r="AJ190" i="8"/>
  <c r="AE190" i="8" s="1" a="1"/>
  <c r="AE190" i="8" s="1"/>
  <c r="AJ191" i="8"/>
  <c r="AC191" i="8" s="1" a="1"/>
  <c r="AC191" i="8" s="1"/>
  <c r="AJ192" i="8"/>
  <c r="AJ193" i="8"/>
  <c r="AD193" i="8" s="1"/>
  <c r="AJ194" i="8"/>
  <c r="AE194" i="8" s="1" a="1"/>
  <c r="AE194" i="8" s="1"/>
  <c r="AJ195" i="8"/>
  <c r="AE195" i="8" s="1" a="1"/>
  <c r="AE195" i="8" s="1"/>
  <c r="AJ196" i="8"/>
  <c r="AJ197" i="8"/>
  <c r="AL197" i="8" s="1"/>
  <c r="AJ198" i="8"/>
  <c r="AE198" i="8" s="1" a="1"/>
  <c r="AE198" i="8" s="1"/>
  <c r="X174" i="8"/>
  <c r="X175" i="8"/>
  <c r="X176" i="8"/>
  <c r="X177" i="8"/>
  <c r="Z175" i="8"/>
  <c r="Z174" i="8"/>
  <c r="Z173" i="8"/>
  <c r="Z172" i="8"/>
  <c r="T172" i="8"/>
  <c r="X172" i="8" s="1"/>
  <c r="Z177" i="8"/>
  <c r="Q170" i="8"/>
  <c r="X170" i="8" s="1"/>
  <c r="Z170" i="8"/>
  <c r="T171" i="8"/>
  <c r="Q171" i="8"/>
  <c r="Z171" i="8"/>
  <c r="Z178" i="8"/>
  <c r="Q178" i="8"/>
  <c r="M178" i="8"/>
  <c r="AA47" i="12"/>
  <c r="AE47" i="12" s="1"/>
  <c r="AF47" i="12"/>
  <c r="AF46" i="12"/>
  <c r="Z176" i="8"/>
  <c r="Z169" i="8"/>
  <c r="Z168" i="8"/>
  <c r="Q168" i="8"/>
  <c r="X168" i="8" s="1"/>
  <c r="Z167" i="8"/>
  <c r="Z166" i="8"/>
  <c r="Z165" i="8"/>
  <c r="Z164" i="8"/>
  <c r="Q164" i="8"/>
  <c r="X164" i="8" s="1"/>
  <c r="T77" i="11"/>
  <c r="F77" i="11"/>
  <c r="J77" i="11"/>
  <c r="T81" i="11"/>
  <c r="H81" i="11"/>
  <c r="J81" i="11"/>
  <c r="F81" i="11"/>
  <c r="T78" i="11"/>
  <c r="F78" i="11"/>
  <c r="R78" i="11" s="1"/>
  <c r="T79" i="11"/>
  <c r="T80" i="11"/>
  <c r="G80" i="11"/>
  <c r="R80" i="11" s="1"/>
  <c r="T76" i="11"/>
  <c r="T74" i="11"/>
  <c r="F74" i="11"/>
  <c r="R74" i="11" s="1"/>
  <c r="T75" i="11"/>
  <c r="Z154" i="8"/>
  <c r="Q154" i="8"/>
  <c r="X154" i="8" s="1"/>
  <c r="Z155" i="8"/>
  <c r="T155" i="8"/>
  <c r="Q155" i="8"/>
  <c r="Q162" i="8"/>
  <c r="Z162" i="8"/>
  <c r="Q163" i="8"/>
  <c r="X163" i="8" s="1"/>
  <c r="Z163" i="8"/>
  <c r="AF45" i="12"/>
  <c r="AF44" i="12"/>
  <c r="Z161" i="8"/>
  <c r="Z160" i="8"/>
  <c r="Q160" i="8"/>
  <c r="X160" i="8" s="1"/>
  <c r="Z159" i="8"/>
  <c r="Z158" i="8"/>
  <c r="Z157" i="8"/>
  <c r="Z156" i="8"/>
  <c r="AF43" i="12"/>
  <c r="AF42" i="12"/>
  <c r="Z152" i="8"/>
  <c r="Z153" i="8"/>
  <c r="Z151" i="8"/>
  <c r="Z150" i="8"/>
  <c r="Q149" i="8"/>
  <c r="X149" i="8" s="1"/>
  <c r="Z149" i="8"/>
  <c r="Z148" i="8"/>
  <c r="T73" i="11"/>
  <c r="F73" i="11"/>
  <c r="J73" i="11"/>
  <c r="T72" i="11"/>
  <c r="T71" i="11"/>
  <c r="T70" i="11"/>
  <c r="T69" i="11"/>
  <c r="D69" i="11"/>
  <c r="J69" i="11"/>
  <c r="F69" i="11"/>
  <c r="T68" i="11"/>
  <c r="D68" i="11"/>
  <c r="R68" i="11" s="1"/>
  <c r="T67" i="11"/>
  <c r="T66" i="11"/>
  <c r="D66" i="11"/>
  <c r="R66" i="11" s="1"/>
  <c r="T65" i="11"/>
  <c r="Q146" i="8"/>
  <c r="X146" i="8" s="1"/>
  <c r="Z146" i="8"/>
  <c r="Z147" i="8"/>
  <c r="V147" i="8"/>
  <c r="Q147" i="8"/>
  <c r="AF41" i="12"/>
  <c r="AF40" i="12"/>
  <c r="Z145" i="8"/>
  <c r="Z144" i="8"/>
  <c r="Q145" i="8"/>
  <c r="X145" i="8" s="1"/>
  <c r="Q144" i="8"/>
  <c r="X144" i="8" s="1"/>
  <c r="Z142" i="8"/>
  <c r="Z141" i="8"/>
  <c r="Z140" i="8"/>
  <c r="AF37" i="12"/>
  <c r="AF36" i="12"/>
  <c r="AF38" i="12"/>
  <c r="AA38" i="12"/>
  <c r="AE38" i="12" s="1"/>
  <c r="Z135" i="8"/>
  <c r="Q135" i="8"/>
  <c r="X135" i="8" s="1"/>
  <c r="Z139" i="8"/>
  <c r="Q139" i="8"/>
  <c r="X139" i="8" s="1"/>
  <c r="Z136" i="8"/>
  <c r="X136" i="8"/>
  <c r="X137" i="8"/>
  <c r="X138" i="8"/>
  <c r="X140" i="8"/>
  <c r="X141" i="8"/>
  <c r="Z137" i="8"/>
  <c r="Z138" i="8"/>
  <c r="Z129" i="8"/>
  <c r="Z128" i="8"/>
  <c r="Q129" i="8"/>
  <c r="X129" i="8" s="1"/>
  <c r="X130" i="8"/>
  <c r="X131" i="8"/>
  <c r="X132" i="8"/>
  <c r="X133" i="8"/>
  <c r="X142" i="8"/>
  <c r="X143" i="8"/>
  <c r="X148" i="8"/>
  <c r="X150" i="8"/>
  <c r="X151" i="8"/>
  <c r="X152" i="8"/>
  <c r="X153" i="8"/>
  <c r="X156" i="8"/>
  <c r="X157" i="8"/>
  <c r="X158" i="8"/>
  <c r="X159" i="8"/>
  <c r="X161" i="8"/>
  <c r="X162" i="8"/>
  <c r="X165" i="8"/>
  <c r="X166" i="8"/>
  <c r="X167" i="8"/>
  <c r="X169" i="8"/>
  <c r="X173" i="8"/>
  <c r="X183" i="8"/>
  <c r="X184" i="8"/>
  <c r="X185" i="8"/>
  <c r="X188" i="8"/>
  <c r="X190" i="8"/>
  <c r="X192" i="8"/>
  <c r="X193" i="8"/>
  <c r="X194" i="8"/>
  <c r="Q128" i="8"/>
  <c r="X128" i="8" s="1"/>
  <c r="Z131" i="8"/>
  <c r="Z130" i="8"/>
  <c r="Z133" i="8"/>
  <c r="Z132" i="8"/>
  <c r="T64" i="11"/>
  <c r="F64" i="11"/>
  <c r="R64" i="11" s="1"/>
  <c r="T63" i="11"/>
  <c r="T62" i="11"/>
  <c r="T61" i="11"/>
  <c r="J61" i="11"/>
  <c r="R61" i="11" s="1"/>
  <c r="Z126" i="8"/>
  <c r="Q126" i="8"/>
  <c r="X126" i="8" s="1"/>
  <c r="Q127" i="8"/>
  <c r="X127" i="8" s="1"/>
  <c r="Z127" i="8"/>
  <c r="Z134" i="8"/>
  <c r="Q134" i="8"/>
  <c r="X134" i="8" s="1"/>
  <c r="AF35" i="12"/>
  <c r="AF34" i="12"/>
  <c r="Z123" i="8"/>
  <c r="Z122" i="8"/>
  <c r="Z120" i="8"/>
  <c r="Z121" i="8"/>
  <c r="Q121" i="8"/>
  <c r="X121" i="8" s="1"/>
  <c r="Z125" i="8"/>
  <c r="Z124" i="8"/>
  <c r="T60" i="11"/>
  <c r="F60" i="11"/>
  <c r="R60" i="11" s="1"/>
  <c r="T59" i="11"/>
  <c r="T58" i="11"/>
  <c r="T57" i="11"/>
  <c r="F57" i="11"/>
  <c r="R57" i="11" s="1"/>
  <c r="T56" i="11"/>
  <c r="D56" i="11"/>
  <c r="F56" i="11"/>
  <c r="T55" i="11"/>
  <c r="T54" i="11"/>
  <c r="T53" i="11"/>
  <c r="F53" i="11"/>
  <c r="R53" i="11" s="1"/>
  <c r="AF33" i="12"/>
  <c r="AF32" i="12"/>
  <c r="S32" i="12"/>
  <c r="AE32" i="12" s="1"/>
  <c r="AF31" i="12"/>
  <c r="AF30" i="12"/>
  <c r="AA31" i="12"/>
  <c r="AA30" i="12"/>
  <c r="AE30" i="12" s="1"/>
  <c r="AF29" i="12"/>
  <c r="AF28" i="12"/>
  <c r="AA28" i="12"/>
  <c r="AE28" i="12" s="1"/>
  <c r="X109" i="8"/>
  <c r="X112" i="8"/>
  <c r="X113" i="8"/>
  <c r="X114" i="8"/>
  <c r="X115" i="8"/>
  <c r="Z113" i="8"/>
  <c r="Z112" i="8"/>
  <c r="Z115" i="8"/>
  <c r="Z114" i="8"/>
  <c r="Z117" i="8"/>
  <c r="Z116" i="8"/>
  <c r="Z107" i="8"/>
  <c r="Z106" i="8"/>
  <c r="V107" i="8"/>
  <c r="X107" i="8" s="1"/>
  <c r="Q105" i="8"/>
  <c r="X105" i="8" s="1"/>
  <c r="V104" i="8"/>
  <c r="Z105" i="8"/>
  <c r="Z104" i="8"/>
  <c r="Z109" i="8"/>
  <c r="Z108" i="8"/>
  <c r="Z99" i="8"/>
  <c r="Z98" i="8"/>
  <c r="Z97" i="8"/>
  <c r="Z96" i="8"/>
  <c r="Q96" i="8"/>
  <c r="Z101" i="8"/>
  <c r="Z100" i="8"/>
  <c r="V119" i="8"/>
  <c r="Q119" i="8"/>
  <c r="Z119" i="8"/>
  <c r="Q118" i="8"/>
  <c r="X118" i="8" s="1"/>
  <c r="Z118" i="8"/>
  <c r="Z111" i="8"/>
  <c r="Q111" i="8"/>
  <c r="X111" i="8" s="1"/>
  <c r="Z110" i="8"/>
  <c r="Q110" i="8"/>
  <c r="X110" i="8" s="1"/>
  <c r="Z103" i="8"/>
  <c r="Q103" i="8"/>
  <c r="X103" i="8" s="1"/>
  <c r="Z102" i="8"/>
  <c r="Q102" i="8"/>
  <c r="X102" i="8" s="1"/>
  <c r="Q95" i="8"/>
  <c r="X95" i="8" s="1"/>
  <c r="Z95" i="8"/>
  <c r="Q94" i="8"/>
  <c r="X94" i="8" s="1"/>
  <c r="Z94" i="8"/>
  <c r="Z87" i="8"/>
  <c r="Q87" i="8"/>
  <c r="X87" i="8" s="1"/>
  <c r="Z86" i="8"/>
  <c r="Q86" i="8"/>
  <c r="X86" i="8" s="1"/>
  <c r="Q79" i="8"/>
  <c r="X79" i="8" s="1"/>
  <c r="Z79" i="8"/>
  <c r="Z78" i="8"/>
  <c r="Q78" i="8"/>
  <c r="AJ133" i="8"/>
  <c r="AC133" i="8" s="1" a="1"/>
  <c r="AC133" i="8" s="1"/>
  <c r="AJ132" i="8"/>
  <c r="AC132" i="8" s="1" a="1"/>
  <c r="AC132" i="8" s="1"/>
  <c r="AJ131" i="8"/>
  <c r="AE131" i="8" s="1" a="1"/>
  <c r="AE131" i="8" s="1"/>
  <c r="AJ130" i="8"/>
  <c r="AE130" i="8" s="1" a="1"/>
  <c r="AE130" i="8" s="1"/>
  <c r="AJ129" i="8"/>
  <c r="AD129" i="8" s="1"/>
  <c r="AJ128" i="8"/>
  <c r="AC128" i="8" s="1" a="1"/>
  <c r="AC128" i="8" s="1"/>
  <c r="AJ127" i="8"/>
  <c r="AE127" i="8" s="1" a="1"/>
  <c r="AE127" i="8" s="1"/>
  <c r="AJ126" i="8"/>
  <c r="AE126" i="8" s="1" a="1"/>
  <c r="AE126" i="8" s="1"/>
  <c r="AJ125" i="8"/>
  <c r="AD125" i="8" s="1"/>
  <c r="AJ124" i="8"/>
  <c r="AD124" i="8" s="1"/>
  <c r="AJ123" i="8"/>
  <c r="AE123" i="8" s="1" a="1"/>
  <c r="AE123" i="8" s="1"/>
  <c r="AJ122" i="8"/>
  <c r="AE122" i="8" s="1" a="1"/>
  <c r="AE122" i="8" s="1"/>
  <c r="AJ121" i="8"/>
  <c r="AE121" i="8" s="1" a="1"/>
  <c r="AE121" i="8" s="1"/>
  <c r="AJ120" i="8"/>
  <c r="AC120" i="8" s="1" a="1"/>
  <c r="AC120" i="8" s="1"/>
  <c r="AJ119" i="8"/>
  <c r="AE119" i="8" s="1" a="1"/>
  <c r="AE119" i="8" s="1"/>
  <c r="AJ118" i="8"/>
  <c r="AC118" i="8" s="1" a="1"/>
  <c r="AC118" i="8" s="1"/>
  <c r="AJ117" i="8"/>
  <c r="AE117" i="8" s="1" a="1"/>
  <c r="AE117" i="8" s="1"/>
  <c r="AJ116" i="8"/>
  <c r="AD116" i="8" s="1"/>
  <c r="AJ115" i="8"/>
  <c r="AJ114" i="8"/>
  <c r="AE114" i="8" s="1" a="1"/>
  <c r="AE114" i="8" s="1"/>
  <c r="AJ113" i="8"/>
  <c r="AE113" i="8" s="1" a="1"/>
  <c r="AE113" i="8" s="1"/>
  <c r="AJ112" i="8"/>
  <c r="AC112" i="8" s="1" a="1"/>
  <c r="AC112" i="8" s="1"/>
  <c r="AJ111" i="8"/>
  <c r="AE111" i="8" s="1" a="1"/>
  <c r="AE111" i="8" s="1"/>
  <c r="AJ110" i="8"/>
  <c r="AC110" i="8" s="1" a="1"/>
  <c r="AC110" i="8" s="1"/>
  <c r="AJ109" i="8"/>
  <c r="AE109" i="8" s="1" a="1"/>
  <c r="AE109" i="8" s="1"/>
  <c r="AJ108" i="8"/>
  <c r="AE108" i="8" s="1" a="1"/>
  <c r="AE108" i="8" s="1"/>
  <c r="AJ107" i="8"/>
  <c r="AE107" i="8" s="1" a="1"/>
  <c r="AE107" i="8" s="1"/>
  <c r="AJ106" i="8"/>
  <c r="AE106" i="8" s="1" a="1"/>
  <c r="AE106" i="8" s="1"/>
  <c r="AJ105" i="8"/>
  <c r="AE105" i="8" s="1" a="1"/>
  <c r="AE105" i="8" s="1"/>
  <c r="AJ104" i="8"/>
  <c r="AC104" i="8" s="1" a="1"/>
  <c r="AC104" i="8" s="1"/>
  <c r="AJ103" i="8"/>
  <c r="AD103" i="8" s="1"/>
  <c r="AJ102" i="8"/>
  <c r="AE102" i="8" s="1" a="1"/>
  <c r="AE102" i="8" s="1"/>
  <c r="AJ101" i="8"/>
  <c r="AE101" i="8" s="1" a="1"/>
  <c r="AE101" i="8" s="1"/>
  <c r="AJ100" i="8"/>
  <c r="AE100" i="8" s="1" a="1"/>
  <c r="AE100" i="8" s="1"/>
  <c r="AJ99" i="8"/>
  <c r="AE99" i="8" s="1" a="1"/>
  <c r="AE99" i="8" s="1"/>
  <c r="AJ98" i="8"/>
  <c r="AE98" i="8" s="1" a="1"/>
  <c r="AE98" i="8" s="1"/>
  <c r="AJ97" i="8"/>
  <c r="AE97" i="8" s="1" a="1"/>
  <c r="AE97" i="8" s="1"/>
  <c r="AJ96" i="8"/>
  <c r="AC96" i="8" s="1" a="1"/>
  <c r="AC96" i="8" s="1"/>
  <c r="AJ95" i="8"/>
  <c r="AE95" i="8" s="1" a="1"/>
  <c r="AE95" i="8" s="1"/>
  <c r="AJ94" i="8"/>
  <c r="AE94" i="8" s="1" a="1"/>
  <c r="AE94" i="8" s="1"/>
  <c r="AF198" i="8"/>
  <c r="AD198" i="8"/>
  <c r="AC198" i="8" a="1"/>
  <c r="AC198" i="8" s="1"/>
  <c r="AF197" i="8"/>
  <c r="AF196" i="8"/>
  <c r="AF195" i="8"/>
  <c r="AF194" i="8"/>
  <c r="AF193" i="8"/>
  <c r="AF192" i="8"/>
  <c r="AF191" i="8"/>
  <c r="AF190" i="8"/>
  <c r="AF189" i="8"/>
  <c r="AF188" i="8"/>
  <c r="AF187" i="8"/>
  <c r="AC187" i="8" a="1"/>
  <c r="AC187" i="8" s="1"/>
  <c r="AF186" i="8"/>
  <c r="AF185" i="8"/>
  <c r="AF184" i="8"/>
  <c r="AF183" i="8"/>
  <c r="AF182" i="8"/>
  <c r="AF181" i="8"/>
  <c r="AF180" i="8"/>
  <c r="AF179" i="8"/>
  <c r="AF178" i="8"/>
  <c r="AF177" i="8"/>
  <c r="AF176" i="8"/>
  <c r="AC176" i="8" a="1"/>
  <c r="AC176" i="8" s="1"/>
  <c r="AF175" i="8"/>
  <c r="AF174" i="8"/>
  <c r="AF173" i="8"/>
  <c r="AF172" i="8"/>
  <c r="AF171" i="8"/>
  <c r="AF170" i="8"/>
  <c r="AE170" i="8" a="1"/>
  <c r="AE170" i="8" s="1"/>
  <c r="AF169" i="8"/>
  <c r="AF168" i="8"/>
  <c r="AF167" i="8"/>
  <c r="AF166" i="8"/>
  <c r="AF165" i="8"/>
  <c r="AF164" i="8"/>
  <c r="AF163" i="8"/>
  <c r="AF162" i="8"/>
  <c r="AF161" i="8"/>
  <c r="AF160" i="8"/>
  <c r="AF159" i="8"/>
  <c r="AF158" i="8"/>
  <c r="AF157" i="8"/>
  <c r="AF156" i="8"/>
  <c r="AF155" i="8"/>
  <c r="AF154" i="8"/>
  <c r="AF153" i="8"/>
  <c r="AF152" i="8"/>
  <c r="AF151" i="8"/>
  <c r="AF150" i="8"/>
  <c r="AE150" i="8" a="1"/>
  <c r="AE150" i="8" s="1"/>
  <c r="AF149" i="8"/>
  <c r="AF148" i="8"/>
  <c r="AF147" i="8"/>
  <c r="AF146" i="8"/>
  <c r="AF145" i="8"/>
  <c r="AF144" i="8"/>
  <c r="AF143" i="8"/>
  <c r="AF142" i="8"/>
  <c r="AF141" i="8"/>
  <c r="AE141" i="8" a="1"/>
  <c r="AE141" i="8" s="1"/>
  <c r="AD141" i="8"/>
  <c r="AF140" i="8"/>
  <c r="AF139" i="8"/>
  <c r="AF138" i="8"/>
  <c r="AF137" i="8"/>
  <c r="AF136" i="8"/>
  <c r="AF135" i="8"/>
  <c r="AF134" i="8"/>
  <c r="AF133" i="8"/>
  <c r="AF132" i="8"/>
  <c r="AF131" i="8"/>
  <c r="AF130" i="8"/>
  <c r="AF129" i="8"/>
  <c r="AC129" i="8" a="1"/>
  <c r="AC129" i="8" s="1"/>
  <c r="AF128" i="8"/>
  <c r="AF127" i="8"/>
  <c r="AC127" i="8" a="1"/>
  <c r="AC127" i="8" s="1"/>
  <c r="AF126" i="8"/>
  <c r="AF125" i="8"/>
  <c r="AF124" i="8"/>
  <c r="AF123" i="8"/>
  <c r="AF122" i="8"/>
  <c r="AF121" i="8"/>
  <c r="AF120" i="8"/>
  <c r="AF119" i="8"/>
  <c r="AF118" i="8"/>
  <c r="AF117" i="8"/>
  <c r="AF116" i="8"/>
  <c r="AF115" i="8"/>
  <c r="AE115" i="8" a="1"/>
  <c r="AE115" i="8" s="1"/>
  <c r="AD115" i="8"/>
  <c r="AC115" i="8" a="1"/>
  <c r="AC115" i="8" s="1"/>
  <c r="AF114" i="8"/>
  <c r="AF113" i="8"/>
  <c r="AF112" i="8"/>
  <c r="AF111" i="8"/>
  <c r="AF110" i="8"/>
  <c r="AE110" i="8" a="1"/>
  <c r="AE110" i="8" s="1"/>
  <c r="AF109" i="8"/>
  <c r="AC109" i="8" a="1"/>
  <c r="AC109" i="8" s="1"/>
  <c r="AF108" i="8"/>
  <c r="AF107" i="8"/>
  <c r="AF106" i="8"/>
  <c r="AF105" i="8"/>
  <c r="AF104" i="8"/>
  <c r="AF103" i="8"/>
  <c r="AF102" i="8"/>
  <c r="AC102" i="8" a="1"/>
  <c r="AC102" i="8" s="1"/>
  <c r="AF101" i="8"/>
  <c r="AD101" i="8"/>
  <c r="AC101" i="8" a="1"/>
  <c r="AC101" i="8" s="1"/>
  <c r="AF100" i="8"/>
  <c r="AF99" i="8"/>
  <c r="AF98" i="8"/>
  <c r="AF97" i="8"/>
  <c r="AD97" i="8"/>
  <c r="AC97" i="8" a="1"/>
  <c r="AC97" i="8" s="1"/>
  <c r="AF96" i="8"/>
  <c r="AF95" i="8"/>
  <c r="AF94" i="8"/>
  <c r="X125" i="8"/>
  <c r="X124" i="8"/>
  <c r="X123" i="8"/>
  <c r="X122" i="8"/>
  <c r="X120" i="8"/>
  <c r="X117" i="8"/>
  <c r="X116" i="8"/>
  <c r="X108"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T52" i="11"/>
  <c r="F52" i="11"/>
  <c r="G52" i="11"/>
  <c r="H52" i="11"/>
  <c r="D52" i="11"/>
  <c r="T51" i="11"/>
  <c r="T50" i="11"/>
  <c r="T49" i="11"/>
  <c r="G49" i="11"/>
  <c r="R49" i="11" s="1"/>
  <c r="T48" i="11"/>
  <c r="F48" i="11"/>
  <c r="H48" i="11"/>
  <c r="G48" i="11"/>
  <c r="T47" i="11"/>
  <c r="T46" i="11"/>
  <c r="T45" i="11"/>
  <c r="Z91" i="8"/>
  <c r="Q89" i="8"/>
  <c r="X89" i="8" s="1"/>
  <c r="Z89" i="8"/>
  <c r="Z88" i="8"/>
  <c r="Z93" i="8"/>
  <c r="Z92" i="8"/>
  <c r="Z85" i="8"/>
  <c r="Z84" i="8"/>
  <c r="Q84" i="8"/>
  <c r="X84" i="8" s="1"/>
  <c r="Z81" i="8"/>
  <c r="Z80" i="8"/>
  <c r="Q80" i="8"/>
  <c r="X80" i="8" s="1"/>
  <c r="AF27" i="12"/>
  <c r="AF26" i="12"/>
  <c r="T44" i="11"/>
  <c r="H44" i="11"/>
  <c r="J44" i="11"/>
  <c r="F44" i="11"/>
  <c r="AA26" i="12"/>
  <c r="AE26" i="12" s="1"/>
  <c r="T43" i="11"/>
  <c r="AF25" i="12"/>
  <c r="AF24" i="12"/>
  <c r="H43" i="11"/>
  <c r="R43" i="11" s="1"/>
  <c r="T42" i="11"/>
  <c r="T41" i="11"/>
  <c r="AF23" i="12"/>
  <c r="AF22" i="12"/>
  <c r="AA22" i="12"/>
  <c r="AE22" i="12" s="1"/>
  <c r="Z75" i="8"/>
  <c r="Z74" i="8"/>
  <c r="Z73" i="8"/>
  <c r="Z72" i="8"/>
  <c r="Z77" i="8"/>
  <c r="Z76" i="8"/>
  <c r="H40" i="11"/>
  <c r="R40" i="11" s="1"/>
  <c r="T39" i="11"/>
  <c r="F39" i="11"/>
  <c r="J39" i="11"/>
  <c r="T38" i="11"/>
  <c r="T36" i="11"/>
  <c r="T37" i="11"/>
  <c r="J36" i="11"/>
  <c r="Q70" i="8"/>
  <c r="X70" i="8" s="1"/>
  <c r="Z70" i="8"/>
  <c r="Z71" i="8"/>
  <c r="Q71" i="8"/>
  <c r="X71" i="8" s="1"/>
  <c r="AF21" i="12"/>
  <c r="AF20" i="12"/>
  <c r="Z67" i="8"/>
  <c r="Z66" i="8"/>
  <c r="Z69" i="8"/>
  <c r="Z68" i="8"/>
  <c r="Z65" i="8"/>
  <c r="Z64" i="8"/>
  <c r="T35" i="11"/>
  <c r="H35" i="11"/>
  <c r="F35" i="11"/>
  <c r="T34" i="11"/>
  <c r="T33" i="11"/>
  <c r="T32" i="11"/>
  <c r="F32" i="11"/>
  <c r="R32" i="11" s="1"/>
  <c r="Z58" i="8"/>
  <c r="AF19" i="12"/>
  <c r="AF18" i="12"/>
  <c r="T31" i="11"/>
  <c r="F31" i="11"/>
  <c r="H31" i="11"/>
  <c r="G31" i="11"/>
  <c r="T30" i="11"/>
  <c r="H30" i="11"/>
  <c r="R30" i="11" s="1"/>
  <c r="T29" i="11"/>
  <c r="T24" i="11"/>
  <c r="T28" i="11"/>
  <c r="T27" i="11"/>
  <c r="G27" i="11"/>
  <c r="D27" i="11"/>
  <c r="T26" i="11"/>
  <c r="H26" i="11"/>
  <c r="D26" i="11"/>
  <c r="T25" i="11"/>
  <c r="Q62" i="8"/>
  <c r="X62" i="8" s="1"/>
  <c r="Z63" i="8"/>
  <c r="Q63" i="8"/>
  <c r="X63" i="8" s="1"/>
  <c r="Z61" i="8"/>
  <c r="Z60" i="8"/>
  <c r="Z59" i="8"/>
  <c r="Z57" i="8"/>
  <c r="Z56" i="8"/>
  <c r="Q56" i="8"/>
  <c r="X56" i="8" s="1"/>
  <c r="Z54" i="8"/>
  <c r="Q54" i="8"/>
  <c r="X54" i="8" s="1"/>
  <c r="Z55" i="8"/>
  <c r="Q55" i="8"/>
  <c r="X55" i="8" s="1"/>
  <c r="AF17" i="12"/>
  <c r="AF16" i="12"/>
  <c r="AA17" i="12"/>
  <c r="AE17" i="12" s="1"/>
  <c r="Z53" i="8"/>
  <c r="Z52" i="8"/>
  <c r="Z49" i="8"/>
  <c r="Z48" i="8"/>
  <c r="Q48" i="8"/>
  <c r="X48" i="8" s="1"/>
  <c r="Z51" i="8"/>
  <c r="Z50" i="8"/>
  <c r="T23" i="11"/>
  <c r="G23" i="11"/>
  <c r="H23" i="11"/>
  <c r="F23" i="11"/>
  <c r="T22" i="11"/>
  <c r="T21" i="11"/>
  <c r="T20" i="11"/>
  <c r="D20" i="11"/>
  <c r="R20" i="11" s="1"/>
  <c r="N46" i="8"/>
  <c r="Q46" i="8"/>
  <c r="Z46" i="8"/>
  <c r="Z47" i="8"/>
  <c r="Q47" i="8"/>
  <c r="X47" i="8" s="1"/>
  <c r="AF15" i="12"/>
  <c r="AF14" i="12"/>
  <c r="Z43" i="8"/>
  <c r="Z42" i="8"/>
  <c r="Z41" i="8"/>
  <c r="Z40" i="8"/>
  <c r="Z44" i="8"/>
  <c r="Z45"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AF13" i="12"/>
  <c r="AF12" i="12"/>
  <c r="AA12" i="12"/>
  <c r="AE12" i="12" s="1"/>
  <c r="X33" i="8"/>
  <c r="T19" i="11"/>
  <c r="F19" i="11"/>
  <c r="R19" i="11" s="1"/>
  <c r="T18" i="11"/>
  <c r="T17" i="11"/>
  <c r="Z33" i="8"/>
  <c r="Z32" i="8"/>
  <c r="Q32" i="8"/>
  <c r="X32" i="8" s="1"/>
  <c r="T16" i="11"/>
  <c r="Z35" i="8"/>
  <c r="Z34" i="8"/>
  <c r="Z36" i="8"/>
  <c r="Z37" i="8"/>
  <c r="Q38" i="8"/>
  <c r="N38" i="8"/>
  <c r="M38"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J32" i="8"/>
  <c r="AJ33" i="8"/>
  <c r="AJ34" i="8"/>
  <c r="AJ35" i="8"/>
  <c r="AJ36" i="8"/>
  <c r="AJ37" i="8"/>
  <c r="AJ38" i="8"/>
  <c r="AJ39" i="8"/>
  <c r="AJ40" i="8"/>
  <c r="AJ41" i="8"/>
  <c r="AJ42" i="8"/>
  <c r="AJ43" i="8"/>
  <c r="AJ44" i="8"/>
  <c r="AJ45" i="8"/>
  <c r="AJ46" i="8"/>
  <c r="AJ47" i="8"/>
  <c r="AJ48" i="8"/>
  <c r="AJ49" i="8"/>
  <c r="AJ50" i="8"/>
  <c r="AJ51" i="8"/>
  <c r="AJ52" i="8"/>
  <c r="AJ53" i="8"/>
  <c r="AJ54" i="8"/>
  <c r="AJ55" i="8"/>
  <c r="AJ56" i="8"/>
  <c r="AJ57" i="8"/>
  <c r="AJ58" i="8"/>
  <c r="AJ59" i="8"/>
  <c r="AJ60" i="8"/>
  <c r="AJ61" i="8"/>
  <c r="AJ62" i="8"/>
  <c r="AJ63" i="8"/>
  <c r="AJ64" i="8"/>
  <c r="AJ65" i="8"/>
  <c r="AJ66" i="8"/>
  <c r="AJ67" i="8"/>
  <c r="AJ68" i="8"/>
  <c r="AJ69" i="8"/>
  <c r="AJ70" i="8"/>
  <c r="AJ71" i="8"/>
  <c r="AJ72" i="8"/>
  <c r="AJ73" i="8"/>
  <c r="AJ74" i="8"/>
  <c r="AJ75" i="8"/>
  <c r="AJ76" i="8"/>
  <c r="AJ77" i="8"/>
  <c r="AJ78" i="8"/>
  <c r="AJ79" i="8"/>
  <c r="AJ80" i="8"/>
  <c r="AJ81" i="8"/>
  <c r="AJ82" i="8"/>
  <c r="AJ83" i="8"/>
  <c r="AJ84" i="8"/>
  <c r="AJ85" i="8"/>
  <c r="AJ86" i="8"/>
  <c r="AJ87" i="8"/>
  <c r="AJ88" i="8"/>
  <c r="AJ89" i="8"/>
  <c r="AJ90" i="8"/>
  <c r="AJ91" i="8"/>
  <c r="AJ92" i="8"/>
  <c r="AJ93" i="8"/>
  <c r="X34" i="8"/>
  <c r="X35" i="8"/>
  <c r="X36" i="8"/>
  <c r="X37" i="8"/>
  <c r="X40" i="8"/>
  <c r="X41" i="8"/>
  <c r="X42" i="8"/>
  <c r="X43" i="8"/>
  <c r="X44" i="8"/>
  <c r="X45" i="8"/>
  <c r="X49" i="8"/>
  <c r="X50" i="8"/>
  <c r="X51" i="8"/>
  <c r="X52" i="8"/>
  <c r="X53" i="8"/>
  <c r="X57" i="8"/>
  <c r="X58" i="8"/>
  <c r="X59" i="8"/>
  <c r="X60" i="8"/>
  <c r="X61" i="8"/>
  <c r="X64" i="8"/>
  <c r="X65" i="8"/>
  <c r="X66" i="8"/>
  <c r="X67" i="8"/>
  <c r="X68" i="8"/>
  <c r="X69" i="8"/>
  <c r="X72" i="8"/>
  <c r="X73" i="8"/>
  <c r="X74" i="8"/>
  <c r="X75" i="8"/>
  <c r="X76" i="8"/>
  <c r="X77" i="8"/>
  <c r="X78" i="8"/>
  <c r="X81" i="8"/>
  <c r="X82" i="8"/>
  <c r="X83" i="8"/>
  <c r="X85" i="8"/>
  <c r="X88" i="8"/>
  <c r="X90" i="8"/>
  <c r="X91" i="8"/>
  <c r="X92" i="8"/>
  <c r="X93" i="8"/>
  <c r="X96" i="8"/>
  <c r="X97" i="8"/>
  <c r="X98" i="8"/>
  <c r="X99" i="8"/>
  <c r="X100" i="8"/>
  <c r="Z39" i="8"/>
  <c r="Q39" i="8"/>
  <c r="X39" i="8" s="1"/>
  <c r="Z31" i="8"/>
  <c r="T15" i="11"/>
  <c r="F15" i="11"/>
  <c r="R15" i="11" s="1"/>
  <c r="AF8" i="12"/>
  <c r="AA8" i="12"/>
  <c r="Y8" i="12"/>
  <c r="O8" i="12"/>
  <c r="O2" i="12" s="1"/>
  <c r="AF9" i="12"/>
  <c r="AF11" i="12"/>
  <c r="AF10" i="12"/>
  <c r="AA10" i="12"/>
  <c r="V10" i="12"/>
  <c r="Z26" i="8"/>
  <c r="Q26" i="8"/>
  <c r="X26" i="8" s="1"/>
  <c r="Z27" i="8"/>
  <c r="Q27" i="8"/>
  <c r="X27" i="8" s="1"/>
  <c r="Q31" i="8"/>
  <c r="X31" i="8" s="1"/>
  <c r="T14" i="11"/>
  <c r="F14" i="11"/>
  <c r="R14" i="11" s="1"/>
  <c r="T13" i="11"/>
  <c r="T12" i="11"/>
  <c r="T11" i="11"/>
  <c r="F11" i="11"/>
  <c r="R11" i="11" s="1"/>
  <c r="T10" i="11"/>
  <c r="T9" i="11"/>
  <c r="T8" i="11"/>
  <c r="T6" i="11"/>
  <c r="Z29" i="8"/>
  <c r="Z28" i="8"/>
  <c r="Z20" i="8"/>
  <c r="Z21" i="8"/>
  <c r="Z23" i="8"/>
  <c r="Z22" i="8"/>
  <c r="Z25" i="8"/>
  <c r="Z24" i="8"/>
  <c r="T18" i="8"/>
  <c r="Q18" i="8"/>
  <c r="Z19" i="8"/>
  <c r="Q19" i="8"/>
  <c r="X19" i="8" s="1"/>
  <c r="AF6" i="12"/>
  <c r="R6" i="12"/>
  <c r="AE6" i="12" s="1"/>
  <c r="AF7" i="12"/>
  <c r="Z15" i="8"/>
  <c r="Z14" i="8"/>
  <c r="Z12" i="8"/>
  <c r="Q12" i="8"/>
  <c r="Z17" i="8"/>
  <c r="Z16" i="8"/>
  <c r="X14" i="8"/>
  <c r="X15" i="8"/>
  <c r="X16" i="8"/>
  <c r="X17" i="8"/>
  <c r="X20" i="8"/>
  <c r="X21" i="8"/>
  <c r="AF5" i="12"/>
  <c r="AF4" i="12"/>
  <c r="AA4" i="12"/>
  <c r="AE4" i="12" s="1"/>
  <c r="F7" i="11"/>
  <c r="J7" i="11"/>
  <c r="T4" i="11"/>
  <c r="T5" i="11"/>
  <c r="Z10" i="8"/>
  <c r="Q10" i="8"/>
  <c r="X10" i="8" s="1"/>
  <c r="Q11" i="8"/>
  <c r="X11" i="8" s="1"/>
  <c r="Z5" i="8"/>
  <c r="Z4" i="8"/>
  <c r="Q4" i="8"/>
  <c r="X4" i="8" s="1"/>
  <c r="Z7" i="8"/>
  <c r="Z6" i="8"/>
  <c r="Z9" i="8"/>
  <c r="Z8" i="8"/>
  <c r="AJ31" i="8"/>
  <c r="AD31" i="8" s="1"/>
  <c r="AJ30" i="8"/>
  <c r="AD30" i="8" s="1"/>
  <c r="AJ29" i="8"/>
  <c r="AD29" i="8" s="1"/>
  <c r="AJ28" i="8"/>
  <c r="AD28" i="8" s="1"/>
  <c r="AJ27" i="8"/>
  <c r="AD27" i="8" s="1"/>
  <c r="AJ26" i="8"/>
  <c r="AD26" i="8" s="1"/>
  <c r="AJ25" i="8"/>
  <c r="AD25" i="8" s="1"/>
  <c r="AJ24" i="8"/>
  <c r="AD24" i="8" s="1"/>
  <c r="AJ23" i="8"/>
  <c r="AD23" i="8" s="1"/>
  <c r="AJ22" i="8"/>
  <c r="AD22" i="8" s="1"/>
  <c r="AJ21" i="8"/>
  <c r="AD21" i="8" s="1"/>
  <c r="AJ20" i="8"/>
  <c r="AD20" i="8" s="1"/>
  <c r="AJ19" i="8"/>
  <c r="AD19" i="8" s="1"/>
  <c r="AJ18" i="8"/>
  <c r="AD18" i="8" s="1"/>
  <c r="AJ17" i="8"/>
  <c r="AD17" i="8" s="1"/>
  <c r="AJ16" i="8"/>
  <c r="AD16" i="8" s="1"/>
  <c r="AJ15" i="8"/>
  <c r="AD15" i="8" s="1"/>
  <c r="AJ14" i="8"/>
  <c r="AD14" i="8" s="1"/>
  <c r="AK13" i="8"/>
  <c r="AJ13" i="8"/>
  <c r="AD13" i="8" s="1"/>
  <c r="AJ12" i="8"/>
  <c r="AD12" i="8" s="1"/>
  <c r="AJ11" i="8"/>
  <c r="AD11" i="8" s="1"/>
  <c r="AJ10" i="8"/>
  <c r="AD10" i="8" s="1"/>
  <c r="AJ9" i="8"/>
  <c r="AD9" i="8" s="1"/>
  <c r="AJ8" i="8"/>
  <c r="AD8" i="8" s="1"/>
  <c r="AJ7" i="8"/>
  <c r="AD7" i="8" s="1"/>
  <c r="AJ6" i="8"/>
  <c r="AD6" i="8" s="1"/>
  <c r="AJ5" i="8"/>
  <c r="AD5" i="8" s="1"/>
  <c r="AJ4" i="8"/>
  <c r="AD4" i="8" s="1"/>
  <c r="AF31" i="8"/>
  <c r="AF30" i="8"/>
  <c r="AF29" i="8"/>
  <c r="AF28" i="8"/>
  <c r="AF27" i="8"/>
  <c r="AF26" i="8"/>
  <c r="AF25" i="8"/>
  <c r="AF24" i="8"/>
  <c r="AF23" i="8"/>
  <c r="AF22" i="8"/>
  <c r="AF21" i="8"/>
  <c r="AF20" i="8"/>
  <c r="AC20" i="8" a="1"/>
  <c r="AC20" i="8" s="1"/>
  <c r="AF19" i="8"/>
  <c r="AF18" i="8"/>
  <c r="AF17" i="8"/>
  <c r="AF16" i="8"/>
  <c r="AF15" i="8"/>
  <c r="AC15" i="8" a="1"/>
  <c r="AC15" i="8" s="1"/>
  <c r="AF14" i="8"/>
  <c r="AF13" i="8"/>
  <c r="AF12" i="8"/>
  <c r="AF11" i="8"/>
  <c r="AF10" i="8"/>
  <c r="AF9" i="8"/>
  <c r="AF8" i="8"/>
  <c r="AF7" i="8"/>
  <c r="AF6" i="8"/>
  <c r="AE6" i="8" a="1"/>
  <c r="AE6" i="8" s="1"/>
  <c r="AF5" i="8"/>
  <c r="AE5" i="8" a="1"/>
  <c r="AE5" i="8" s="1"/>
  <c r="AF4" i="8"/>
  <c r="AE4" i="8" a="1"/>
  <c r="AE4" i="8" s="1"/>
  <c r="X13" i="8"/>
  <c r="X12" i="8"/>
  <c r="X9" i="8"/>
  <c r="X8" i="8"/>
  <c r="X7" i="8"/>
  <c r="X6" i="8"/>
  <c r="X5"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AU45" i="12"/>
  <c r="AU43" i="12"/>
  <c r="AU41" i="12"/>
  <c r="AU39" i="12"/>
  <c r="AU37" i="12"/>
  <c r="AU35" i="12"/>
  <c r="AU33" i="12"/>
  <c r="AU31" i="12"/>
  <c r="AU29" i="12"/>
  <c r="AU27" i="12"/>
  <c r="AU25" i="12"/>
  <c r="AU23" i="12"/>
  <c r="AU21" i="12"/>
  <c r="AU19" i="12"/>
  <c r="AU17" i="12"/>
  <c r="AU15" i="12"/>
  <c r="AU13" i="12"/>
  <c r="AU11" i="12"/>
  <c r="AU9" i="12"/>
  <c r="AU7" i="12"/>
  <c r="AU5" i="12"/>
  <c r="AE46" i="12"/>
  <c r="AE45" i="12"/>
  <c r="AE44" i="12"/>
  <c r="AE43" i="12"/>
  <c r="AE42" i="12"/>
  <c r="AE41" i="12"/>
  <c r="AE40" i="12"/>
  <c r="AE39" i="12"/>
  <c r="AE37" i="12"/>
  <c r="AE36" i="12"/>
  <c r="AE35" i="12"/>
  <c r="AE34" i="12"/>
  <c r="AE33" i="12"/>
  <c r="AE31" i="12"/>
  <c r="AE29" i="12"/>
  <c r="AE27" i="12"/>
  <c r="AE25" i="12"/>
  <c r="AE24" i="12"/>
  <c r="AE23" i="12"/>
  <c r="AE21" i="12"/>
  <c r="AE20" i="12"/>
  <c r="AE19" i="12"/>
  <c r="AE18" i="12"/>
  <c r="AE16" i="12"/>
  <c r="AE15" i="12"/>
  <c r="AE14" i="12"/>
  <c r="AE13" i="12"/>
  <c r="AE11" i="12"/>
  <c r="AE9" i="12"/>
  <c r="AE7" i="12"/>
  <c r="AE5"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AP47" i="12"/>
  <c r="AI47" i="12" s="1" a="1"/>
  <c r="AI47" i="12" s="1"/>
  <c r="AP46" i="12"/>
  <c r="AI46" i="12" s="1" a="1"/>
  <c r="AI46" i="12" s="1"/>
  <c r="AP45" i="12"/>
  <c r="AI45" i="12" s="1" a="1"/>
  <c r="AI45" i="12" s="1"/>
  <c r="AP44" i="12"/>
  <c r="AI44" i="12" s="1" a="1"/>
  <c r="AI44" i="12" s="1"/>
  <c r="AP43" i="12"/>
  <c r="AJ43" i="12" s="1" a="1"/>
  <c r="AJ43" i="12" s="1"/>
  <c r="AK43" i="12" s="1" a="1"/>
  <c r="AK43" i="12" s="1"/>
  <c r="AP42" i="12"/>
  <c r="AJ42" i="12" s="1" a="1"/>
  <c r="AJ42" i="12" s="1"/>
  <c r="AK42" i="12" s="1" a="1"/>
  <c r="AK42" i="12" s="1"/>
  <c r="AP41" i="12"/>
  <c r="AJ41" i="12" s="1" a="1"/>
  <c r="AJ41" i="12" s="1"/>
  <c r="AK41" i="12" s="1" a="1"/>
  <c r="AK41" i="12" s="1"/>
  <c r="AP40" i="12"/>
  <c r="AJ40" i="12" s="1" a="1"/>
  <c r="AJ40" i="12" s="1"/>
  <c r="AK40" i="12" s="1" a="1"/>
  <c r="AK40" i="12" s="1"/>
  <c r="AQ39" i="12"/>
  <c r="AP39" i="12"/>
  <c r="AI39" i="12" s="1" a="1"/>
  <c r="AI39" i="12" s="1"/>
  <c r="AP38" i="12"/>
  <c r="AJ38" i="12" s="1" a="1"/>
  <c r="AJ38" i="12" s="1"/>
  <c r="AK38" i="12" s="1" a="1"/>
  <c r="AK38" i="12" s="1"/>
  <c r="AP37" i="12"/>
  <c r="AJ37" i="12" s="1" a="1"/>
  <c r="AJ37" i="12" s="1"/>
  <c r="AK37" i="12" s="1" a="1"/>
  <c r="AK37" i="12" s="1"/>
  <c r="AP36" i="12"/>
  <c r="AI36" i="12" s="1" a="1"/>
  <c r="AI36" i="12" s="1"/>
  <c r="AP35" i="12"/>
  <c r="AI35" i="12" s="1" a="1"/>
  <c r="AI35" i="12" s="1"/>
  <c r="AP34" i="12"/>
  <c r="AJ34" i="12" s="1" a="1"/>
  <c r="AJ34" i="12" s="1"/>
  <c r="AK34" i="12" s="1" a="1"/>
  <c r="AK34" i="12" s="1"/>
  <c r="AP33" i="12"/>
  <c r="AJ33" i="12" s="1" a="1"/>
  <c r="AJ33" i="12" s="1"/>
  <c r="AK33" i="12" s="1" a="1"/>
  <c r="AK33" i="12" s="1"/>
  <c r="AP32" i="12"/>
  <c r="AI32" i="12" s="1" a="1"/>
  <c r="AI32" i="12" s="1"/>
  <c r="AP31" i="12"/>
  <c r="AI31" i="12" s="1" a="1"/>
  <c r="AI31" i="12" s="1"/>
  <c r="AP30" i="12"/>
  <c r="AI30" i="12" s="1" a="1"/>
  <c r="AI30" i="12" s="1"/>
  <c r="AP29" i="12"/>
  <c r="AJ29" i="12" s="1" a="1"/>
  <c r="AJ29" i="12" s="1"/>
  <c r="AK29" i="12" s="1" a="1"/>
  <c r="AK29" i="12" s="1"/>
  <c r="AP28" i="12"/>
  <c r="AI28" i="12" s="1" a="1"/>
  <c r="AI28" i="12" s="1"/>
  <c r="AP27" i="12"/>
  <c r="AP26" i="12"/>
  <c r="AJ26" i="12" s="1" a="1"/>
  <c r="AJ26" i="12" s="1"/>
  <c r="AK26" i="12" s="1" a="1"/>
  <c r="AK26" i="12" s="1"/>
  <c r="AP25" i="12"/>
  <c r="AI25" i="12" s="1" a="1"/>
  <c r="AI25" i="12" s="1"/>
  <c r="AP24" i="12"/>
  <c r="AJ24" i="12" s="1" a="1"/>
  <c r="AJ24" i="12" s="1"/>
  <c r="AK24" i="12" s="1" a="1"/>
  <c r="AK24" i="12" s="1"/>
  <c r="AP23" i="12"/>
  <c r="AJ23" i="12" s="1" a="1"/>
  <c r="AJ23" i="12" s="1"/>
  <c r="AK23" i="12" s="1" a="1"/>
  <c r="AK23" i="12" s="1"/>
  <c r="AP22" i="12"/>
  <c r="AI22" i="12" s="1" a="1"/>
  <c r="AI22" i="12" s="1"/>
  <c r="AP21" i="12"/>
  <c r="AJ21" i="12" s="1" a="1"/>
  <c r="AJ21" i="12" s="1"/>
  <c r="AK21" i="12" s="1" a="1"/>
  <c r="AK21" i="12" s="1"/>
  <c r="AP20" i="12"/>
  <c r="AJ20" i="12" s="1" a="1"/>
  <c r="AJ20" i="12" s="1"/>
  <c r="AK20" i="12" s="1" a="1"/>
  <c r="AK20" i="12" s="1"/>
  <c r="AP19" i="12"/>
  <c r="AJ19" i="12" s="1" a="1"/>
  <c r="AJ19" i="12" s="1"/>
  <c r="AK19" i="12" s="1" a="1"/>
  <c r="AK19" i="12" s="1"/>
  <c r="AP18" i="12"/>
  <c r="AJ18" i="12" s="1" a="1"/>
  <c r="AJ18" i="12" s="1"/>
  <c r="AK18" i="12" s="1" a="1"/>
  <c r="AK18" i="12" s="1"/>
  <c r="AP17" i="12"/>
  <c r="AJ17" i="12" s="1" a="1"/>
  <c r="AJ17" i="12" s="1"/>
  <c r="AK17" i="12" s="1" a="1"/>
  <c r="AK17" i="12" s="1"/>
  <c r="AP16" i="12"/>
  <c r="AI16" i="12" s="1" a="1"/>
  <c r="AI16" i="12" s="1"/>
  <c r="AP15" i="12"/>
  <c r="AI15" i="12" s="1" a="1"/>
  <c r="AI15" i="12" s="1"/>
  <c r="AP14" i="12"/>
  <c r="AJ14" i="12" s="1" a="1"/>
  <c r="AJ14" i="12" s="1"/>
  <c r="AK14" i="12" s="1" a="1"/>
  <c r="AK14" i="12" s="1"/>
  <c r="AP13" i="12"/>
  <c r="AJ13" i="12" s="1" a="1"/>
  <c r="AJ13" i="12" s="1"/>
  <c r="AK13" i="12" s="1" a="1"/>
  <c r="AK13" i="12" s="1"/>
  <c r="AP12" i="12"/>
  <c r="AJ12" i="12" s="1" a="1"/>
  <c r="AJ12" i="12" s="1"/>
  <c r="AK12" i="12" s="1" a="1"/>
  <c r="AK12" i="12" s="1"/>
  <c r="AP11" i="12"/>
  <c r="AI11" i="12" s="1" a="1"/>
  <c r="AI11" i="12" s="1"/>
  <c r="AP10" i="12"/>
  <c r="AJ10" i="12" s="1" a="1"/>
  <c r="AJ10" i="12" s="1"/>
  <c r="AK10" i="12" s="1" a="1"/>
  <c r="AK10" i="12" s="1"/>
  <c r="AP9" i="12"/>
  <c r="AI9" i="12" s="1" a="1"/>
  <c r="AI9" i="12" s="1"/>
  <c r="AP8" i="12"/>
  <c r="AJ8" i="12" s="1" a="1"/>
  <c r="AJ8" i="12" s="1"/>
  <c r="AK8" i="12" s="1" a="1"/>
  <c r="AK8" i="12" s="1"/>
  <c r="AP7" i="12"/>
  <c r="AJ7" i="12" s="1" a="1"/>
  <c r="AJ7" i="12" s="1"/>
  <c r="AK7" i="12" s="1" a="1"/>
  <c r="AK7" i="12" s="1"/>
  <c r="AP6" i="12"/>
  <c r="AJ6" i="12" s="1" a="1"/>
  <c r="AJ6" i="12" s="1"/>
  <c r="AK6" i="12" s="1" a="1"/>
  <c r="AK6" i="12" s="1"/>
  <c r="AP5" i="12"/>
  <c r="AJ5" i="12" s="1" a="1"/>
  <c r="AJ5" i="12" s="1"/>
  <c r="AK5" i="12" s="1" a="1"/>
  <c r="AK5" i="12" s="1"/>
  <c r="AP4" i="12"/>
  <c r="AJ4" i="12" s="1" a="1"/>
  <c r="AJ4" i="12" s="1"/>
  <c r="AK4" i="12" s="1" a="1"/>
  <c r="AK4" i="12" s="1"/>
  <c r="AL47" i="12"/>
  <c r="AL46" i="12"/>
  <c r="AL45" i="12"/>
  <c r="AL44" i="12"/>
  <c r="AJ44" i="12" a="1"/>
  <c r="AJ44" i="12" s="1"/>
  <c r="AK44" i="12" s="1" a="1"/>
  <c r="AK44" i="12" s="1"/>
  <c r="AL43" i="12"/>
  <c r="AL42" i="12"/>
  <c r="AL41" i="12"/>
  <c r="AL40" i="12"/>
  <c r="AL39" i="12"/>
  <c r="AL38" i="12"/>
  <c r="AI38" i="12" a="1"/>
  <c r="AI38" i="12" s="1"/>
  <c r="AL37" i="12"/>
  <c r="AL36" i="12"/>
  <c r="AL35" i="12"/>
  <c r="AJ35" i="12" a="1"/>
  <c r="AJ35" i="12" s="1"/>
  <c r="AK35" i="12" s="1" a="1"/>
  <c r="AK35" i="12" s="1"/>
  <c r="AL34" i="12"/>
  <c r="AL33" i="12"/>
  <c r="AL32" i="12"/>
  <c r="AL31" i="12"/>
  <c r="AL30" i="12"/>
  <c r="AL29" i="12"/>
  <c r="AL28" i="12"/>
  <c r="AL27" i="12"/>
  <c r="AJ27" i="12" a="1"/>
  <c r="AJ27" i="12" s="1"/>
  <c r="AK27" i="12" s="1" a="1"/>
  <c r="AK27" i="12" s="1"/>
  <c r="AI27" i="12" a="1"/>
  <c r="AI27" i="12" s="1"/>
  <c r="AL26" i="12"/>
  <c r="AI26" i="12" a="1"/>
  <c r="AI26" i="12" s="1"/>
  <c r="AL25" i="12"/>
  <c r="AL24" i="12"/>
  <c r="AL23" i="12"/>
  <c r="AL22" i="12"/>
  <c r="AL21" i="12"/>
  <c r="AL20" i="12"/>
  <c r="AL19" i="12"/>
  <c r="AL18" i="12"/>
  <c r="AL17" i="12"/>
  <c r="AL16" i="12"/>
  <c r="AL15" i="12"/>
  <c r="AL14" i="12"/>
  <c r="AL13" i="12"/>
  <c r="AL12" i="12"/>
  <c r="AL11" i="12"/>
  <c r="AL10" i="12"/>
  <c r="AL9" i="12"/>
  <c r="AL8" i="12"/>
  <c r="AL7" i="12"/>
  <c r="AL6" i="12"/>
  <c r="AL5" i="12"/>
  <c r="AL4"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C6" i="12"/>
  <c r="C5" i="12"/>
  <c r="C4" i="12"/>
  <c r="X4" i="11"/>
  <c r="X5" i="11"/>
  <c r="X6" i="11"/>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106" i="8"/>
  <c r="X101" i="8"/>
  <c r="X30" i="8"/>
  <c r="X29" i="8"/>
  <c r="X28" i="8"/>
  <c r="X25" i="8"/>
  <c r="X24" i="8"/>
  <c r="X23" i="8"/>
  <c r="X22" i="8"/>
  <c r="B4" i="11"/>
  <c r="R4" i="11"/>
  <c r="Z4" i="11"/>
  <c r="AD4" i="11"/>
  <c r="W4" i="11" s="1" a="1"/>
  <c r="W4" i="11" s="1"/>
  <c r="B5" i="11"/>
  <c r="R5" i="11"/>
  <c r="Z5" i="11"/>
  <c r="AD5" i="11"/>
  <c r="W5" i="11" s="1" a="1"/>
  <c r="W5" i="11" s="1"/>
  <c r="B6" i="11"/>
  <c r="R6" i="11"/>
  <c r="Z6" i="11"/>
  <c r="AD6" i="11"/>
  <c r="W6" i="11" s="1" a="1"/>
  <c r="W6" i="11" s="1"/>
  <c r="B7" i="11"/>
  <c r="Z7" i="11"/>
  <c r="AD7" i="11"/>
  <c r="W7" i="11" s="1" a="1"/>
  <c r="W7" i="11" s="1"/>
  <c r="B8" i="11"/>
  <c r="R8" i="11"/>
  <c r="Z8" i="11"/>
  <c r="AD8" i="11"/>
  <c r="W8" i="11" s="1" a="1"/>
  <c r="W8" i="11" s="1"/>
  <c r="B9" i="11"/>
  <c r="R9" i="11"/>
  <c r="Z9" i="11"/>
  <c r="AD9" i="11"/>
  <c r="W9" i="11" s="1" a="1"/>
  <c r="W9" i="11" s="1"/>
  <c r="B10" i="11"/>
  <c r="R10" i="11"/>
  <c r="Z10" i="11"/>
  <c r="AD10" i="11"/>
  <c r="W10" i="11" s="1" a="1"/>
  <c r="W10" i="11" s="1"/>
  <c r="B11" i="11"/>
  <c r="Z11" i="11"/>
  <c r="AD11" i="11"/>
  <c r="W11" i="11" s="1" a="1"/>
  <c r="W11" i="11" s="1"/>
  <c r="B12" i="11"/>
  <c r="R12" i="11"/>
  <c r="Z12" i="11"/>
  <c r="AD12" i="11"/>
  <c r="W12" i="11" s="1" a="1"/>
  <c r="W12" i="11" s="1"/>
  <c r="B13" i="11"/>
  <c r="R13" i="11"/>
  <c r="Z13" i="11"/>
  <c r="AD13" i="11"/>
  <c r="W13" i="11" s="1" a="1"/>
  <c r="W13" i="11" s="1"/>
  <c r="B14" i="11"/>
  <c r="Z14" i="11"/>
  <c r="AD14" i="11"/>
  <c r="W14" i="11" s="1" a="1"/>
  <c r="W14" i="11" s="1"/>
  <c r="B15" i="11"/>
  <c r="Z15" i="11"/>
  <c r="AD15" i="11"/>
  <c r="W15" i="11" s="1" a="1"/>
  <c r="W15" i="11" s="1"/>
  <c r="B16" i="11"/>
  <c r="R16" i="11"/>
  <c r="Z16" i="11"/>
  <c r="AD16" i="11"/>
  <c r="W16" i="11" s="1" a="1"/>
  <c r="W16" i="11" s="1"/>
  <c r="B17" i="11"/>
  <c r="R17" i="11"/>
  <c r="Z17" i="11"/>
  <c r="AD17" i="11"/>
  <c r="W17" i="11" s="1" a="1"/>
  <c r="W17" i="11" s="1"/>
  <c r="B18" i="11"/>
  <c r="R18" i="11"/>
  <c r="Z18" i="11"/>
  <c r="AD18" i="11"/>
  <c r="W18" i="11" s="1" a="1"/>
  <c r="W18" i="11" s="1"/>
  <c r="B19" i="11"/>
  <c r="Z19" i="11"/>
  <c r="AD19" i="11"/>
  <c r="W19" i="11" s="1" a="1"/>
  <c r="W19" i="11" s="1"/>
  <c r="B20" i="11"/>
  <c r="Z20" i="11"/>
  <c r="AD20" i="11"/>
  <c r="W20" i="11" s="1" a="1"/>
  <c r="W20" i="11" s="1"/>
  <c r="B21" i="11"/>
  <c r="R21" i="11"/>
  <c r="Z21" i="11"/>
  <c r="AD21" i="11"/>
  <c r="W21" i="11" s="1" a="1"/>
  <c r="W21" i="11" s="1"/>
  <c r="B22" i="11"/>
  <c r="R22" i="11"/>
  <c r="Z22" i="11"/>
  <c r="AD22" i="11"/>
  <c r="W22" i="11" s="1" a="1"/>
  <c r="W22" i="11" s="1"/>
  <c r="B23" i="11"/>
  <c r="Z23" i="11"/>
  <c r="AD23" i="11"/>
  <c r="W23" i="11" s="1" a="1"/>
  <c r="W23" i="11" s="1"/>
  <c r="B24" i="11"/>
  <c r="R24" i="11"/>
  <c r="Z24" i="11"/>
  <c r="AD24" i="11"/>
  <c r="W24" i="11" s="1" a="1"/>
  <c r="W24" i="11" s="1"/>
  <c r="B25" i="11"/>
  <c r="R25" i="11"/>
  <c r="Z25" i="11"/>
  <c r="AD25" i="11"/>
  <c r="W25" i="11" s="1" a="1"/>
  <c r="W25" i="11" s="1"/>
  <c r="B26" i="11"/>
  <c r="Z26" i="11"/>
  <c r="AD26" i="11"/>
  <c r="W26" i="11" s="1" a="1"/>
  <c r="W26" i="11" s="1"/>
  <c r="B27" i="11"/>
  <c r="Z27" i="11"/>
  <c r="AD27" i="11"/>
  <c r="W27" i="11" s="1" a="1"/>
  <c r="W27" i="11" s="1"/>
  <c r="B28" i="11"/>
  <c r="R28" i="11"/>
  <c r="Z28" i="11"/>
  <c r="AD28" i="11"/>
  <c r="W28" i="11" s="1" a="1"/>
  <c r="W28" i="11" s="1"/>
  <c r="B29" i="11"/>
  <c r="R29" i="11"/>
  <c r="Z29" i="11"/>
  <c r="AD29" i="11"/>
  <c r="W29" i="11" s="1" a="1"/>
  <c r="W29" i="11" s="1"/>
  <c r="B30" i="11"/>
  <c r="Z30" i="11"/>
  <c r="AD30" i="11"/>
  <c r="W30" i="11" s="1" a="1"/>
  <c r="W30" i="11" s="1"/>
  <c r="B31" i="11"/>
  <c r="Z31" i="11"/>
  <c r="AD31" i="11"/>
  <c r="W31" i="11" s="1" a="1"/>
  <c r="W31" i="11" s="1"/>
  <c r="B32" i="11"/>
  <c r="Z32" i="11"/>
  <c r="AD32" i="11"/>
  <c r="W32" i="11" s="1" a="1"/>
  <c r="W32" i="11" s="1"/>
  <c r="B33" i="11"/>
  <c r="R33" i="11"/>
  <c r="Z33" i="11"/>
  <c r="AD33" i="11"/>
  <c r="W33" i="11" s="1" a="1"/>
  <c r="W33" i="11" s="1"/>
  <c r="B34" i="11"/>
  <c r="R34" i="11"/>
  <c r="Z34" i="11"/>
  <c r="AD34" i="11"/>
  <c r="W34" i="11" s="1" a="1"/>
  <c r="W34" i="11" s="1"/>
  <c r="B35" i="11"/>
  <c r="Z35" i="11"/>
  <c r="AD35" i="11"/>
  <c r="W35" i="11" s="1" a="1"/>
  <c r="W35" i="11" s="1"/>
  <c r="B36" i="11"/>
  <c r="Z36" i="11"/>
  <c r="AD36" i="11"/>
  <c r="W36" i="11" s="1" a="1"/>
  <c r="W36" i="11" s="1"/>
  <c r="B37" i="11"/>
  <c r="R37" i="11"/>
  <c r="Z37" i="11"/>
  <c r="AD37" i="11"/>
  <c r="W37" i="11" s="1" a="1"/>
  <c r="W37" i="11" s="1"/>
  <c r="B38" i="11"/>
  <c r="R38" i="11"/>
  <c r="Z38" i="11"/>
  <c r="AD38" i="11"/>
  <c r="W38" i="11" s="1" a="1"/>
  <c r="W38" i="11" s="1"/>
  <c r="B39" i="11"/>
  <c r="Z39" i="11"/>
  <c r="AD39" i="11"/>
  <c r="W39" i="11" s="1" a="1"/>
  <c r="W39" i="11" s="1"/>
  <c r="B40" i="11"/>
  <c r="Z40" i="11"/>
  <c r="AD40" i="11"/>
  <c r="W40" i="11" s="1" a="1"/>
  <c r="W40" i="11" s="1"/>
  <c r="B41" i="11"/>
  <c r="R41" i="11"/>
  <c r="Z41" i="11"/>
  <c r="AD41" i="11"/>
  <c r="B42" i="11"/>
  <c r="R42" i="11"/>
  <c r="Z42" i="11"/>
  <c r="AD42" i="11"/>
  <c r="B43" i="11"/>
  <c r="Z43" i="11"/>
  <c r="AD43" i="11"/>
  <c r="W43" i="11" s="1" a="1"/>
  <c r="W43" i="11" s="1"/>
  <c r="B44" i="11"/>
  <c r="Z44" i="11"/>
  <c r="AD44" i="11"/>
  <c r="W44" i="11" s="1" a="1"/>
  <c r="W44" i="11" s="1"/>
  <c r="B45" i="11"/>
  <c r="R45" i="11"/>
  <c r="Z45" i="11"/>
  <c r="AD45" i="11"/>
  <c r="W45" i="11" s="1" a="1"/>
  <c r="W45" i="11" s="1"/>
  <c r="B46" i="11"/>
  <c r="R46" i="11"/>
  <c r="Z46" i="11"/>
  <c r="AD46" i="11"/>
  <c r="W46" i="11" s="1" a="1"/>
  <c r="W46" i="11" s="1"/>
  <c r="B47" i="11"/>
  <c r="R47" i="11"/>
  <c r="Z47" i="11"/>
  <c r="AD47" i="11"/>
  <c r="W47" i="11" s="1" a="1"/>
  <c r="W47" i="11" s="1"/>
  <c r="B48" i="11"/>
  <c r="Z48" i="11"/>
  <c r="AD48" i="11"/>
  <c r="W48" i="11" s="1" a="1"/>
  <c r="W48" i="11" s="1"/>
  <c r="B49" i="11"/>
  <c r="Z49" i="11"/>
  <c r="AD49" i="11"/>
  <c r="W49" i="11" s="1" a="1"/>
  <c r="W49" i="11" s="1"/>
  <c r="B50" i="11"/>
  <c r="R50" i="11"/>
  <c r="Z50" i="11"/>
  <c r="AD50" i="11"/>
  <c r="W50" i="11" s="1" a="1"/>
  <c r="W50" i="11" s="1"/>
  <c r="B51" i="11"/>
  <c r="R51" i="11"/>
  <c r="Z51" i="11"/>
  <c r="AD51" i="11"/>
  <c r="W51" i="11" s="1" a="1"/>
  <c r="W51" i="11" s="1"/>
  <c r="B52" i="11"/>
  <c r="Z52" i="11"/>
  <c r="AD52" i="11"/>
  <c r="W52" i="11" s="1" a="1"/>
  <c r="W52" i="11" s="1"/>
  <c r="B53" i="11"/>
  <c r="Z53" i="11"/>
  <c r="AD53" i="11"/>
  <c r="W53" i="11" s="1" a="1"/>
  <c r="W53" i="11" s="1"/>
  <c r="B54" i="11"/>
  <c r="R54" i="11"/>
  <c r="Z54" i="11"/>
  <c r="AD54" i="11"/>
  <c r="W54" i="11" s="1" a="1"/>
  <c r="W54" i="11" s="1"/>
  <c r="B55" i="11"/>
  <c r="R55" i="11"/>
  <c r="Z55" i="11"/>
  <c r="AD55" i="11"/>
  <c r="W55" i="11" s="1" a="1"/>
  <c r="W55" i="11" s="1"/>
  <c r="B56" i="11"/>
  <c r="Z56" i="11"/>
  <c r="AD56" i="11"/>
  <c r="W56" i="11" s="1" a="1"/>
  <c r="W56" i="11" s="1"/>
  <c r="B57" i="11"/>
  <c r="Z57" i="11"/>
  <c r="AD57" i="11"/>
  <c r="W57" i="11" s="1" a="1"/>
  <c r="W57" i="11" s="1"/>
  <c r="B58" i="11"/>
  <c r="R58" i="11"/>
  <c r="Z58" i="11"/>
  <c r="AD58" i="11"/>
  <c r="W58" i="11" s="1" a="1"/>
  <c r="W58" i="11" s="1"/>
  <c r="B59" i="11"/>
  <c r="R59" i="11"/>
  <c r="Z59" i="11"/>
  <c r="AD59" i="11"/>
  <c r="W59" i="11" s="1" a="1"/>
  <c r="W59" i="11" s="1"/>
  <c r="B60" i="11"/>
  <c r="Z60" i="11"/>
  <c r="AD60" i="11"/>
  <c r="W60" i="11" s="1" a="1"/>
  <c r="W60" i="11" s="1"/>
  <c r="B61" i="11"/>
  <c r="Z61" i="11"/>
  <c r="AD61" i="11"/>
  <c r="W61" i="11" s="1" a="1"/>
  <c r="W61" i="11" s="1"/>
  <c r="B62" i="11"/>
  <c r="R62" i="11"/>
  <c r="Z62" i="11"/>
  <c r="AD62" i="11"/>
  <c r="W62" i="11" s="1" a="1"/>
  <c r="W62" i="11" s="1"/>
  <c r="B63" i="11"/>
  <c r="R63" i="11"/>
  <c r="Z63" i="11"/>
  <c r="AD63" i="11"/>
  <c r="W63" i="11" s="1" a="1"/>
  <c r="W63" i="11" s="1"/>
  <c r="B64" i="11"/>
  <c r="Z64" i="11"/>
  <c r="AD64" i="11"/>
  <c r="W64" i="11" s="1" a="1"/>
  <c r="W64" i="11" s="1"/>
  <c r="B65" i="11"/>
  <c r="R65" i="11"/>
  <c r="Z65" i="11"/>
  <c r="AD65" i="11"/>
  <c r="W65" i="11" s="1" a="1"/>
  <c r="W65" i="11" s="1"/>
  <c r="B66" i="11"/>
  <c r="Z66" i="11"/>
  <c r="AD66" i="11"/>
  <c r="W66" i="11" s="1" a="1"/>
  <c r="W66" i="11" s="1"/>
  <c r="B67" i="11"/>
  <c r="R67" i="11"/>
  <c r="Z67" i="11"/>
  <c r="AD67" i="11"/>
  <c r="W67" i="11" s="1" a="1"/>
  <c r="W67" i="11" s="1"/>
  <c r="B68" i="11"/>
  <c r="Z68" i="11"/>
  <c r="AD68" i="11"/>
  <c r="W68" i="11" s="1" a="1"/>
  <c r="W68" i="11" s="1"/>
  <c r="B69" i="11"/>
  <c r="Z69" i="11"/>
  <c r="AD69" i="11"/>
  <c r="W69" i="11" s="1" a="1"/>
  <c r="W69" i="11" s="1"/>
  <c r="B70" i="11"/>
  <c r="R70" i="11"/>
  <c r="Z70" i="11"/>
  <c r="AD70" i="11"/>
  <c r="W70" i="11" s="1" a="1"/>
  <c r="W70" i="11" s="1"/>
  <c r="B71" i="11"/>
  <c r="R71" i="11"/>
  <c r="Z71" i="11"/>
  <c r="AD71" i="11"/>
  <c r="W71" i="11" s="1" a="1"/>
  <c r="W71" i="11" s="1"/>
  <c r="B72" i="11"/>
  <c r="R72" i="11"/>
  <c r="Z72" i="11"/>
  <c r="AD72" i="11"/>
  <c r="W72" i="11" s="1" a="1"/>
  <c r="W72" i="11" s="1"/>
  <c r="B73" i="11"/>
  <c r="Z73" i="11"/>
  <c r="AD73" i="11"/>
  <c r="W73" i="11" s="1" a="1"/>
  <c r="W73" i="11" s="1"/>
  <c r="B74" i="11"/>
  <c r="Z74" i="11"/>
  <c r="AD74" i="11"/>
  <c r="W74" i="11" s="1" a="1"/>
  <c r="W74" i="11" s="1"/>
  <c r="B75" i="11"/>
  <c r="R75" i="11"/>
  <c r="Z75" i="11"/>
  <c r="AD75" i="11"/>
  <c r="W75" i="11" s="1" a="1"/>
  <c r="W75" i="11" s="1"/>
  <c r="B76" i="11"/>
  <c r="R76" i="11"/>
  <c r="Z76" i="11"/>
  <c r="AD76" i="11"/>
  <c r="W76" i="11" s="1" a="1"/>
  <c r="W76" i="11" s="1"/>
  <c r="B77" i="11"/>
  <c r="Z77" i="11"/>
  <c r="AD77" i="11"/>
  <c r="W77" i="11" s="1" a="1"/>
  <c r="W77" i="11" s="1"/>
  <c r="B78" i="11"/>
  <c r="Z78" i="11"/>
  <c r="AD78" i="11"/>
  <c r="W78" i="11" s="1" a="1"/>
  <c r="W78" i="11" s="1"/>
  <c r="B79" i="11"/>
  <c r="R79" i="11"/>
  <c r="Z79" i="11"/>
  <c r="AD79" i="11"/>
  <c r="W79" i="11" s="1" a="1"/>
  <c r="W79" i="11" s="1"/>
  <c r="B80" i="11"/>
  <c r="Z80" i="11"/>
  <c r="AD80" i="11"/>
  <c r="W80" i="11" s="1" a="1"/>
  <c r="W80" i="11" s="1"/>
  <c r="B81" i="11"/>
  <c r="Z81" i="11"/>
  <c r="AD81" i="11"/>
  <c r="W81" i="11" s="1" a="1"/>
  <c r="W81" i="11" s="1"/>
  <c r="B82" i="11"/>
  <c r="R82" i="11"/>
  <c r="Z82" i="11"/>
  <c r="AD82" i="11"/>
  <c r="W82" i="11" s="1" a="1"/>
  <c r="W82" i="11" s="1"/>
  <c r="B83" i="11"/>
  <c r="R83" i="11"/>
  <c r="Z83" i="11"/>
  <c r="AD83" i="11"/>
  <c r="W83" i="11" s="1" a="1"/>
  <c r="W83" i="11" s="1"/>
  <c r="B84" i="11"/>
  <c r="R84" i="11"/>
  <c r="Z84" i="11"/>
  <c r="AD84" i="11"/>
  <c r="W84" i="11" s="1" a="1"/>
  <c r="W84" i="11" s="1"/>
  <c r="B85" i="11"/>
  <c r="Z85" i="11"/>
  <c r="AD85" i="11"/>
  <c r="W85" i="11" s="1" a="1"/>
  <c r="W85" i="11" s="1"/>
  <c r="B86" i="11"/>
  <c r="R86" i="11"/>
  <c r="Z86" i="11"/>
  <c r="AD86" i="11"/>
  <c r="W86" i="11" s="1" a="1"/>
  <c r="W86" i="11" s="1"/>
  <c r="B87" i="11"/>
  <c r="R87" i="11"/>
  <c r="Z87" i="11"/>
  <c r="AD87" i="11"/>
  <c r="W87" i="11" s="1" a="1"/>
  <c r="W87" i="11" s="1"/>
  <c r="B88" i="11"/>
  <c r="R88" i="11"/>
  <c r="Z88" i="11"/>
  <c r="AD88" i="11"/>
  <c r="W88" i="11" s="1" a="1"/>
  <c r="W88" i="11" s="1"/>
  <c r="B89" i="11"/>
  <c r="Z89" i="11"/>
  <c r="AD89" i="11"/>
  <c r="W89" i="11" s="1" a="1"/>
  <c r="W89" i="11" s="1"/>
  <c r="B90" i="11"/>
  <c r="Z90" i="11"/>
  <c r="AD90" i="11"/>
  <c r="W90" i="11" s="1" a="1"/>
  <c r="W90" i="11" s="1"/>
  <c r="B91" i="11"/>
  <c r="R91" i="11"/>
  <c r="Z91" i="11"/>
  <c r="AD91" i="11"/>
  <c r="W91" i="11" s="1" a="1"/>
  <c r="W91" i="11" s="1"/>
  <c r="B92" i="11"/>
  <c r="Z92" i="11"/>
  <c r="AD92" i="11"/>
  <c r="W92" i="11" s="1" a="1"/>
  <c r="W92" i="11" s="1"/>
  <c r="B93" i="11"/>
  <c r="Z93" i="11"/>
  <c r="AD93" i="11"/>
  <c r="W93" i="11" s="1" a="1"/>
  <c r="W93" i="11" s="1"/>
  <c r="B94" i="11"/>
  <c r="Z94" i="11"/>
  <c r="AD94" i="11"/>
  <c r="W94" i="11" s="1" a="1"/>
  <c r="W94" i="11" s="1"/>
  <c r="B95" i="11"/>
  <c r="R95" i="11"/>
  <c r="Z95" i="11"/>
  <c r="AD95" i="11"/>
  <c r="W95" i="11" s="1" a="1"/>
  <c r="W95" i="11" s="1"/>
  <c r="B96" i="11"/>
  <c r="Z96" i="11"/>
  <c r="AD96" i="11"/>
  <c r="W96" i="11" s="1" a="1"/>
  <c r="W96" i="11" s="1"/>
  <c r="B97" i="11"/>
  <c r="Z97" i="11"/>
  <c r="AD97" i="11"/>
  <c r="W97" i="11" s="1" a="1"/>
  <c r="W97" i="11" s="1"/>
  <c r="B98" i="11"/>
  <c r="R98" i="11"/>
  <c r="Z98" i="11"/>
  <c r="AD98" i="11"/>
  <c r="W98" i="11" s="1" a="1"/>
  <c r="W98" i="11" s="1"/>
  <c r="B99" i="11"/>
  <c r="R99" i="11"/>
  <c r="Z99" i="11"/>
  <c r="AD99" i="11"/>
  <c r="W99" i="11" s="1" a="1"/>
  <c r="W99" i="11" s="1"/>
  <c r="B100" i="11"/>
  <c r="Z100" i="11"/>
  <c r="AD100" i="11"/>
  <c r="W100" i="11" s="1" a="1"/>
  <c r="W100" i="11" s="1"/>
  <c r="B101" i="11"/>
  <c r="Z101" i="11"/>
  <c r="AD101" i="11"/>
  <c r="W101" i="11" s="1" a="1"/>
  <c r="W101" i="11" s="1"/>
  <c r="B102" i="11"/>
  <c r="Z102" i="11"/>
  <c r="AD102" i="11"/>
  <c r="W102" i="11" s="1" a="1"/>
  <c r="W102" i="11" s="1"/>
  <c r="B103" i="11"/>
  <c r="R103" i="11"/>
  <c r="Z103" i="11"/>
  <c r="AD103" i="11"/>
  <c r="W103" i="11" s="1" a="1"/>
  <c r="W103" i="11" s="1"/>
  <c r="B104" i="11"/>
  <c r="R104" i="11"/>
  <c r="Z104" i="11"/>
  <c r="AD104" i="11"/>
  <c r="W104" i="11" s="1" a="1"/>
  <c r="W104" i="11" s="1"/>
  <c r="B105" i="11"/>
  <c r="Z105" i="11"/>
  <c r="AD105" i="11"/>
  <c r="W105" i="11" s="1" a="1"/>
  <c r="W105" i="11" s="1"/>
  <c r="B106" i="11"/>
  <c r="R106" i="11"/>
  <c r="Z106" i="11"/>
  <c r="AD106" i="11"/>
  <c r="W106" i="11" s="1" a="1"/>
  <c r="W106" i="11" s="1"/>
  <c r="B107" i="11"/>
  <c r="R107" i="11"/>
  <c r="Z107" i="11"/>
  <c r="AD107" i="11"/>
  <c r="W107" i="11" s="1" a="1"/>
  <c r="W107" i="11" s="1"/>
  <c r="B108" i="11"/>
  <c r="R108" i="11"/>
  <c r="Z108" i="11"/>
  <c r="AD108" i="11"/>
  <c r="W108" i="11" s="1" a="1"/>
  <c r="W108" i="11" s="1"/>
  <c r="B109" i="11"/>
  <c r="R109" i="11"/>
  <c r="Z109" i="11"/>
  <c r="AD109" i="11"/>
  <c r="W109" i="11" s="1" a="1"/>
  <c r="W109" i="11" s="1"/>
  <c r="B110" i="11"/>
  <c r="R110" i="11"/>
  <c r="Z110" i="11"/>
  <c r="AD110" i="11"/>
  <c r="W110" i="11" s="1" a="1"/>
  <c r="W110" i="11" s="1"/>
  <c r="B111" i="11"/>
  <c r="R111" i="11"/>
  <c r="Z111" i="11"/>
  <c r="AD111" i="11"/>
  <c r="W111" i="11" s="1" a="1"/>
  <c r="W111" i="11" s="1"/>
  <c r="B112" i="11"/>
  <c r="R112" i="11"/>
  <c r="Z112" i="11"/>
  <c r="AD112" i="11"/>
  <c r="W112" i="11" s="1" a="1"/>
  <c r="W112" i="11" s="1"/>
  <c r="Z113" i="11"/>
  <c r="AD113" i="11"/>
  <c r="W113" i="11" s="1" a="1"/>
  <c r="W113" i="11" s="1"/>
  <c r="B114" i="11"/>
  <c r="R114" i="11"/>
  <c r="Z114" i="11"/>
  <c r="AD114" i="11"/>
  <c r="W114" i="11" s="1" a="1"/>
  <c r="W114" i="11" s="1"/>
  <c r="B115" i="11"/>
  <c r="R115" i="11"/>
  <c r="Z115" i="11"/>
  <c r="AD115" i="11"/>
  <c r="W115" i="11" s="1" a="1"/>
  <c r="W115" i="11" s="1"/>
  <c r="B116" i="11"/>
  <c r="Z116" i="11"/>
  <c r="AD116" i="11"/>
  <c r="W116" i="11" s="1" a="1"/>
  <c r="W116" i="11" s="1"/>
  <c r="B117" i="11"/>
  <c r="R117" i="11"/>
  <c r="Z117" i="11"/>
  <c r="AD117" i="11"/>
  <c r="W117" i="11" s="1" a="1"/>
  <c r="W117" i="11" s="1"/>
  <c r="B118" i="11"/>
  <c r="R118" i="11"/>
  <c r="Z118" i="11"/>
  <c r="AD118" i="11"/>
  <c r="W118" i="11" s="1" a="1"/>
  <c r="W118" i="11" s="1"/>
  <c r="B119" i="11"/>
  <c r="Z119" i="11"/>
  <c r="AD119" i="11"/>
  <c r="W119" i="11" s="1" a="1"/>
  <c r="W119" i="11" s="1"/>
  <c r="B120" i="11"/>
  <c r="Z120" i="11"/>
  <c r="AD120" i="11"/>
  <c r="W120" i="11" s="1" a="1"/>
  <c r="W120" i="11" s="1"/>
  <c r="B121" i="11"/>
  <c r="R121" i="11"/>
  <c r="Z121" i="11"/>
  <c r="AD121" i="11"/>
  <c r="W121" i="11" s="1" a="1"/>
  <c r="W121" i="11" s="1"/>
  <c r="B122" i="11"/>
  <c r="Z122" i="11"/>
  <c r="AD122" i="11"/>
  <c r="W122" i="11" s="1" a="1"/>
  <c r="W122" i="11" s="1"/>
  <c r="B123" i="11"/>
  <c r="Z123" i="11"/>
  <c r="AD123" i="11"/>
  <c r="W123" i="11" s="1" a="1"/>
  <c r="W123" i="11" s="1"/>
  <c r="M2" i="11"/>
  <c r="O2" i="11"/>
  <c r="W2" i="12"/>
  <c r="AG2" i="8"/>
  <c r="P2" i="8"/>
  <c r="L2" i="8"/>
  <c r="AC2" i="11"/>
  <c r="AB2" i="11"/>
  <c r="AA2" i="11"/>
  <c r="AO2" i="12"/>
  <c r="AN2" i="12"/>
  <c r="AM2" i="12"/>
  <c r="AI2" i="8"/>
  <c r="AH2" i="8"/>
  <c r="H2" i="8"/>
  <c r="J2" i="8"/>
  <c r="R2" i="8"/>
  <c r="S2" i="8"/>
  <c r="U2" i="8"/>
  <c r="W2" i="8"/>
  <c r="Y2" i="8"/>
  <c r="E2" i="11"/>
  <c r="K2" i="11"/>
  <c r="L2" i="11"/>
  <c r="P2" i="11"/>
  <c r="Q2" i="11"/>
  <c r="S2" i="11"/>
  <c r="F2" i="12"/>
  <c r="H2" i="12"/>
  <c r="I2" i="12"/>
  <c r="J2" i="12"/>
  <c r="K2" i="12"/>
  <c r="L2" i="12"/>
  <c r="M2" i="12"/>
  <c r="N2" i="12"/>
  <c r="Q2" i="12"/>
  <c r="AB2" i="12"/>
  <c r="AC2" i="12"/>
  <c r="AD2" i="12"/>
  <c r="E2" i="12"/>
  <c r="G2" i="8"/>
  <c r="I2" i="8"/>
  <c r="AQ2" i="8"/>
  <c r="T2" i="12"/>
  <c r="X2" i="12"/>
  <c r="N2" i="11"/>
  <c r="AK2" i="11"/>
  <c r="L9" i="54" l="1"/>
  <c r="I9" i="54"/>
  <c r="J9" i="54"/>
  <c r="K9" i="54"/>
  <c r="M9" i="54"/>
  <c r="H9" i="54"/>
  <c r="N9" i="54"/>
  <c r="O9" i="54"/>
  <c r="AL161" i="8"/>
  <c r="AL177" i="8"/>
  <c r="AD110" i="8"/>
  <c r="AC119" i="8" a="1"/>
  <c r="AC119" i="8" s="1"/>
  <c r="AE186" i="8" a="1"/>
  <c r="AE186" i="8" s="1"/>
  <c r="X221" i="8"/>
  <c r="AD119" i="8"/>
  <c r="X186" i="8"/>
  <c r="AN186" i="8" s="1"/>
  <c r="AC111" i="8" a="1"/>
  <c r="AC111" i="8" s="1"/>
  <c r="AL186" i="8"/>
  <c r="AC6" i="8" a="1"/>
  <c r="AC6" i="8" s="1"/>
  <c r="AK6" i="8" s="1"/>
  <c r="AM6" i="8" s="1"/>
  <c r="AD102" i="8"/>
  <c r="AK102" i="8" s="1"/>
  <c r="AM102" i="8" s="1"/>
  <c r="AD111" i="8"/>
  <c r="AK111" i="8" s="1"/>
  <c r="AM111" i="8" s="1"/>
  <c r="AL175" i="8"/>
  <c r="X198" i="8"/>
  <c r="AE20" i="8" a="1"/>
  <c r="AE20" i="8" s="1"/>
  <c r="AC103" i="8" a="1"/>
  <c r="AC103" i="8" s="1"/>
  <c r="AK103" i="8" s="1"/>
  <c r="AM103" i="8" s="1"/>
  <c r="AD150" i="8"/>
  <c r="AC164" i="8" a="1"/>
  <c r="AC164" i="8" s="1"/>
  <c r="AC272" i="8" a="1"/>
  <c r="AC272" i="8" s="1"/>
  <c r="AE103" i="8" a="1"/>
  <c r="AE103" i="8" s="1"/>
  <c r="AD164" i="8"/>
  <c r="AK164" i="8" s="1"/>
  <c r="AM164" i="8" s="1"/>
  <c r="AL184" i="8"/>
  <c r="AN184" i="8" s="1"/>
  <c r="AL272" i="8"/>
  <c r="AE21" i="8" a="1"/>
  <c r="AE21" i="8" s="1"/>
  <c r="X38" i="8"/>
  <c r="X250" i="8"/>
  <c r="AC273" i="8" a="1"/>
  <c r="AC273" i="8" s="1"/>
  <c r="AK273" i="8" s="1"/>
  <c r="AM273" i="8" s="1"/>
  <c r="AI56" i="12" a="1"/>
  <c r="AI56" i="12" s="1"/>
  <c r="AJ65" i="12" a="1"/>
  <c r="AJ65" i="12" s="1"/>
  <c r="AK65" i="12" s="1" a="1"/>
  <c r="AK65" i="12" s="1"/>
  <c r="AJ39" i="12" a="1"/>
  <c r="AJ39" i="12" s="1"/>
  <c r="AK39" i="12" s="1" a="1"/>
  <c r="AK39" i="12" s="1"/>
  <c r="AI42" i="12" a="1"/>
  <c r="AI42" i="12" s="1"/>
  <c r="AI23" i="12" a="1"/>
  <c r="AI23" i="12" s="1"/>
  <c r="AJ11" i="12" a="1"/>
  <c r="AJ11" i="12" s="1"/>
  <c r="AK11" i="12" s="1" a="1"/>
  <c r="AK11" i="12" s="1"/>
  <c r="AJ25" i="12" a="1"/>
  <c r="AJ25" i="12" s="1"/>
  <c r="AK25" i="12" s="1" a="1"/>
  <c r="AK25" i="12" s="1"/>
  <c r="AE61" i="12"/>
  <c r="AJ58" i="12" a="1"/>
  <c r="AJ58" i="12" s="1"/>
  <c r="AK58" i="12" s="1" a="1"/>
  <c r="AK58" i="12" s="1"/>
  <c r="AI66" i="12" a="1"/>
  <c r="AI66" i="12" s="1"/>
  <c r="AI6" i="12" a="1"/>
  <c r="AI6" i="12" s="1"/>
  <c r="AI40" i="12" a="1"/>
  <c r="AI40" i="12" s="1"/>
  <c r="AI19" i="12" a="1"/>
  <c r="AI19" i="12" s="1"/>
  <c r="AI53" i="12" a="1"/>
  <c r="AI53" i="12" s="1"/>
  <c r="AJ9" i="12" a="1"/>
  <c r="AJ9" i="12" s="1"/>
  <c r="AK9" i="12" s="1" a="1"/>
  <c r="AK9" i="12" s="1"/>
  <c r="AI57" i="12" a="1"/>
  <c r="AI57" i="12" s="1"/>
  <c r="AQ57" i="12" s="1"/>
  <c r="AS57" i="12" s="1"/>
  <c r="R2" i="12"/>
  <c r="AI60" i="12" a="1"/>
  <c r="AI60" i="12" s="1"/>
  <c r="AQ60" i="12" s="1"/>
  <c r="AS60" i="12" s="1"/>
  <c r="AE66" i="12"/>
  <c r="AI10" i="12" a="1"/>
  <c r="AI10" i="12" s="1"/>
  <c r="AI13" i="12" a="1"/>
  <c r="AI13" i="12" s="1"/>
  <c r="AQ13" i="12" s="1"/>
  <c r="AS13" i="12" s="1"/>
  <c r="AJ61" i="12" a="1"/>
  <c r="AJ61" i="12" s="1"/>
  <c r="AK61" i="12" s="1" a="1"/>
  <c r="AK61" i="12" s="1"/>
  <c r="AQ61" i="12" s="1"/>
  <c r="AS61" i="12" s="1"/>
  <c r="AJ28" i="12" a="1"/>
  <c r="AJ28" i="12" s="1"/>
  <c r="AK28" i="12" s="1" a="1"/>
  <c r="AK28" i="12" s="1"/>
  <c r="AI14" i="12" a="1"/>
  <c r="AI14" i="12" s="1"/>
  <c r="AQ14" i="12" s="1"/>
  <c r="AS14" i="12" s="1"/>
  <c r="Z2" i="12"/>
  <c r="AI29" i="12" a="1"/>
  <c r="AI29" i="12" s="1"/>
  <c r="AQ29" i="12" s="1"/>
  <c r="AS29" i="12" s="1"/>
  <c r="AJ45" i="12" a="1"/>
  <c r="AJ45" i="12" s="1"/>
  <c r="AK45" i="12" s="1" a="1"/>
  <c r="AK45" i="12" s="1"/>
  <c r="U2" i="12"/>
  <c r="AI33" i="12" a="1"/>
  <c r="AI33" i="12" s="1"/>
  <c r="AI50" i="12" a="1"/>
  <c r="AI50" i="12" s="1"/>
  <c r="AI7" i="12" a="1"/>
  <c r="AI7" i="12" s="1"/>
  <c r="AQ7" i="12" s="1"/>
  <c r="AS7" i="12" s="1"/>
  <c r="AQ28" i="12"/>
  <c r="AI43" i="12" a="1"/>
  <c r="AI43" i="12" s="1"/>
  <c r="AQ43" i="12" s="1"/>
  <c r="AS43" i="12" s="1"/>
  <c r="AI52" i="12" a="1"/>
  <c r="AI52" i="12" s="1"/>
  <c r="AQ52" i="12" s="1"/>
  <c r="AS52" i="12" s="1"/>
  <c r="AI75" i="12" a="1"/>
  <c r="AI75" i="12" s="1"/>
  <c r="AQ75" i="12" s="1"/>
  <c r="AS75" i="12" s="1"/>
  <c r="AJ30" i="12" a="1"/>
  <c r="AJ30" i="12" s="1"/>
  <c r="AK30" i="12" s="1" a="1"/>
  <c r="AK30" i="12" s="1"/>
  <c r="R122" i="11"/>
  <c r="R90" i="11"/>
  <c r="X205" i="8"/>
  <c r="AD96" i="8"/>
  <c r="AD163" i="8"/>
  <c r="AL159" i="8"/>
  <c r="AN159" i="8" s="1"/>
  <c r="AL164" i="8"/>
  <c r="AL195" i="8"/>
  <c r="AN195" i="8" s="1"/>
  <c r="AD128" i="8"/>
  <c r="AL147" i="8"/>
  <c r="AL192" i="8"/>
  <c r="AN192" i="8" s="1"/>
  <c r="AE112" i="8" a="1"/>
  <c r="AE112" i="8" s="1"/>
  <c r="AC98" i="8" a="1"/>
  <c r="AC98" i="8" s="1"/>
  <c r="AK98" i="8" s="1"/>
  <c r="AM98" i="8" s="1"/>
  <c r="AD98" i="8"/>
  <c r="AD113" i="8"/>
  <c r="AD130" i="8"/>
  <c r="AL141" i="8"/>
  <c r="AN141" i="8" s="1"/>
  <c r="AC262" i="8" a="1"/>
  <c r="AC262" i="8" s="1"/>
  <c r="AD262" i="8"/>
  <c r="X18" i="8"/>
  <c r="AC114" i="8" a="1"/>
  <c r="AC114" i="8" s="1"/>
  <c r="AC159" i="8" a="1"/>
  <c r="AC159" i="8" s="1"/>
  <c r="AK159" i="8" s="1"/>
  <c r="AM159" i="8" s="1"/>
  <c r="AC183" i="8" a="1"/>
  <c r="AC183" i="8" s="1"/>
  <c r="AK183" i="8" s="1"/>
  <c r="AM183" i="8" s="1"/>
  <c r="AL273" i="8"/>
  <c r="AN273" i="8" s="1"/>
  <c r="AE129" i="8" a="1"/>
  <c r="AE129" i="8" s="1"/>
  <c r="AC7" i="8" a="1"/>
  <c r="AC7" i="8" s="1"/>
  <c r="X46" i="8"/>
  <c r="AC99" i="8" a="1"/>
  <c r="AC99" i="8" s="1"/>
  <c r="AD114" i="8"/>
  <c r="AD159" i="8"/>
  <c r="X155" i="8"/>
  <c r="AC270" i="8" a="1"/>
  <c r="AC270" i="8" s="1"/>
  <c r="AE7" i="8" a="1"/>
  <c r="AE7" i="8" s="1"/>
  <c r="AD99" i="8"/>
  <c r="AE184" i="8" a="1"/>
  <c r="AE184" i="8" s="1"/>
  <c r="AE197" i="8" a="1"/>
  <c r="AE197" i="8" s="1"/>
  <c r="X189" i="8"/>
  <c r="AD270" i="8"/>
  <c r="V2" i="8"/>
  <c r="R131" i="11"/>
  <c r="S2" i="12"/>
  <c r="AJ36" i="12" a="1"/>
  <c r="AJ36" i="12" s="1"/>
  <c r="AK36" i="12" s="1" a="1"/>
  <c r="AK36" i="12" s="1"/>
  <c r="AI51" i="12" a="1"/>
  <c r="AI51" i="12" s="1"/>
  <c r="AJ15" i="12" a="1"/>
  <c r="AJ15" i="12" s="1"/>
  <c r="AK15" i="12" s="1" a="1"/>
  <c r="AK15" i="12" s="1"/>
  <c r="AJ16" i="12" a="1"/>
  <c r="AJ16" i="12" s="1"/>
  <c r="AK16" i="12" s="1" a="1"/>
  <c r="AK16" i="12" s="1"/>
  <c r="AI17" i="12" a="1"/>
  <c r="AI17" i="12" s="1"/>
  <c r="AQ44" i="12"/>
  <c r="AS44" i="12" s="1"/>
  <c r="AQ65" i="12"/>
  <c r="AI68" i="12" a="1"/>
  <c r="AI68" i="12" s="1"/>
  <c r="AQ68" i="12" s="1"/>
  <c r="AS68" i="12" s="1"/>
  <c r="AI12" i="12" a="1"/>
  <c r="AI12" i="12" s="1"/>
  <c r="AQ12" i="12" s="1"/>
  <c r="AS12" i="12" s="1"/>
  <c r="AI18" i="12" a="1"/>
  <c r="AI18" i="12" s="1"/>
  <c r="AQ18" i="12" s="1"/>
  <c r="AS18" i="12" s="1"/>
  <c r="AE10" i="12"/>
  <c r="AI4" i="12" a="1"/>
  <c r="AI4" i="12" s="1"/>
  <c r="AQ4" i="12" s="1"/>
  <c r="AS4" i="12" s="1"/>
  <c r="AJ31" i="12" a="1"/>
  <c r="AJ31" i="12" s="1"/>
  <c r="AK31" i="12" s="1" a="1"/>
  <c r="AK31" i="12" s="1"/>
  <c r="AJ32" i="12" a="1"/>
  <c r="AJ32" i="12" s="1"/>
  <c r="AK32" i="12" s="1" a="1"/>
  <c r="AK32" i="12" s="1"/>
  <c r="AI70" i="12" a="1"/>
  <c r="AI70" i="12" s="1"/>
  <c r="AQ70" i="12" s="1"/>
  <c r="AS70" i="12" s="1"/>
  <c r="AJ46" i="12" a="1"/>
  <c r="AJ46" i="12" s="1"/>
  <c r="AK46" i="12" s="1" a="1"/>
  <c r="AK46" i="12" s="1"/>
  <c r="AI71" i="12" a="1"/>
  <c r="AI71" i="12" s="1"/>
  <c r="AQ71" i="12" s="1"/>
  <c r="AS71" i="12" s="1"/>
  <c r="AF2" i="12"/>
  <c r="AJ62" i="12" a="1"/>
  <c r="AJ62" i="12" s="1"/>
  <c r="AK62" i="12" s="1" a="1"/>
  <c r="AK62" i="12" s="1"/>
  <c r="AI20" i="12" a="1"/>
  <c r="AI20" i="12" s="1"/>
  <c r="AJ47" i="12" a="1"/>
  <c r="AJ47" i="12" s="1"/>
  <c r="AK47" i="12" s="1" a="1"/>
  <c r="AK47" i="12" s="1"/>
  <c r="AI48" i="12" a="1"/>
  <c r="AI48" i="12" s="1"/>
  <c r="AQ48" i="12" s="1"/>
  <c r="AS48" i="12" s="1"/>
  <c r="AI54" i="12" a="1"/>
  <c r="AI54" i="12" s="1"/>
  <c r="AQ54" i="12" s="1"/>
  <c r="AS54" i="12" s="1"/>
  <c r="AI34" i="12" a="1"/>
  <c r="AI34" i="12" s="1"/>
  <c r="AQ34" i="12" s="1"/>
  <c r="AS34" i="12" s="1"/>
  <c r="AI41" i="12" a="1"/>
  <c r="AI41" i="12" s="1"/>
  <c r="AQ41" i="12" s="1"/>
  <c r="AS41" i="12" s="1"/>
  <c r="AE8" i="12"/>
  <c r="AJ63" i="12" a="1"/>
  <c r="AJ63" i="12" s="1"/>
  <c r="AK63" i="12" s="1" a="1"/>
  <c r="AK63" i="12" s="1"/>
  <c r="AI74" i="12" a="1"/>
  <c r="AI74" i="12" s="1"/>
  <c r="AQ74" i="12" s="1"/>
  <c r="AS74" i="12" s="1"/>
  <c r="AR4" i="12"/>
  <c r="AC268" i="8" a="1"/>
  <c r="AC268" i="8" s="1"/>
  <c r="AK268" i="8" s="1"/>
  <c r="AM268" i="8" s="1"/>
  <c r="AE158" i="8" a="1"/>
  <c r="AE158" i="8" s="1"/>
  <c r="AC177" i="8" a="1"/>
  <c r="AC177" i="8" s="1"/>
  <c r="AD268" i="8"/>
  <c r="AD177" i="8"/>
  <c r="AD186" i="8"/>
  <c r="AK186" i="8" s="1"/>
  <c r="AM186" i="8" s="1"/>
  <c r="AL173" i="8"/>
  <c r="AN173" i="8" s="1"/>
  <c r="AD142" i="8"/>
  <c r="AC117" i="8" a="1"/>
  <c r="AC117" i="8" s="1"/>
  <c r="AK117" i="8" s="1"/>
  <c r="AM117" i="8" s="1"/>
  <c r="AD133" i="8"/>
  <c r="AE142" i="8" a="1"/>
  <c r="AE142" i="8" s="1"/>
  <c r="AD117" i="8"/>
  <c r="AE133" i="8" a="1"/>
  <c r="AE133" i="8" s="1"/>
  <c r="AE189" i="8" a="1"/>
  <c r="AE189" i="8" s="1"/>
  <c r="AE160" i="8" a="1"/>
  <c r="AE160" i="8" s="1"/>
  <c r="AC173" i="8" a="1"/>
  <c r="AC173" i="8" s="1"/>
  <c r="AE22" i="8" a="1"/>
  <c r="AE22" i="8" s="1"/>
  <c r="AC94" i="8" a="1"/>
  <c r="AC94" i="8" s="1"/>
  <c r="AC113" i="8" a="1"/>
  <c r="AC113" i="8" s="1"/>
  <c r="AK113" i="8" s="1"/>
  <c r="AM113" i="8" s="1"/>
  <c r="AD127" i="8"/>
  <c r="AK127" i="8" s="1"/>
  <c r="AM127" i="8" s="1"/>
  <c r="AD183" i="8"/>
  <c r="AD94" i="8"/>
  <c r="AD118" i="8"/>
  <c r="AC145" i="8" a="1"/>
  <c r="AC145" i="8" s="1"/>
  <c r="AC155" i="8" a="1"/>
  <c r="AC155" i="8" s="1"/>
  <c r="AE174" i="8" a="1"/>
  <c r="AE174" i="8" s="1"/>
  <c r="AD191" i="8"/>
  <c r="AL183" i="8"/>
  <c r="AN183" i="8" s="1"/>
  <c r="AC267" i="8" a="1"/>
  <c r="AC267" i="8" s="1"/>
  <c r="AK267" i="8" s="1"/>
  <c r="AM267" i="8" s="1"/>
  <c r="AE146" i="8" a="1"/>
  <c r="AE146" i="8" s="1"/>
  <c r="AL142" i="8"/>
  <c r="AN142" i="8" s="1"/>
  <c r="AE171" i="8" a="1"/>
  <c r="AE171" i="8" s="1"/>
  <c r="AC100" i="8" a="1"/>
  <c r="AC100" i="8" s="1"/>
  <c r="AE118" i="8" a="1"/>
  <c r="AE118" i="8" s="1"/>
  <c r="AD145" i="8"/>
  <c r="AC184" i="8" a="1"/>
  <c r="AC184" i="8" s="1"/>
  <c r="AE191" i="8" a="1"/>
  <c r="AE191" i="8" s="1"/>
  <c r="AK191" i="8" s="1"/>
  <c r="AM191" i="8" s="1"/>
  <c r="AL170" i="8"/>
  <c r="AN170" i="8" s="1"/>
  <c r="AD267" i="8"/>
  <c r="AD272" i="8"/>
  <c r="AL268" i="8"/>
  <c r="AN268" i="8" s="1"/>
  <c r="AD187" i="8"/>
  <c r="AC156" i="8" a="1"/>
  <c r="AC156" i="8" s="1"/>
  <c r="AD184" i="8"/>
  <c r="AL146" i="8"/>
  <c r="AN146" i="8" s="1"/>
  <c r="X213" i="8"/>
  <c r="X243" i="8"/>
  <c r="AL166" i="8"/>
  <c r="AN166" i="8" s="1"/>
  <c r="AC151" i="8" a="1"/>
  <c r="AC151" i="8" s="1"/>
  <c r="AC266" i="8" a="1"/>
  <c r="AC266" i="8" s="1"/>
  <c r="AE124" i="8" a="1"/>
  <c r="AE124" i="8" s="1"/>
  <c r="AE134" i="8" a="1"/>
  <c r="AE134" i="8" s="1"/>
  <c r="AD173" i="8"/>
  <c r="AK173" i="8" s="1"/>
  <c r="AM173" i="8" s="1"/>
  <c r="AD192" i="8"/>
  <c r="AL162" i="8"/>
  <c r="AN162" i="8" s="1"/>
  <c r="AL143" i="8"/>
  <c r="AN143" i="8" s="1"/>
  <c r="AC21" i="8" a="1"/>
  <c r="AC21" i="8" s="1"/>
  <c r="AK21" i="8" s="1"/>
  <c r="AM21" i="8" s="1"/>
  <c r="AD112" i="8"/>
  <c r="AC130" i="8" a="1"/>
  <c r="AC130" i="8" s="1"/>
  <c r="AC148" i="8" a="1"/>
  <c r="AC148" i="8" s="1"/>
  <c r="AC161" i="8" a="1"/>
  <c r="AC161" i="8" s="1"/>
  <c r="AC166" i="8" a="1"/>
  <c r="AC166" i="8" s="1"/>
  <c r="AE192" i="8" a="1"/>
  <c r="AE192" i="8" s="1"/>
  <c r="AC135" i="8" a="1"/>
  <c r="AC135" i="8" s="1"/>
  <c r="AL134" i="8"/>
  <c r="AN134" i="8" s="1"/>
  <c r="X119" i="8"/>
  <c r="AD134" i="8"/>
  <c r="AL150" i="8"/>
  <c r="AN150" i="8" s="1"/>
  <c r="AE125" i="8" a="1"/>
  <c r="AE125" i="8" s="1"/>
  <c r="AD161" i="8"/>
  <c r="AD265" i="8"/>
  <c r="AE166" i="8" a="1"/>
  <c r="AE166" i="8" s="1"/>
  <c r="AC108" i="8" a="1"/>
  <c r="AC108" i="8" s="1"/>
  <c r="AC126" i="8" a="1"/>
  <c r="AC126" i="8" s="1"/>
  <c r="AE135" i="8" a="1"/>
  <c r="AE135" i="8" s="1"/>
  <c r="AD143" i="8"/>
  <c r="AE180" i="8" a="1"/>
  <c r="AE180" i="8" s="1"/>
  <c r="AL145" i="8"/>
  <c r="AL185" i="8"/>
  <c r="AL187" i="8"/>
  <c r="AN187" i="8" s="1"/>
  <c r="AL269" i="8"/>
  <c r="AN269" i="8" s="1"/>
  <c r="AL135" i="8"/>
  <c r="AN135" i="8" s="1"/>
  <c r="Z2" i="8"/>
  <c r="AC147" i="8" a="1"/>
  <c r="AC147" i="8" s="1"/>
  <c r="AE178" i="8" a="1"/>
  <c r="AE178" i="8" s="1"/>
  <c r="AC192" i="8" a="1"/>
  <c r="AC192" i="8" s="1"/>
  <c r="AD148" i="8"/>
  <c r="AD180" i="8"/>
  <c r="AE13" i="8" a="1"/>
  <c r="AE13" i="8" s="1"/>
  <c r="AD108" i="8"/>
  <c r="AD126" i="8"/>
  <c r="AC131" i="8" a="1"/>
  <c r="AC131" i="8" s="1"/>
  <c r="AC149" i="8" a="1"/>
  <c r="AC149" i="8" s="1"/>
  <c r="AC157" i="8" a="1"/>
  <c r="AC157" i="8" s="1"/>
  <c r="AE162" i="8" a="1"/>
  <c r="AE162" i="8" s="1"/>
  <c r="AC167" i="8" a="1"/>
  <c r="AC167" i="8" s="1"/>
  <c r="AK167" i="8" s="1"/>
  <c r="AM167" i="8" s="1"/>
  <c r="AC175" i="8" a="1"/>
  <c r="AC175" i="8" s="1"/>
  <c r="AL167" i="8"/>
  <c r="AN167" i="8" s="1"/>
  <c r="AD151" i="8"/>
  <c r="AL148" i="8"/>
  <c r="AN148" i="8" s="1"/>
  <c r="AD165" i="8"/>
  <c r="AK165" i="8" s="1"/>
  <c r="AM165" i="8" s="1"/>
  <c r="AE165" i="8" a="1"/>
  <c r="AE165" i="8" s="1"/>
  <c r="AC107" i="8" a="1"/>
  <c r="AC107" i="8" s="1"/>
  <c r="AE193" i="8" a="1"/>
  <c r="AE193" i="8" s="1"/>
  <c r="AD131" i="8"/>
  <c r="AC144" i="8" a="1"/>
  <c r="AC144" i="8" s="1"/>
  <c r="AD157" i="8"/>
  <c r="AD167" i="8"/>
  <c r="AD175" i="8"/>
  <c r="AC195" i="8" a="1"/>
  <c r="AC195" i="8" s="1"/>
  <c r="AL157" i="8"/>
  <c r="AN157" i="8" s="1"/>
  <c r="AL190" i="8"/>
  <c r="AC29" i="8" a="1"/>
  <c r="AC29" i="8" s="1"/>
  <c r="AE29" i="8" a="1"/>
  <c r="AE29" i="8" s="1"/>
  <c r="AD147" i="8"/>
  <c r="AK147" i="8" s="1"/>
  <c r="AM147" i="8" s="1"/>
  <c r="AE96" i="8" a="1"/>
  <c r="AE96" i="8" s="1"/>
  <c r="AK96" i="8" s="1"/>
  <c r="AM96" i="8" s="1"/>
  <c r="AC143" i="8" a="1"/>
  <c r="AC143" i="8" s="1"/>
  <c r="AL144" i="8"/>
  <c r="AN144" i="8" s="1"/>
  <c r="AD264" i="8"/>
  <c r="AC5" i="8" a="1"/>
  <c r="AC5" i="8" s="1"/>
  <c r="AK5" i="8" s="1"/>
  <c r="AM5" i="8" s="1"/>
  <c r="AC163" i="8" a="1"/>
  <c r="AC163" i="8" s="1"/>
  <c r="X147" i="8"/>
  <c r="AN164" i="8"/>
  <c r="X171" i="8"/>
  <c r="AL196" i="8"/>
  <c r="AN196" i="8" s="1"/>
  <c r="AL180" i="8"/>
  <c r="X229" i="8"/>
  <c r="AL267" i="8"/>
  <c r="AN267" i="8" s="1"/>
  <c r="AD100" i="8"/>
  <c r="AE104" i="8" a="1"/>
  <c r="AE104" i="8" s="1"/>
  <c r="AC140" i="8" a="1"/>
  <c r="AC140" i="8" s="1"/>
  <c r="AD144" i="8"/>
  <c r="AD155" i="8"/>
  <c r="AE185" i="8" a="1"/>
  <c r="AE185" i="8" s="1"/>
  <c r="AC190" i="8" a="1"/>
  <c r="AC190" i="8" s="1"/>
  <c r="AD195" i="8"/>
  <c r="AL155" i="8"/>
  <c r="AN155" i="8" s="1"/>
  <c r="AN272" i="8"/>
  <c r="AD104" i="8"/>
  <c r="AD185" i="8"/>
  <c r="AC28" i="8" a="1"/>
  <c r="AC28" i="8" s="1"/>
  <c r="AK115" i="8"/>
  <c r="AM115" i="8" s="1"/>
  <c r="AK119" i="8"/>
  <c r="AM119" i="8" s="1"/>
  <c r="AC125" i="8" a="1"/>
  <c r="AC125" i="8" s="1"/>
  <c r="AD140" i="8"/>
  <c r="AD149" i="8"/>
  <c r="AC160" i="8" a="1"/>
  <c r="AC160" i="8" s="1"/>
  <c r="AC171" i="8" a="1"/>
  <c r="AC171" i="8" s="1"/>
  <c r="AD190" i="8"/>
  <c r="AL198" i="8"/>
  <c r="AN198" i="8" s="1"/>
  <c r="AE260" i="8" a="1"/>
  <c r="AE260" i="8" s="1"/>
  <c r="AL270" i="8"/>
  <c r="AN270" i="8" s="1"/>
  <c r="AC13" i="8" a="1"/>
  <c r="AC13" i="8" s="1"/>
  <c r="AE28" i="8" a="1"/>
  <c r="AE28" i="8" s="1"/>
  <c r="AL171" i="8"/>
  <c r="AC261" i="8" a="1"/>
  <c r="AC261" i="8" s="1"/>
  <c r="AC260" i="8" a="1"/>
  <c r="AC260" i="8" s="1"/>
  <c r="AE14" i="8" a="1"/>
  <c r="AE14" i="8" s="1"/>
  <c r="AD107" i="8"/>
  <c r="AC116" i="8" a="1"/>
  <c r="AC116" i="8" s="1"/>
  <c r="AD120" i="8"/>
  <c r="AE156" i="8" a="1"/>
  <c r="AE156" i="8" s="1"/>
  <c r="AK156" i="8" s="1"/>
  <c r="AM156" i="8" s="1"/>
  <c r="AC172" i="8" a="1"/>
  <c r="AC172" i="8" s="1"/>
  <c r="AE176" i="8" a="1"/>
  <c r="AE176" i="8" s="1"/>
  <c r="AK176" i="8" s="1"/>
  <c r="AM176" i="8" s="1"/>
  <c r="AL165" i="8"/>
  <c r="AN165" i="8" s="1"/>
  <c r="AD266" i="8"/>
  <c r="AE116" i="8" a="1"/>
  <c r="AE116" i="8" s="1"/>
  <c r="AE172" i="8" a="1"/>
  <c r="AE172" i="8" s="1"/>
  <c r="AL274" i="8"/>
  <c r="AN274" i="8" s="1"/>
  <c r="AL149" i="8"/>
  <c r="AN149" i="8" s="1"/>
  <c r="AL181" i="8"/>
  <c r="AN181" i="8" s="1"/>
  <c r="AE30" i="8" a="1"/>
  <c r="AE30" i="8" s="1"/>
  <c r="AC23" i="8" a="1"/>
  <c r="AC23" i="8" s="1"/>
  <c r="AC8" i="8" a="1"/>
  <c r="AC8" i="8" s="1"/>
  <c r="AC17" i="8" a="1"/>
  <c r="AC17" i="8" s="1"/>
  <c r="AE23" i="8" a="1"/>
  <c r="AE23" i="8" s="1"/>
  <c r="AC123" i="8" a="1"/>
  <c r="AC123" i="8" s="1"/>
  <c r="AC274" i="8" a="1"/>
  <c r="AC274" i="8" s="1"/>
  <c r="AD123" i="8"/>
  <c r="AD132" i="8"/>
  <c r="AL176" i="8"/>
  <c r="AN176" i="8" s="1"/>
  <c r="AL191" i="8"/>
  <c r="AN191" i="8" s="1"/>
  <c r="AD274" i="8"/>
  <c r="AL160" i="8"/>
  <c r="AN160" i="8" s="1"/>
  <c r="AE17" i="8" a="1"/>
  <c r="AE17" i="8" s="1"/>
  <c r="AC24" i="8" a="1"/>
  <c r="AC24" i="8" s="1"/>
  <c r="AC95" i="8" a="1"/>
  <c r="AC95" i="8" s="1"/>
  <c r="AK95" i="8" s="1"/>
  <c r="AM95" i="8" s="1"/>
  <c r="AD109" i="8"/>
  <c r="AK109" i="8" s="1"/>
  <c r="AM109" i="8" s="1"/>
  <c r="AE132" i="8" a="1"/>
  <c r="AE132" i="8" s="1"/>
  <c r="AC194" i="8" a="1"/>
  <c r="AC194" i="8" s="1"/>
  <c r="AE265" i="8" a="1"/>
  <c r="AE265" i="8" s="1"/>
  <c r="AE120" i="8" a="1"/>
  <c r="AE120" i="8" s="1"/>
  <c r="AE8" i="8" a="1"/>
  <c r="AE8" i="8" s="1"/>
  <c r="AE9" i="8" a="1"/>
  <c r="AE9" i="8" s="1"/>
  <c r="AC18" i="8" a="1"/>
  <c r="AC18" i="8" s="1"/>
  <c r="AD95" i="8"/>
  <c r="AC124" i="8" a="1"/>
  <c r="AC124" i="8" s="1"/>
  <c r="AE128" i="8" a="1"/>
  <c r="AE128" i="8" s="1"/>
  <c r="AK128" i="8" s="1"/>
  <c r="AM128" i="8" s="1"/>
  <c r="AC139" i="8" a="1"/>
  <c r="AC139" i="8" s="1"/>
  <c r="AE154" i="8" a="1"/>
  <c r="AE154" i="8" s="1"/>
  <c r="AC179" i="8" a="1"/>
  <c r="AC179" i="8" s="1"/>
  <c r="AD194" i="8"/>
  <c r="AN145" i="8"/>
  <c r="AL189" i="8"/>
  <c r="AN189" i="8" s="1"/>
  <c r="AL266" i="8"/>
  <c r="AN266" i="8" s="1"/>
  <c r="AC31" i="8" a="1"/>
  <c r="AC31" i="8" s="1"/>
  <c r="AC4" i="8" a="1"/>
  <c r="AC4" i="8" s="1"/>
  <c r="AK4" i="8" s="1"/>
  <c r="AM4" i="8" s="1"/>
  <c r="AE18" i="8" a="1"/>
  <c r="AE18" i="8" s="1"/>
  <c r="AD139" i="8"/>
  <c r="AD179" i="8"/>
  <c r="AC185" i="8" a="1"/>
  <c r="AC185" i="8" s="1"/>
  <c r="AL194" i="8"/>
  <c r="AN194" i="8" s="1"/>
  <c r="AE264" i="8" a="1"/>
  <c r="AE264" i="8" s="1"/>
  <c r="AK271" i="8"/>
  <c r="AM271" i="8" s="1"/>
  <c r="AF30" i="11"/>
  <c r="AH30" i="11" s="1"/>
  <c r="AF11" i="11"/>
  <c r="AH11" i="11" s="1"/>
  <c r="AF39" i="11"/>
  <c r="AF103" i="11"/>
  <c r="AH103" i="11" s="1"/>
  <c r="AF110" i="11"/>
  <c r="AH110" i="11" s="1"/>
  <c r="AF23" i="11"/>
  <c r="AF102" i="11"/>
  <c r="AF112" i="11"/>
  <c r="AH112" i="11" s="1"/>
  <c r="AF95" i="11"/>
  <c r="AH95" i="11" s="1"/>
  <c r="AF130" i="11"/>
  <c r="AH130" i="11" s="1"/>
  <c r="R39" i="11"/>
  <c r="AF80" i="11"/>
  <c r="AH80" i="11" s="1"/>
  <c r="R23" i="11"/>
  <c r="AF51" i="11"/>
  <c r="AH51" i="11" s="1"/>
  <c r="AF88" i="11"/>
  <c r="AH88" i="11" s="1"/>
  <c r="R31" i="11"/>
  <c r="R44" i="11"/>
  <c r="R52" i="11"/>
  <c r="AF64" i="11"/>
  <c r="AH64" i="11" s="1"/>
  <c r="R69" i="11"/>
  <c r="AF118" i="11"/>
  <c r="AH118" i="11" s="1"/>
  <c r="AF31" i="11"/>
  <c r="AF52" i="11"/>
  <c r="AF104" i="11"/>
  <c r="AH104" i="11" s="1"/>
  <c r="AF127" i="11"/>
  <c r="AF96" i="11"/>
  <c r="AH96" i="11" s="1"/>
  <c r="AF92" i="11"/>
  <c r="AH92" i="11" s="1"/>
  <c r="R26" i="11"/>
  <c r="AF71" i="11"/>
  <c r="AH71" i="11" s="1"/>
  <c r="AF100" i="11"/>
  <c r="AF105" i="11"/>
  <c r="AH105" i="11" s="1"/>
  <c r="AF122" i="11"/>
  <c r="AH122" i="11" s="1"/>
  <c r="AF114" i="11"/>
  <c r="AH114" i="11" s="1"/>
  <c r="R126" i="11"/>
  <c r="AF126" i="11"/>
  <c r="AF13" i="11"/>
  <c r="AH13" i="11" s="1"/>
  <c r="AF87" i="11"/>
  <c r="AH87" i="11" s="1"/>
  <c r="AF18" i="11"/>
  <c r="AH18" i="11" s="1"/>
  <c r="AF75" i="11"/>
  <c r="AH75" i="11" s="1"/>
  <c r="AF47" i="11"/>
  <c r="AH47" i="11" s="1"/>
  <c r="R56" i="11"/>
  <c r="AF72" i="11"/>
  <c r="AH72" i="11" s="1"/>
  <c r="AF83" i="11"/>
  <c r="AH83" i="11" s="1"/>
  <c r="AF17" i="11"/>
  <c r="AH17" i="11" s="1"/>
  <c r="AF44" i="11"/>
  <c r="AF121" i="11"/>
  <c r="AH121" i="11" s="1"/>
  <c r="AF21" i="11"/>
  <c r="AH21" i="11" s="1"/>
  <c r="AF56" i="11"/>
  <c r="AF84" i="11"/>
  <c r="AH84" i="11" s="1"/>
  <c r="AF60" i="11"/>
  <c r="AH60" i="11" s="1"/>
  <c r="AF22" i="11"/>
  <c r="AH22" i="11" s="1"/>
  <c r="AF76" i="11"/>
  <c r="AH76" i="11" s="1"/>
  <c r="R85" i="11"/>
  <c r="AF108" i="11"/>
  <c r="AH108" i="11" s="1"/>
  <c r="AF33" i="11"/>
  <c r="AH33" i="11" s="1"/>
  <c r="AF129" i="11"/>
  <c r="AH129" i="11" s="1"/>
  <c r="R77" i="11"/>
  <c r="R7" i="11"/>
  <c r="R73" i="11"/>
  <c r="AF10" i="11"/>
  <c r="AH10" i="11" s="1"/>
  <c r="AF48" i="11"/>
  <c r="AF43" i="11"/>
  <c r="AH43" i="11" s="1"/>
  <c r="AF8" i="11"/>
  <c r="AH8" i="11" s="1"/>
  <c r="R35" i="11"/>
  <c r="AF37" i="11"/>
  <c r="AH37" i="11" s="1"/>
  <c r="AF59" i="11"/>
  <c r="AH59" i="11" s="1"/>
  <c r="AF79" i="11"/>
  <c r="AH79" i="11" s="1"/>
  <c r="AF94" i="11"/>
  <c r="AH94" i="11" s="1"/>
  <c r="AF111" i="11"/>
  <c r="AH111" i="11" s="1"/>
  <c r="T2" i="11"/>
  <c r="AF19" i="11"/>
  <c r="AH19" i="11" s="1"/>
  <c r="AF24" i="11"/>
  <c r="AH24" i="11" s="1"/>
  <c r="AF38" i="11"/>
  <c r="AH38" i="11" s="1"/>
  <c r="AF12" i="11"/>
  <c r="AH12" i="11" s="1"/>
  <c r="AF29" i="11"/>
  <c r="AH29" i="11" s="1"/>
  <c r="AF78" i="11"/>
  <c r="AH78" i="11" s="1"/>
  <c r="R102" i="11"/>
  <c r="R101" i="11"/>
  <c r="AF9" i="11"/>
  <c r="AH9" i="11" s="1"/>
  <c r="AF57" i="11"/>
  <c r="AH57" i="11" s="1"/>
  <c r="AF15" i="11"/>
  <c r="AH15" i="11" s="1"/>
  <c r="AF63" i="11"/>
  <c r="AH63" i="11" s="1"/>
  <c r="AF116" i="11"/>
  <c r="AH116" i="11" s="1"/>
  <c r="AF131" i="11"/>
  <c r="R127" i="11"/>
  <c r="J2" i="11"/>
  <c r="AF35" i="11"/>
  <c r="AF50" i="11"/>
  <c r="AH50" i="11" s="1"/>
  <c r="AF67" i="11"/>
  <c r="AH67" i="11" s="1"/>
  <c r="AF91" i="11"/>
  <c r="AH91" i="11" s="1"/>
  <c r="AF61" i="11"/>
  <c r="AH61" i="11" s="1"/>
  <c r="R81" i="11"/>
  <c r="AF25" i="11"/>
  <c r="AH25" i="11" s="1"/>
  <c r="F2" i="11"/>
  <c r="AF68" i="11"/>
  <c r="AH68" i="11" s="1"/>
  <c r="R48" i="11"/>
  <c r="AF73" i="11"/>
  <c r="AF4" i="11"/>
  <c r="AH4" i="11" s="1"/>
  <c r="AF27" i="11"/>
  <c r="AF42" i="11"/>
  <c r="AH42" i="11" s="1"/>
  <c r="AF86" i="11"/>
  <c r="AH86" i="11" s="1"/>
  <c r="AF6" i="11"/>
  <c r="AH6" i="11" s="1"/>
  <c r="AF81" i="11"/>
  <c r="R89" i="11"/>
  <c r="R97" i="11"/>
  <c r="AF99" i="11"/>
  <c r="AH99" i="11" s="1"/>
  <c r="AF117" i="11"/>
  <c r="AH117" i="11" s="1"/>
  <c r="R120" i="11"/>
  <c r="AF58" i="11"/>
  <c r="AH58" i="11" s="1"/>
  <c r="AF14" i="11"/>
  <c r="AH14" i="11" s="1"/>
  <c r="AF89" i="11"/>
  <c r="AF97" i="11"/>
  <c r="AF119" i="11"/>
  <c r="AF107" i="11"/>
  <c r="AH107" i="11" s="1"/>
  <c r="R27" i="11"/>
  <c r="AF65" i="11"/>
  <c r="AH65" i="11" s="1"/>
  <c r="AF16" i="11"/>
  <c r="AH16" i="11" s="1"/>
  <c r="AF34" i="11"/>
  <c r="AH34" i="11" s="1"/>
  <c r="AF41" i="11"/>
  <c r="AH41" i="11" s="1"/>
  <c r="AF55" i="11"/>
  <c r="AH55" i="11" s="1"/>
  <c r="R100" i="11"/>
  <c r="R119" i="11"/>
  <c r="AQ27" i="12"/>
  <c r="AS27" i="12" s="1"/>
  <c r="AJ64" i="12" a="1"/>
  <c r="AJ64" i="12" s="1"/>
  <c r="AK64" i="12" s="1" a="1"/>
  <c r="AK64" i="12" s="1"/>
  <c r="AI72" i="12" a="1"/>
  <c r="AI72" i="12" s="1"/>
  <c r="AQ72" i="12" s="1"/>
  <c r="AS72" i="12" s="1"/>
  <c r="AQ38" i="12"/>
  <c r="AS38" i="12" s="1"/>
  <c r="Y2" i="12"/>
  <c r="AQ17" i="12"/>
  <c r="AS17" i="12" s="1"/>
  <c r="AJ22" i="12" a="1"/>
  <c r="AJ22" i="12" s="1"/>
  <c r="AK22" i="12" s="1" a="1"/>
  <c r="AK22" i="12" s="1"/>
  <c r="AQ33" i="12"/>
  <c r="AS33" i="12" s="1"/>
  <c r="AI59" i="12" a="1"/>
  <c r="AI59" i="12" s="1"/>
  <c r="AQ59" i="12" s="1"/>
  <c r="AS59" i="12" s="1"/>
  <c r="AQ23" i="12"/>
  <c r="AS23" i="12" s="1"/>
  <c r="AQ49" i="12"/>
  <c r="AS49" i="12" s="1"/>
  <c r="AQ66" i="12"/>
  <c r="AS66" i="12" s="1"/>
  <c r="AI55" i="12" a="1"/>
  <c r="AI55" i="12" s="1"/>
  <c r="AQ55" i="12" s="1"/>
  <c r="AS55" i="12" s="1"/>
  <c r="AQ6" i="12"/>
  <c r="AS6" i="12" s="1"/>
  <c r="AI24" i="12" a="1"/>
  <c r="AI24" i="12" s="1"/>
  <c r="AQ24" i="12" s="1"/>
  <c r="AS24" i="12" s="1"/>
  <c r="AQ40" i="12"/>
  <c r="AS40" i="12" s="1"/>
  <c r="AQ50" i="12"/>
  <c r="AS50" i="12" s="1"/>
  <c r="AI8" i="12" a="1"/>
  <c r="AI8" i="12" s="1"/>
  <c r="AQ8" i="12" s="1"/>
  <c r="AS8" i="12" s="1"/>
  <c r="AQ19" i="12"/>
  <c r="AS19" i="12" s="1"/>
  <c r="AQ35" i="12"/>
  <c r="AS35" i="12" s="1"/>
  <c r="AI67" i="12" a="1"/>
  <c r="AI67" i="12" s="1"/>
  <c r="P2" i="12"/>
  <c r="AQ56" i="12"/>
  <c r="AS56" i="12" s="1"/>
  <c r="AQ51" i="12"/>
  <c r="AS51" i="12" s="1"/>
  <c r="AQ20" i="12"/>
  <c r="AS20" i="12" s="1"/>
  <c r="AQ36" i="12"/>
  <c r="AS36" i="12" s="1"/>
  <c r="AI73" i="12" a="1"/>
  <c r="AI73" i="12" s="1"/>
  <c r="AQ73" i="12" s="1"/>
  <c r="AS73" i="12" s="1"/>
  <c r="AQ26" i="12"/>
  <c r="AS26" i="12" s="1"/>
  <c r="V2" i="12"/>
  <c r="AI5" i="12" a="1"/>
  <c r="AI5" i="12" s="1"/>
  <c r="AQ5" i="12" s="1"/>
  <c r="AS5" i="12" s="1"/>
  <c r="AI21" i="12" a="1"/>
  <c r="AI21" i="12" s="1"/>
  <c r="AQ21" i="12" s="1"/>
  <c r="AS21" i="12" s="1"/>
  <c r="AI37" i="12" a="1"/>
  <c r="AI37" i="12" s="1"/>
  <c r="AQ37" i="12" s="1"/>
  <c r="AS37" i="12" s="1"/>
  <c r="AI69" i="12" a="1"/>
  <c r="AI69" i="12" s="1"/>
  <c r="AQ69" i="12" s="1"/>
  <c r="AS69" i="12" s="1"/>
  <c r="AQ10" i="12"/>
  <c r="AS10" i="12" s="1"/>
  <c r="AQ42" i="12"/>
  <c r="AS42" i="12" s="1"/>
  <c r="H2" i="11"/>
  <c r="AF123" i="11"/>
  <c r="AH123" i="11" s="1"/>
  <c r="AF115" i="11"/>
  <c r="AH115" i="11" s="1"/>
  <c r="AF109" i="11"/>
  <c r="AH109" i="11" s="1"/>
  <c r="AF101" i="11"/>
  <c r="AF93" i="11"/>
  <c r="AF85" i="11"/>
  <c r="AF77" i="11"/>
  <c r="AF69" i="11"/>
  <c r="AF49" i="11"/>
  <c r="AH49" i="11" s="1"/>
  <c r="AF36" i="11"/>
  <c r="AF28" i="11"/>
  <c r="AH28" i="11" s="1"/>
  <c r="AF20" i="11"/>
  <c r="AH20" i="11" s="1"/>
  <c r="AF128" i="11"/>
  <c r="AH128" i="11" s="1"/>
  <c r="AF120" i="11"/>
  <c r="AF106" i="11"/>
  <c r="AH106" i="11" s="1"/>
  <c r="AF98" i="11"/>
  <c r="AH98" i="11" s="1"/>
  <c r="AF90" i="11"/>
  <c r="AH90" i="11" s="1"/>
  <c r="AF82" i="11"/>
  <c r="AH82" i="11" s="1"/>
  <c r="AF74" i="11"/>
  <c r="AH74" i="11" s="1"/>
  <c r="AF66" i="11"/>
  <c r="AH66" i="11" s="1"/>
  <c r="AF62" i="11"/>
  <c r="AH62" i="11" s="1"/>
  <c r="AF54" i="11"/>
  <c r="AH54" i="11" s="1"/>
  <c r="AF46" i="11"/>
  <c r="AH46" i="11" s="1"/>
  <c r="AF125" i="11"/>
  <c r="AH125" i="11" s="1"/>
  <c r="R93" i="11"/>
  <c r="R36" i="11"/>
  <c r="AF113" i="11"/>
  <c r="AH113" i="11" s="1"/>
  <c r="AF53" i="11"/>
  <c r="AH53" i="11" s="1"/>
  <c r="AF45" i="11"/>
  <c r="AH45" i="11" s="1"/>
  <c r="AF32" i="11"/>
  <c r="AH32" i="11" s="1"/>
  <c r="AF5" i="11"/>
  <c r="AH5" i="11" s="1"/>
  <c r="AF124" i="11"/>
  <c r="AH124" i="11" s="1"/>
  <c r="AF70" i="11"/>
  <c r="AH70" i="11" s="1"/>
  <c r="AF40" i="11"/>
  <c r="AH40" i="11" s="1"/>
  <c r="AF26" i="11"/>
  <c r="AF7" i="11"/>
  <c r="AK198" i="8"/>
  <c r="AM198" i="8" s="1"/>
  <c r="AC19" i="8" a="1"/>
  <c r="AC19" i="8" s="1"/>
  <c r="AE143" i="8" a="1"/>
  <c r="AE143" i="8" s="1"/>
  <c r="AE179" i="8" a="1"/>
  <c r="AE179" i="8" s="1"/>
  <c r="AN185" i="8"/>
  <c r="AL138" i="8"/>
  <c r="AN138" i="8" s="1"/>
  <c r="AE24" i="8" a="1"/>
  <c r="AE24" i="8" s="1"/>
  <c r="T2" i="8"/>
  <c r="AC14" i="8" a="1"/>
  <c r="AC14" i="8" s="1"/>
  <c r="AE19" i="8" a="1"/>
  <c r="AE19" i="8" s="1"/>
  <c r="AC30" i="8" a="1"/>
  <c r="AC30" i="8" s="1"/>
  <c r="AL137" i="8"/>
  <c r="AN137" i="8" s="1"/>
  <c r="AL140" i="8"/>
  <c r="AN140" i="8" s="1"/>
  <c r="AL168" i="8"/>
  <c r="AN168" i="8" s="1"/>
  <c r="AL172" i="8"/>
  <c r="AN172" i="8" s="1"/>
  <c r="X230" i="8"/>
  <c r="AC259" i="8" a="1"/>
  <c r="AC259" i="8" s="1"/>
  <c r="AE263" i="8" a="1"/>
  <c r="AE263" i="8" s="1"/>
  <c r="AC9" i="8" a="1"/>
  <c r="AC9" i="8" s="1"/>
  <c r="AC25" i="8" a="1"/>
  <c r="AC25" i="8" s="1"/>
  <c r="AC136" i="8" a="1"/>
  <c r="AC136" i="8" s="1"/>
  <c r="AC152" i="8" a="1"/>
  <c r="AC152" i="8" s="1"/>
  <c r="AC168" i="8" a="1"/>
  <c r="AC168" i="8" s="1"/>
  <c r="AL163" i="8"/>
  <c r="AN163" i="8" s="1"/>
  <c r="AL169" i="8"/>
  <c r="AN169" i="8" s="1"/>
  <c r="AK272" i="8"/>
  <c r="AM272" i="8" s="1"/>
  <c r="X104" i="8"/>
  <c r="AK20" i="8"/>
  <c r="AM20" i="8" s="1"/>
  <c r="AE25" i="8" a="1"/>
  <c r="AE25" i="8" s="1"/>
  <c r="AD136" i="8"/>
  <c r="AD152" i="8"/>
  <c r="AD168" i="8"/>
  <c r="AN197" i="8"/>
  <c r="AN182" i="8"/>
  <c r="AN161" i="8"/>
  <c r="AL151" i="8"/>
  <c r="AN151" i="8" s="1"/>
  <c r="AL174" i="8"/>
  <c r="AN174" i="8" s="1"/>
  <c r="AL193" i="8"/>
  <c r="AN193" i="8" s="1"/>
  <c r="AL153" i="8"/>
  <c r="AN153" i="8" s="1"/>
  <c r="AC10" i="8" a="1"/>
  <c r="AC10" i="8" s="1"/>
  <c r="AE15" i="8" a="1"/>
  <c r="AE15" i="8" s="1"/>
  <c r="AK15" i="8" s="1"/>
  <c r="AM15" i="8" s="1"/>
  <c r="AC26" i="8" a="1"/>
  <c r="AC26" i="8" s="1"/>
  <c r="AE31" i="8" a="1"/>
  <c r="AE31" i="8" s="1"/>
  <c r="X180" i="8"/>
  <c r="AL152" i="8"/>
  <c r="AN152" i="8" s="1"/>
  <c r="AD263" i="8"/>
  <c r="AE261" i="8" a="1"/>
  <c r="AE261" i="8" s="1"/>
  <c r="AE10" i="8" a="1"/>
  <c r="AE10" i="8" s="1"/>
  <c r="AE26" i="8" a="1"/>
  <c r="AE26" i="8" s="1"/>
  <c r="AK97" i="8"/>
  <c r="AM97" i="8" s="1"/>
  <c r="AK101" i="8"/>
  <c r="AM101" i="8" s="1"/>
  <c r="AC105" i="8" a="1"/>
  <c r="AC105" i="8" s="1"/>
  <c r="AC121" i="8" a="1"/>
  <c r="AC121" i="8" s="1"/>
  <c r="AK129" i="8"/>
  <c r="AM129" i="8" s="1"/>
  <c r="AC137" i="8" a="1"/>
  <c r="AC137" i="8" s="1"/>
  <c r="AK141" i="8"/>
  <c r="AM141" i="8" s="1"/>
  <c r="AC153" i="8" a="1"/>
  <c r="AC153" i="8" s="1"/>
  <c r="AC169" i="8" a="1"/>
  <c r="AC169" i="8" s="1"/>
  <c r="AC181" i="8" a="1"/>
  <c r="AC181" i="8" s="1"/>
  <c r="AC188" i="8" a="1"/>
  <c r="AC188" i="8" s="1"/>
  <c r="AC196" i="8" a="1"/>
  <c r="AC196" i="8" s="1"/>
  <c r="AN179" i="8"/>
  <c r="AC269" i="8" a="1"/>
  <c r="AC269" i="8" s="1"/>
  <c r="AC16" i="8" a="1"/>
  <c r="AC16" i="8" s="1"/>
  <c r="AD105" i="8"/>
  <c r="AD121" i="8"/>
  <c r="AD137" i="8"/>
  <c r="AD153" i="8"/>
  <c r="AD169" i="8"/>
  <c r="AD181" i="8"/>
  <c r="AD188" i="8"/>
  <c r="AD196" i="8"/>
  <c r="X178" i="8"/>
  <c r="AD269" i="8"/>
  <c r="AE188" i="8" a="1"/>
  <c r="AE188" i="8" s="1"/>
  <c r="AE269" i="8" a="1"/>
  <c r="AE269" i="8" s="1"/>
  <c r="AK187" i="8"/>
  <c r="AM187" i="8" s="1"/>
  <c r="AC11" i="8" a="1"/>
  <c r="AC11" i="8" s="1"/>
  <c r="AE16" i="8" a="1"/>
  <c r="AE16" i="8" s="1"/>
  <c r="AC27" i="8" a="1"/>
  <c r="AC27" i="8" s="1"/>
  <c r="AE196" i="8" a="1"/>
  <c r="AE196" i="8" s="1"/>
  <c r="AL136" i="8"/>
  <c r="AN136" i="8" s="1"/>
  <c r="K2" i="8"/>
  <c r="AE11" i="8" a="1"/>
  <c r="AE11" i="8" s="1"/>
  <c r="AC22" i="8" a="1"/>
  <c r="AC22" i="8" s="1"/>
  <c r="AE27" i="8" a="1"/>
  <c r="AE27" i="8" s="1"/>
  <c r="AL156" i="8"/>
  <c r="AN156" i="8" s="1"/>
  <c r="AL178" i="8"/>
  <c r="AD259" i="8"/>
  <c r="AC106" i="8" a="1"/>
  <c r="AC106" i="8" s="1"/>
  <c r="AK110" i="8"/>
  <c r="AM110" i="8" s="1"/>
  <c r="AC122" i="8" a="1"/>
  <c r="AC122" i="8" s="1"/>
  <c r="AC138" i="8" a="1"/>
  <c r="AC138" i="8" s="1"/>
  <c r="AC146" i="8" a="1"/>
  <c r="AC146" i="8" s="1"/>
  <c r="AK146" i="8" s="1"/>
  <c r="AM146" i="8" s="1"/>
  <c r="AK150" i="8"/>
  <c r="AM150" i="8" s="1"/>
  <c r="AC154" i="8" a="1"/>
  <c r="AC154" i="8" s="1"/>
  <c r="AC158" i="8" a="1"/>
  <c r="AC158" i="8" s="1"/>
  <c r="AC162" i="8" a="1"/>
  <c r="AC162" i="8" s="1"/>
  <c r="AC170" i="8" a="1"/>
  <c r="AC170" i="8" s="1"/>
  <c r="AK170" i="8" s="1"/>
  <c r="AM170" i="8" s="1"/>
  <c r="AC174" i="8" a="1"/>
  <c r="AC174" i="8" s="1"/>
  <c r="AK174" i="8" s="1"/>
  <c r="AM174" i="8" s="1"/>
  <c r="AC178" i="8" a="1"/>
  <c r="AC178" i="8" s="1"/>
  <c r="AC182" i="8" a="1"/>
  <c r="AC182" i="8" s="1"/>
  <c r="AC189" i="8" a="1"/>
  <c r="AC189" i="8" s="1"/>
  <c r="AC193" i="8" a="1"/>
  <c r="AC193" i="8" s="1"/>
  <c r="AC197" i="8" a="1"/>
  <c r="AC197" i="8" s="1"/>
  <c r="AN190" i="8"/>
  <c r="AL139" i="8"/>
  <c r="AN139" i="8" s="1"/>
  <c r="AL154" i="8"/>
  <c r="AN154" i="8" s="1"/>
  <c r="AC12" i="8" a="1"/>
  <c r="AC12" i="8" s="1"/>
  <c r="AD106" i="8"/>
  <c r="AD122" i="8"/>
  <c r="AD138" i="8"/>
  <c r="AD182" i="8"/>
  <c r="AD197" i="8"/>
  <c r="AL158" i="8"/>
  <c r="AN158" i="8" s="1"/>
  <c r="AE12" i="8" a="1"/>
  <c r="AE12" i="8" s="1"/>
  <c r="AE182" i="8" a="1"/>
  <c r="AE182" i="8" s="1"/>
  <c r="AN188" i="8"/>
  <c r="AL271" i="8"/>
  <c r="AN271" i="8" s="1"/>
  <c r="AL265" i="8"/>
  <c r="AN265" i="8" s="1"/>
  <c r="AL262" i="8"/>
  <c r="AN262" i="8" s="1"/>
  <c r="AL261" i="8"/>
  <c r="AN261" i="8" s="1"/>
  <c r="AL260" i="8"/>
  <c r="AN260" i="8" s="1"/>
  <c r="AL259" i="8"/>
  <c r="AN259" i="8" s="1"/>
  <c r="AR72" i="12"/>
  <c r="AR73" i="12"/>
  <c r="AR74" i="12"/>
  <c r="AR75" i="12"/>
  <c r="AL264" i="8"/>
  <c r="AN264" i="8" s="1"/>
  <c r="AL263" i="8"/>
  <c r="AN263" i="8" s="1"/>
  <c r="Y131" i="11" a="1"/>
  <c r="Y131" i="11" s="1"/>
  <c r="AE131" i="11" s="1"/>
  <c r="AG131" i="11" s="1"/>
  <c r="Y130" i="11" a="1"/>
  <c r="Y130" i="11" s="1"/>
  <c r="AE130" i="11" s="1"/>
  <c r="AG130" i="11" s="1"/>
  <c r="Y129" i="11" a="1"/>
  <c r="Y129" i="11" s="1"/>
  <c r="AE129" i="11" s="1"/>
  <c r="AG129" i="11" s="1"/>
  <c r="Y128" i="11" a="1"/>
  <c r="Y128" i="11" s="1"/>
  <c r="AE128" i="11" s="1"/>
  <c r="AG128" i="11" s="1"/>
  <c r="Y127" i="11" a="1"/>
  <c r="Y127" i="11" s="1"/>
  <c r="AE127" i="11" s="1"/>
  <c r="AG127" i="11" s="1"/>
  <c r="Y126" i="11" a="1"/>
  <c r="Y126" i="11" s="1"/>
  <c r="AE126" i="11" s="1"/>
  <c r="AG126" i="11" s="1"/>
  <c r="Y125" i="11" a="1"/>
  <c r="Y125" i="11" s="1"/>
  <c r="AE125" i="11" s="1"/>
  <c r="AG125" i="11" s="1"/>
  <c r="Y124" i="11" a="1"/>
  <c r="Y124" i="11" s="1"/>
  <c r="AE124" i="11" s="1"/>
  <c r="AG124" i="11" s="1"/>
  <c r="AR60" i="12"/>
  <c r="AR61" i="12"/>
  <c r="AR62" i="12"/>
  <c r="AR63" i="12"/>
  <c r="AR64" i="12"/>
  <c r="AS65" i="12"/>
  <c r="AR65" i="12"/>
  <c r="AR66" i="12"/>
  <c r="AS67" i="12"/>
  <c r="AR67" i="12"/>
  <c r="AR68" i="12"/>
  <c r="AR69" i="12"/>
  <c r="AR70" i="12"/>
  <c r="AR71" i="12"/>
  <c r="AE221" i="8" a="1"/>
  <c r="AE221" i="8" s="1"/>
  <c r="AD221" i="8"/>
  <c r="AC221" i="8" a="1"/>
  <c r="AC221" i="8" s="1"/>
  <c r="AE222" i="8" a="1"/>
  <c r="AE222" i="8" s="1"/>
  <c r="AD222" i="8"/>
  <c r="AC222" i="8" a="1"/>
  <c r="AC222" i="8" s="1"/>
  <c r="AE231" i="8" a="1"/>
  <c r="AE231" i="8" s="1"/>
  <c r="AD231" i="8"/>
  <c r="AC231" i="8" a="1"/>
  <c r="AC231" i="8" s="1"/>
  <c r="AE232" i="8" a="1"/>
  <c r="AE232" i="8" s="1"/>
  <c r="AD232" i="8"/>
  <c r="AC232" i="8" a="1"/>
  <c r="AC232" i="8" s="1"/>
  <c r="AE233" i="8" a="1"/>
  <c r="AE233" i="8" s="1"/>
  <c r="AD233" i="8"/>
  <c r="AC233" i="8" a="1"/>
  <c r="AC233" i="8" s="1"/>
  <c r="AE234" i="8" a="1"/>
  <c r="AE234" i="8" s="1"/>
  <c r="AD234" i="8"/>
  <c r="AC234" i="8" a="1"/>
  <c r="AC234" i="8" s="1"/>
  <c r="AE235" i="8" a="1"/>
  <c r="AE235" i="8" s="1"/>
  <c r="AD235" i="8"/>
  <c r="AC235" i="8" a="1"/>
  <c r="AC235" i="8" s="1"/>
  <c r="AE236" i="8" a="1"/>
  <c r="AE236" i="8" s="1"/>
  <c r="AD236" i="8"/>
  <c r="AC236" i="8" a="1"/>
  <c r="AC236" i="8" s="1"/>
  <c r="AE237" i="8" a="1"/>
  <c r="AE237" i="8" s="1"/>
  <c r="AD237" i="8"/>
  <c r="AC237" i="8" a="1"/>
  <c r="AC237" i="8" s="1"/>
  <c r="AE238" i="8" a="1"/>
  <c r="AE238" i="8" s="1"/>
  <c r="AD238" i="8"/>
  <c r="AC238" i="8" a="1"/>
  <c r="AC238" i="8" s="1"/>
  <c r="AE239" i="8" a="1"/>
  <c r="AE239" i="8" s="1"/>
  <c r="AD239" i="8"/>
  <c r="AC239" i="8" a="1"/>
  <c r="AC239" i="8" s="1"/>
  <c r="AK239" i="8" s="1"/>
  <c r="AM239" i="8" s="1"/>
  <c r="AE240" i="8" a="1"/>
  <c r="AE240" i="8" s="1"/>
  <c r="AD240" i="8"/>
  <c r="AC240" i="8" a="1"/>
  <c r="AC240" i="8" s="1"/>
  <c r="AE241" i="8" a="1"/>
  <c r="AE241" i="8" s="1"/>
  <c r="AD241" i="8"/>
  <c r="AC241" i="8" a="1"/>
  <c r="AC241" i="8" s="1"/>
  <c r="AE242" i="8" a="1"/>
  <c r="AE242" i="8" s="1"/>
  <c r="AD242" i="8"/>
  <c r="AC242" i="8" a="1"/>
  <c r="AC242" i="8" s="1"/>
  <c r="AE243" i="8" a="1"/>
  <c r="AE243" i="8" s="1"/>
  <c r="AD243" i="8"/>
  <c r="AC243" i="8" a="1"/>
  <c r="AC243" i="8" s="1"/>
  <c r="AE244" i="8" a="1"/>
  <c r="AE244" i="8" s="1"/>
  <c r="AD244" i="8"/>
  <c r="AC244" i="8" a="1"/>
  <c r="AC244" i="8" s="1"/>
  <c r="AE245" i="8" a="1"/>
  <c r="AE245" i="8" s="1"/>
  <c r="AD245" i="8"/>
  <c r="AC245" i="8" a="1"/>
  <c r="AC245" i="8" s="1"/>
  <c r="AE246" i="8" a="1"/>
  <c r="AE246" i="8" s="1"/>
  <c r="AD246" i="8"/>
  <c r="AC246" i="8" a="1"/>
  <c r="AC246" i="8" s="1"/>
  <c r="AE247" i="8" a="1"/>
  <c r="AE247" i="8" s="1"/>
  <c r="AD247" i="8"/>
  <c r="AC247" i="8" a="1"/>
  <c r="AC247" i="8" s="1"/>
  <c r="AE248" i="8" a="1"/>
  <c r="AE248" i="8" s="1"/>
  <c r="AD248" i="8"/>
  <c r="AC248" i="8" a="1"/>
  <c r="AC248" i="8" s="1"/>
  <c r="AE249" i="8" a="1"/>
  <c r="AE249" i="8" s="1"/>
  <c r="AD249" i="8"/>
  <c r="AC249" i="8" a="1"/>
  <c r="AC249" i="8" s="1"/>
  <c r="AE250" i="8" a="1"/>
  <c r="AE250" i="8" s="1"/>
  <c r="AD250" i="8"/>
  <c r="AC250" i="8" a="1"/>
  <c r="AC250" i="8" s="1"/>
  <c r="AE251" i="8" a="1"/>
  <c r="AE251" i="8" s="1"/>
  <c r="AD251" i="8"/>
  <c r="AC251" i="8" a="1"/>
  <c r="AC251" i="8" s="1"/>
  <c r="AE252" i="8" a="1"/>
  <c r="AE252" i="8" s="1"/>
  <c r="AD252" i="8"/>
  <c r="AC252" i="8" a="1"/>
  <c r="AC252" i="8" s="1"/>
  <c r="AE253" i="8" a="1"/>
  <c r="AE253" i="8" s="1"/>
  <c r="AD253" i="8"/>
  <c r="AC253" i="8" a="1"/>
  <c r="AC253" i="8" s="1"/>
  <c r="AE254" i="8" a="1"/>
  <c r="AE254" i="8" s="1"/>
  <c r="AD254" i="8"/>
  <c r="AC254" i="8" a="1"/>
  <c r="AC254" i="8" s="1"/>
  <c r="AE255" i="8" a="1"/>
  <c r="AE255" i="8" s="1"/>
  <c r="AD255" i="8"/>
  <c r="AC255" i="8" a="1"/>
  <c r="AC255" i="8" s="1"/>
  <c r="AK255" i="8" s="1"/>
  <c r="AM255" i="8" s="1"/>
  <c r="AE256" i="8" a="1"/>
  <c r="AE256" i="8" s="1"/>
  <c r="AD256" i="8"/>
  <c r="AC256" i="8" a="1"/>
  <c r="AC256" i="8" s="1"/>
  <c r="AE257" i="8" a="1"/>
  <c r="AE257" i="8" s="1"/>
  <c r="AD257" i="8"/>
  <c r="AC257" i="8" a="1"/>
  <c r="AC257" i="8" s="1"/>
  <c r="AE258" i="8" a="1"/>
  <c r="AE258" i="8" s="1"/>
  <c r="AD258" i="8"/>
  <c r="AC258" i="8" a="1"/>
  <c r="AC258" i="8" s="1"/>
  <c r="AE229" i="8" a="1"/>
  <c r="AE229" i="8" s="1"/>
  <c r="AD229" i="8"/>
  <c r="AC229" i="8" a="1"/>
  <c r="AC229" i="8" s="1"/>
  <c r="AE230" i="8" a="1"/>
  <c r="AE230" i="8" s="1"/>
  <c r="AD230" i="8"/>
  <c r="AC230" i="8" a="1"/>
  <c r="AC230" i="8" s="1"/>
  <c r="AE225" i="8" a="1"/>
  <c r="AE225" i="8" s="1"/>
  <c r="AD225" i="8"/>
  <c r="AC225" i="8" a="1"/>
  <c r="AC225" i="8" s="1"/>
  <c r="AE226" i="8" a="1"/>
  <c r="AE226" i="8" s="1"/>
  <c r="AD226" i="8"/>
  <c r="AC226" i="8" a="1"/>
  <c r="AC226" i="8" s="1"/>
  <c r="AE223" i="8" a="1"/>
  <c r="AE223" i="8" s="1"/>
  <c r="AD223" i="8"/>
  <c r="AC223" i="8" a="1"/>
  <c r="AC223" i="8" s="1"/>
  <c r="AE224" i="8" a="1"/>
  <c r="AE224" i="8" s="1"/>
  <c r="AD224" i="8"/>
  <c r="AC224" i="8" a="1"/>
  <c r="AC224" i="8" s="1"/>
  <c r="AE227" i="8" a="1"/>
  <c r="AE227" i="8" s="1"/>
  <c r="AD227" i="8"/>
  <c r="AC227" i="8" a="1"/>
  <c r="AC227" i="8" s="1"/>
  <c r="AE228" i="8" a="1"/>
  <c r="AE228" i="8" s="1"/>
  <c r="AD228" i="8"/>
  <c r="AC228" i="8" a="1"/>
  <c r="AC228" i="8" s="1"/>
  <c r="AE217" i="8" a="1"/>
  <c r="AE217" i="8" s="1"/>
  <c r="AD217" i="8"/>
  <c r="AC217" i="8" a="1"/>
  <c r="AC217" i="8" s="1"/>
  <c r="AE218" i="8" a="1"/>
  <c r="AE218" i="8" s="1"/>
  <c r="AD218" i="8"/>
  <c r="AC218" i="8" a="1"/>
  <c r="AC218" i="8" s="1"/>
  <c r="AE215" i="8" a="1"/>
  <c r="AE215" i="8" s="1"/>
  <c r="AD215" i="8"/>
  <c r="AC215" i="8" a="1"/>
  <c r="AC215" i="8" s="1"/>
  <c r="AE216" i="8" a="1"/>
  <c r="AE216" i="8" s="1"/>
  <c r="AD216" i="8"/>
  <c r="AC216" i="8" a="1"/>
  <c r="AC216" i="8" s="1"/>
  <c r="AE219" i="8" a="1"/>
  <c r="AE219" i="8" s="1"/>
  <c r="AD219" i="8"/>
  <c r="AC219" i="8" a="1"/>
  <c r="AC219" i="8" s="1"/>
  <c r="AK219" i="8" s="1"/>
  <c r="AM219" i="8" s="1"/>
  <c r="AE220" i="8" a="1"/>
  <c r="AE220" i="8" s="1"/>
  <c r="AD220" i="8"/>
  <c r="AC220" i="8" a="1"/>
  <c r="AC220" i="8" s="1"/>
  <c r="AE213" i="8" a="1"/>
  <c r="AE213" i="8" s="1"/>
  <c r="AD213" i="8"/>
  <c r="AC213" i="8" a="1"/>
  <c r="AC213" i="8" s="1"/>
  <c r="AE214" i="8" a="1"/>
  <c r="AE214" i="8" s="1"/>
  <c r="AD214" i="8"/>
  <c r="AC214" i="8" a="1"/>
  <c r="AC214" i="8" s="1"/>
  <c r="AE209" i="8" a="1"/>
  <c r="AE209" i="8" s="1"/>
  <c r="AD209" i="8"/>
  <c r="AC209" i="8" a="1"/>
  <c r="AC209" i="8" s="1"/>
  <c r="AE210" i="8" a="1"/>
  <c r="AE210" i="8" s="1"/>
  <c r="AD210" i="8"/>
  <c r="AC210" i="8" a="1"/>
  <c r="AC210" i="8" s="1"/>
  <c r="AE207" i="8" a="1"/>
  <c r="AE207" i="8" s="1"/>
  <c r="AD207" i="8"/>
  <c r="AC207" i="8" a="1"/>
  <c r="AC207" i="8" s="1"/>
  <c r="AE208" i="8" a="1"/>
  <c r="AE208" i="8" s="1"/>
  <c r="AD208" i="8"/>
  <c r="AC208" i="8" a="1"/>
  <c r="AC208" i="8" s="1"/>
  <c r="AE211" i="8" a="1"/>
  <c r="AE211" i="8" s="1"/>
  <c r="AD211" i="8"/>
  <c r="AC211" i="8" a="1"/>
  <c r="AC211" i="8" s="1"/>
  <c r="AE212" i="8" a="1"/>
  <c r="AE212" i="8" s="1"/>
  <c r="AD212" i="8"/>
  <c r="AC212" i="8" a="1"/>
  <c r="AC212" i="8" s="1"/>
  <c r="AE205" i="8" a="1"/>
  <c r="AE205" i="8" s="1"/>
  <c r="AD205" i="8"/>
  <c r="AC205" i="8" a="1"/>
  <c r="AC205" i="8" s="1"/>
  <c r="AE206" i="8" a="1"/>
  <c r="AE206" i="8" s="1"/>
  <c r="AD206" i="8"/>
  <c r="AC206" i="8" a="1"/>
  <c r="AC206" i="8" s="1"/>
  <c r="AE203" i="8" a="1"/>
  <c r="AE203" i="8" s="1"/>
  <c r="AD203" i="8"/>
  <c r="AC203" i="8" a="1"/>
  <c r="AC203" i="8" s="1"/>
  <c r="AE204" i="8" a="1"/>
  <c r="AE204" i="8" s="1"/>
  <c r="AD204" i="8"/>
  <c r="AC204" i="8" a="1"/>
  <c r="AC204" i="8" s="1"/>
  <c r="AE201" i="8" a="1"/>
  <c r="AE201" i="8" s="1"/>
  <c r="AD201" i="8"/>
  <c r="AC201" i="8" a="1"/>
  <c r="AC201" i="8" s="1"/>
  <c r="AE202" i="8" a="1"/>
  <c r="AE202" i="8" s="1"/>
  <c r="AD202" i="8"/>
  <c r="AC202" i="8" a="1"/>
  <c r="AC202" i="8" s="1"/>
  <c r="AE199" i="8" a="1"/>
  <c r="AE199" i="8" s="1"/>
  <c r="AD199" i="8"/>
  <c r="AC199" i="8" a="1"/>
  <c r="AC199" i="8" s="1"/>
  <c r="AE200" i="8" a="1"/>
  <c r="AE200" i="8" s="1"/>
  <c r="AD200" i="8"/>
  <c r="AC200" i="8" a="1"/>
  <c r="AC200" i="8" s="1"/>
  <c r="AL199" i="8"/>
  <c r="AN199" i="8" s="1"/>
  <c r="AL200" i="8"/>
  <c r="AN200" i="8" s="1"/>
  <c r="AL201" i="8"/>
  <c r="AN201" i="8" s="1"/>
  <c r="AL202" i="8"/>
  <c r="AN202" i="8" s="1"/>
  <c r="AL203" i="8"/>
  <c r="AN203" i="8" s="1"/>
  <c r="AL204" i="8"/>
  <c r="AN204" i="8" s="1"/>
  <c r="AL205" i="8"/>
  <c r="AN205" i="8" s="1"/>
  <c r="AL206" i="8"/>
  <c r="AN206" i="8" s="1"/>
  <c r="AL207" i="8"/>
  <c r="AN207" i="8" s="1"/>
  <c r="AL208" i="8"/>
  <c r="AN208" i="8" s="1"/>
  <c r="AL209" i="8"/>
  <c r="AN209" i="8" s="1"/>
  <c r="AL210" i="8"/>
  <c r="AN210" i="8" s="1"/>
  <c r="AL211" i="8"/>
  <c r="AN211" i="8" s="1"/>
  <c r="AL212" i="8"/>
  <c r="AN212" i="8" s="1"/>
  <c r="AL213" i="8"/>
  <c r="AL214" i="8"/>
  <c r="AN214" i="8" s="1"/>
  <c r="AL215" i="8"/>
  <c r="AN215" i="8" s="1"/>
  <c r="AL216" i="8"/>
  <c r="AN216" i="8" s="1"/>
  <c r="AL217" i="8"/>
  <c r="AN217" i="8" s="1"/>
  <c r="AL218" i="8"/>
  <c r="AN218" i="8" s="1"/>
  <c r="AL219" i="8"/>
  <c r="AN219" i="8" s="1"/>
  <c r="AL220" i="8"/>
  <c r="AN220" i="8" s="1"/>
  <c r="AL221" i="8"/>
  <c r="AN221" i="8" s="1"/>
  <c r="AL222" i="8"/>
  <c r="AN222" i="8" s="1"/>
  <c r="AL223" i="8"/>
  <c r="AN223" i="8" s="1"/>
  <c r="AL224" i="8"/>
  <c r="AN224" i="8" s="1"/>
  <c r="AL225" i="8"/>
  <c r="AN225" i="8" s="1"/>
  <c r="AL226" i="8"/>
  <c r="AN226" i="8" s="1"/>
  <c r="AL227" i="8"/>
  <c r="AN227" i="8" s="1"/>
  <c r="AL228" i="8"/>
  <c r="AN228" i="8" s="1"/>
  <c r="AL229" i="8"/>
  <c r="AL230" i="8"/>
  <c r="AL231" i="8"/>
  <c r="AN231" i="8" s="1"/>
  <c r="AL232" i="8"/>
  <c r="AN232" i="8" s="1"/>
  <c r="AL233" i="8"/>
  <c r="AN233" i="8" s="1"/>
  <c r="AL234" i="8"/>
  <c r="AN234" i="8" s="1"/>
  <c r="AL235" i="8"/>
  <c r="AN235" i="8" s="1"/>
  <c r="AL236" i="8"/>
  <c r="AN236" i="8" s="1"/>
  <c r="AL237" i="8"/>
  <c r="AN237" i="8" s="1"/>
  <c r="AL238" i="8"/>
  <c r="AN238" i="8" s="1"/>
  <c r="AL239" i="8"/>
  <c r="AN239" i="8" s="1"/>
  <c r="AL240" i="8"/>
  <c r="AN240" i="8" s="1"/>
  <c r="AL241" i="8"/>
  <c r="AN241" i="8" s="1"/>
  <c r="AL242" i="8"/>
  <c r="AN242" i="8" s="1"/>
  <c r="AL243" i="8"/>
  <c r="AN243" i="8" s="1"/>
  <c r="AL244" i="8"/>
  <c r="AN244" i="8" s="1"/>
  <c r="AL245" i="8"/>
  <c r="AN245" i="8" s="1"/>
  <c r="AL246" i="8"/>
  <c r="AN246" i="8" s="1"/>
  <c r="AL247" i="8"/>
  <c r="AN247" i="8" s="1"/>
  <c r="AL248" i="8"/>
  <c r="AN248" i="8" s="1"/>
  <c r="AL249" i="8"/>
  <c r="AN249" i="8" s="1"/>
  <c r="AL250" i="8"/>
  <c r="AL251" i="8"/>
  <c r="AN251" i="8" s="1"/>
  <c r="AL252" i="8"/>
  <c r="AN252" i="8" s="1"/>
  <c r="AL253" i="8"/>
  <c r="AN253" i="8" s="1"/>
  <c r="AL254" i="8"/>
  <c r="AN254" i="8" s="1"/>
  <c r="AL255" i="8"/>
  <c r="AN255" i="8" s="1"/>
  <c r="AL256" i="8"/>
  <c r="AN256" i="8" s="1"/>
  <c r="AL257" i="8"/>
  <c r="AN257" i="8" s="1"/>
  <c r="AL258" i="8"/>
  <c r="AN258" i="8" s="1"/>
  <c r="AN177" i="8"/>
  <c r="AN175" i="8"/>
  <c r="AR48" i="12"/>
  <c r="AR49" i="12"/>
  <c r="AR50" i="12"/>
  <c r="AR51" i="12"/>
  <c r="AR52" i="12"/>
  <c r="AS53" i="12"/>
  <c r="AR53" i="12"/>
  <c r="AR54" i="12"/>
  <c r="AR55" i="12"/>
  <c r="AR56" i="12"/>
  <c r="AR57" i="12"/>
  <c r="AR58" i="12"/>
  <c r="AR59" i="12"/>
  <c r="AL94" i="8"/>
  <c r="AN94" i="8" s="1"/>
  <c r="AL95" i="8"/>
  <c r="AN95" i="8" s="1"/>
  <c r="AL96" i="8"/>
  <c r="AN96" i="8" s="1"/>
  <c r="AL97" i="8"/>
  <c r="AN97" i="8" s="1"/>
  <c r="AL98" i="8"/>
  <c r="AN98" i="8" s="1"/>
  <c r="AL99" i="8"/>
  <c r="AN99" i="8" s="1"/>
  <c r="AL100" i="8"/>
  <c r="AN100" i="8" s="1"/>
  <c r="AL101" i="8"/>
  <c r="AN101" i="8" s="1"/>
  <c r="AL102" i="8"/>
  <c r="AN102" i="8" s="1"/>
  <c r="AL103" i="8"/>
  <c r="AN103" i="8" s="1"/>
  <c r="AL104" i="8"/>
  <c r="AN104" i="8" s="1"/>
  <c r="AL105" i="8"/>
  <c r="AN105" i="8" s="1"/>
  <c r="AL106" i="8"/>
  <c r="AN106" i="8" s="1"/>
  <c r="AL107" i="8"/>
  <c r="AN107" i="8" s="1"/>
  <c r="AL108" i="8"/>
  <c r="AN108" i="8" s="1"/>
  <c r="AL109" i="8"/>
  <c r="AN109" i="8" s="1"/>
  <c r="AL110" i="8"/>
  <c r="AN110" i="8" s="1"/>
  <c r="AL111" i="8"/>
  <c r="AN111" i="8" s="1"/>
  <c r="AL112" i="8"/>
  <c r="AN112" i="8" s="1"/>
  <c r="AL113" i="8"/>
  <c r="AN113" i="8" s="1"/>
  <c r="AL114" i="8"/>
  <c r="AN114" i="8" s="1"/>
  <c r="AL115" i="8"/>
  <c r="AN115" i="8" s="1"/>
  <c r="AL116" i="8"/>
  <c r="AN116" i="8" s="1"/>
  <c r="AL117" i="8"/>
  <c r="AN117" i="8" s="1"/>
  <c r="AL118" i="8"/>
  <c r="AN118" i="8" s="1"/>
  <c r="AL119" i="8"/>
  <c r="AL120" i="8"/>
  <c r="AN120" i="8" s="1"/>
  <c r="AL121" i="8"/>
  <c r="AN121" i="8" s="1"/>
  <c r="AL122" i="8"/>
  <c r="AN122" i="8" s="1"/>
  <c r="AL123" i="8"/>
  <c r="AN123" i="8" s="1"/>
  <c r="AL124" i="8"/>
  <c r="AN124" i="8" s="1"/>
  <c r="AL125" i="8"/>
  <c r="AN125" i="8" s="1"/>
  <c r="AL126" i="8"/>
  <c r="AN126" i="8" s="1"/>
  <c r="AL127" i="8"/>
  <c r="AN127" i="8" s="1"/>
  <c r="AL128" i="8"/>
  <c r="AN128" i="8" s="1"/>
  <c r="AL129" i="8"/>
  <c r="AN129" i="8" s="1"/>
  <c r="AL130" i="8"/>
  <c r="AN130" i="8" s="1"/>
  <c r="AL131" i="8"/>
  <c r="AN131" i="8" s="1"/>
  <c r="AL132" i="8"/>
  <c r="AN132" i="8" s="1"/>
  <c r="AL133" i="8"/>
  <c r="AN133" i="8" s="1"/>
  <c r="AE93" i="8" a="1"/>
  <c r="AE93" i="8" s="1"/>
  <c r="AC93" i="8" a="1"/>
  <c r="AC93" i="8" s="1"/>
  <c r="AD93" i="8"/>
  <c r="AL93" i="8"/>
  <c r="AN93" i="8" s="1"/>
  <c r="AE92" i="8" a="1"/>
  <c r="AE92" i="8" s="1"/>
  <c r="AC92" i="8" a="1"/>
  <c r="AC92" i="8" s="1"/>
  <c r="AD92" i="8"/>
  <c r="AL92" i="8"/>
  <c r="AN92" i="8" s="1"/>
  <c r="AE91" i="8" a="1"/>
  <c r="AE91" i="8" s="1"/>
  <c r="AC91" i="8" a="1"/>
  <c r="AC91" i="8" s="1"/>
  <c r="AD91" i="8"/>
  <c r="AL91" i="8"/>
  <c r="AN91" i="8" s="1"/>
  <c r="AE90" i="8" a="1"/>
  <c r="AE90" i="8" s="1"/>
  <c r="AC90" i="8" a="1"/>
  <c r="AC90" i="8" s="1"/>
  <c r="AD90" i="8"/>
  <c r="AL90" i="8"/>
  <c r="AN90" i="8" s="1"/>
  <c r="AE89" i="8" a="1"/>
  <c r="AE89" i="8" s="1"/>
  <c r="AC89" i="8" a="1"/>
  <c r="AC89" i="8" s="1"/>
  <c r="AD89" i="8"/>
  <c r="AL89" i="8"/>
  <c r="AN89" i="8" s="1"/>
  <c r="AE88" i="8" a="1"/>
  <c r="AE88" i="8" s="1"/>
  <c r="AC88" i="8" a="1"/>
  <c r="AC88" i="8" s="1"/>
  <c r="AD88" i="8"/>
  <c r="AL88" i="8"/>
  <c r="AN88" i="8" s="1"/>
  <c r="AE87" i="8" a="1"/>
  <c r="AE87" i="8" s="1"/>
  <c r="AC87" i="8" a="1"/>
  <c r="AC87" i="8" s="1"/>
  <c r="AD87" i="8"/>
  <c r="AL87" i="8"/>
  <c r="AN87" i="8" s="1"/>
  <c r="AE86" i="8" a="1"/>
  <c r="AE86" i="8" s="1"/>
  <c r="AC86" i="8" a="1"/>
  <c r="AC86" i="8" s="1"/>
  <c r="AD86" i="8"/>
  <c r="AL86" i="8"/>
  <c r="AN86" i="8" s="1"/>
  <c r="AE85" i="8" a="1"/>
  <c r="AE85" i="8" s="1"/>
  <c r="AC85" i="8" a="1"/>
  <c r="AC85" i="8" s="1"/>
  <c r="AD85" i="8"/>
  <c r="AL85" i="8"/>
  <c r="AN85" i="8" s="1"/>
  <c r="AE84" i="8" a="1"/>
  <c r="AE84" i="8" s="1"/>
  <c r="AC84" i="8" a="1"/>
  <c r="AC84" i="8" s="1"/>
  <c r="AD84" i="8"/>
  <c r="AL84" i="8"/>
  <c r="AN84" i="8" s="1"/>
  <c r="AE83" i="8" a="1"/>
  <c r="AE83" i="8" s="1"/>
  <c r="AC83" i="8" a="1"/>
  <c r="AC83" i="8" s="1"/>
  <c r="AD83" i="8"/>
  <c r="AL83" i="8"/>
  <c r="AN83" i="8" s="1"/>
  <c r="AE82" i="8" a="1"/>
  <c r="AE82" i="8" s="1"/>
  <c r="AC82" i="8" a="1"/>
  <c r="AC82" i="8" s="1"/>
  <c r="AD82" i="8"/>
  <c r="AL82" i="8"/>
  <c r="AN82" i="8" s="1"/>
  <c r="AE81" i="8" a="1"/>
  <c r="AE81" i="8" s="1"/>
  <c r="AC81" i="8" a="1"/>
  <c r="AC81" i="8" s="1"/>
  <c r="AD81" i="8"/>
  <c r="AL81" i="8"/>
  <c r="AN81" i="8" s="1"/>
  <c r="AE80" i="8" a="1"/>
  <c r="AE80" i="8" s="1"/>
  <c r="AC80" i="8" a="1"/>
  <c r="AC80" i="8" s="1"/>
  <c r="AD80" i="8"/>
  <c r="AL80" i="8"/>
  <c r="AN80" i="8" s="1"/>
  <c r="AE79" i="8" a="1"/>
  <c r="AE79" i="8" s="1"/>
  <c r="AC79" i="8" a="1"/>
  <c r="AC79" i="8" s="1"/>
  <c r="AD79" i="8"/>
  <c r="AL79" i="8"/>
  <c r="AN79" i="8" s="1"/>
  <c r="AE78" i="8" a="1"/>
  <c r="AE78" i="8" s="1"/>
  <c r="AC78" i="8" a="1"/>
  <c r="AC78" i="8" s="1"/>
  <c r="AD78" i="8"/>
  <c r="AL78" i="8"/>
  <c r="AN78" i="8" s="1"/>
  <c r="AE77" i="8" a="1"/>
  <c r="AE77" i="8" s="1"/>
  <c r="AC77" i="8" a="1"/>
  <c r="AC77" i="8" s="1"/>
  <c r="AD77" i="8"/>
  <c r="AL77" i="8"/>
  <c r="AN77" i="8" s="1"/>
  <c r="AE76" i="8" a="1"/>
  <c r="AE76" i="8" s="1"/>
  <c r="AC76" i="8" a="1"/>
  <c r="AC76" i="8" s="1"/>
  <c r="AD76" i="8"/>
  <c r="AL76" i="8"/>
  <c r="AN76" i="8" s="1"/>
  <c r="AE75" i="8" a="1"/>
  <c r="AE75" i="8" s="1"/>
  <c r="AC75" i="8" a="1"/>
  <c r="AC75" i="8" s="1"/>
  <c r="AD75" i="8"/>
  <c r="AL75" i="8"/>
  <c r="AN75" i="8" s="1"/>
  <c r="AE74" i="8" a="1"/>
  <c r="AE74" i="8" s="1"/>
  <c r="AC74" i="8" a="1"/>
  <c r="AC74" i="8" s="1"/>
  <c r="AD74" i="8"/>
  <c r="AL74" i="8"/>
  <c r="AN74" i="8" s="1"/>
  <c r="AE73" i="8" a="1"/>
  <c r="AE73" i="8" s="1"/>
  <c r="AC73" i="8" a="1"/>
  <c r="AC73" i="8" s="1"/>
  <c r="AD73" i="8"/>
  <c r="AL73" i="8"/>
  <c r="AN73" i="8" s="1"/>
  <c r="AE72" i="8" a="1"/>
  <c r="AE72" i="8" s="1"/>
  <c r="AC72" i="8" a="1"/>
  <c r="AC72" i="8" s="1"/>
  <c r="AD72" i="8"/>
  <c r="AL72" i="8"/>
  <c r="AN72" i="8" s="1"/>
  <c r="AE71" i="8" a="1"/>
  <c r="AE71" i="8" s="1"/>
  <c r="AC71" i="8" a="1"/>
  <c r="AC71" i="8" s="1"/>
  <c r="AD71" i="8"/>
  <c r="AL71" i="8"/>
  <c r="AN71" i="8" s="1"/>
  <c r="AE70" i="8" a="1"/>
  <c r="AE70" i="8" s="1"/>
  <c r="AC70" i="8" a="1"/>
  <c r="AC70" i="8" s="1"/>
  <c r="AD70" i="8"/>
  <c r="AL70" i="8"/>
  <c r="AN70" i="8" s="1"/>
  <c r="AE69" i="8" a="1"/>
  <c r="AE69" i="8" s="1"/>
  <c r="AC69" i="8" a="1"/>
  <c r="AC69" i="8" s="1"/>
  <c r="AD69" i="8"/>
  <c r="AL69" i="8"/>
  <c r="AN69" i="8" s="1"/>
  <c r="AE68" i="8" a="1"/>
  <c r="AE68" i="8" s="1"/>
  <c r="AC68" i="8" a="1"/>
  <c r="AC68" i="8" s="1"/>
  <c r="AD68" i="8"/>
  <c r="AL68" i="8"/>
  <c r="AN68" i="8" s="1"/>
  <c r="AE67" i="8" a="1"/>
  <c r="AE67" i="8" s="1"/>
  <c r="AC67" i="8" a="1"/>
  <c r="AC67" i="8" s="1"/>
  <c r="AD67" i="8"/>
  <c r="AL67" i="8"/>
  <c r="AN67" i="8" s="1"/>
  <c r="AE66" i="8" a="1"/>
  <c r="AE66" i="8" s="1"/>
  <c r="AC66" i="8" a="1"/>
  <c r="AC66" i="8" s="1"/>
  <c r="AD66" i="8"/>
  <c r="AL66" i="8"/>
  <c r="AN66" i="8" s="1"/>
  <c r="AE65" i="8" a="1"/>
  <c r="AE65" i="8" s="1"/>
  <c r="AC65" i="8" a="1"/>
  <c r="AC65" i="8" s="1"/>
  <c r="AD65" i="8"/>
  <c r="AL65" i="8"/>
  <c r="AN65" i="8" s="1"/>
  <c r="AE64" i="8" a="1"/>
  <c r="AE64" i="8" s="1"/>
  <c r="AC64" i="8" a="1"/>
  <c r="AC64" i="8" s="1"/>
  <c r="AD64" i="8"/>
  <c r="AL64" i="8"/>
  <c r="AN64" i="8" s="1"/>
  <c r="AE63" i="8" a="1"/>
  <c r="AE63" i="8" s="1"/>
  <c r="AC63" i="8" a="1"/>
  <c r="AC63" i="8" s="1"/>
  <c r="AD63" i="8"/>
  <c r="AL63" i="8"/>
  <c r="AN63" i="8" s="1"/>
  <c r="AE62" i="8" a="1"/>
  <c r="AE62" i="8" s="1"/>
  <c r="AC62" i="8" a="1"/>
  <c r="AC62" i="8" s="1"/>
  <c r="AD62" i="8"/>
  <c r="AL62" i="8"/>
  <c r="AN62" i="8" s="1"/>
  <c r="AE61" i="8" a="1"/>
  <c r="AE61" i="8" s="1"/>
  <c r="AC61" i="8" a="1"/>
  <c r="AC61" i="8" s="1"/>
  <c r="AD61" i="8"/>
  <c r="AL61" i="8"/>
  <c r="AN61" i="8" s="1"/>
  <c r="AE60" i="8" a="1"/>
  <c r="AE60" i="8" s="1"/>
  <c r="AC60" i="8" a="1"/>
  <c r="AC60" i="8" s="1"/>
  <c r="AD60" i="8"/>
  <c r="AL60" i="8"/>
  <c r="AN60" i="8" s="1"/>
  <c r="AE59" i="8" a="1"/>
  <c r="AE59" i="8" s="1"/>
  <c r="AC59" i="8" a="1"/>
  <c r="AC59" i="8" s="1"/>
  <c r="AD59" i="8"/>
  <c r="AL59" i="8"/>
  <c r="AN59" i="8" s="1"/>
  <c r="AE58" i="8" a="1"/>
  <c r="AE58" i="8" s="1"/>
  <c r="AC58" i="8" a="1"/>
  <c r="AC58" i="8" s="1"/>
  <c r="AD58" i="8"/>
  <c r="AL58" i="8"/>
  <c r="AN58" i="8" s="1"/>
  <c r="AE57" i="8" a="1"/>
  <c r="AE57" i="8" s="1"/>
  <c r="AC57" i="8" a="1"/>
  <c r="AC57" i="8" s="1"/>
  <c r="AD57" i="8"/>
  <c r="AL57" i="8"/>
  <c r="AN57" i="8" s="1"/>
  <c r="AE56" i="8" a="1"/>
  <c r="AE56" i="8" s="1"/>
  <c r="AC56" i="8" a="1"/>
  <c r="AC56" i="8" s="1"/>
  <c r="AD56" i="8"/>
  <c r="AL56" i="8"/>
  <c r="AN56" i="8" s="1"/>
  <c r="AE55" i="8" a="1"/>
  <c r="AE55" i="8" s="1"/>
  <c r="AC55" i="8" a="1"/>
  <c r="AC55" i="8" s="1"/>
  <c r="AD55" i="8"/>
  <c r="AL55" i="8"/>
  <c r="AN55" i="8" s="1"/>
  <c r="AE54" i="8" a="1"/>
  <c r="AE54" i="8" s="1"/>
  <c r="AC54" i="8" a="1"/>
  <c r="AC54" i="8" s="1"/>
  <c r="AD54" i="8"/>
  <c r="AL54" i="8"/>
  <c r="AN54" i="8" s="1"/>
  <c r="AE53" i="8" a="1"/>
  <c r="AE53" i="8" s="1"/>
  <c r="AC53" i="8" a="1"/>
  <c r="AC53" i="8" s="1"/>
  <c r="AD53" i="8"/>
  <c r="AL53" i="8"/>
  <c r="AN53" i="8" s="1"/>
  <c r="AE52" i="8" a="1"/>
  <c r="AE52" i="8" s="1"/>
  <c r="AC52" i="8" a="1"/>
  <c r="AC52" i="8" s="1"/>
  <c r="AD52" i="8"/>
  <c r="AL52" i="8"/>
  <c r="AN52" i="8" s="1"/>
  <c r="AE51" i="8" a="1"/>
  <c r="AE51" i="8" s="1"/>
  <c r="AC51" i="8" a="1"/>
  <c r="AC51" i="8" s="1"/>
  <c r="AD51" i="8"/>
  <c r="AL51" i="8"/>
  <c r="AN51" i="8" s="1"/>
  <c r="AE50" i="8" a="1"/>
  <c r="AE50" i="8" s="1"/>
  <c r="AC50" i="8" a="1"/>
  <c r="AC50" i="8" s="1"/>
  <c r="AD50" i="8"/>
  <c r="AL50" i="8"/>
  <c r="AN50" i="8" s="1"/>
  <c r="AE49" i="8" a="1"/>
  <c r="AE49" i="8" s="1"/>
  <c r="AC49" i="8" a="1"/>
  <c r="AC49" i="8" s="1"/>
  <c r="AD49" i="8"/>
  <c r="AL49" i="8"/>
  <c r="AN49" i="8" s="1"/>
  <c r="AE48" i="8" a="1"/>
  <c r="AE48" i="8" s="1"/>
  <c r="AC48" i="8" a="1"/>
  <c r="AC48" i="8" s="1"/>
  <c r="AD48" i="8"/>
  <c r="AL48" i="8"/>
  <c r="AN48" i="8" s="1"/>
  <c r="AE47" i="8" a="1"/>
  <c r="AE47" i="8" s="1"/>
  <c r="AC47" i="8" a="1"/>
  <c r="AC47" i="8" s="1"/>
  <c r="AD47" i="8"/>
  <c r="AL47" i="8"/>
  <c r="AN47" i="8" s="1"/>
  <c r="AE46" i="8" a="1"/>
  <c r="AE46" i="8" s="1"/>
  <c r="AC46" i="8" a="1"/>
  <c r="AC46" i="8" s="1"/>
  <c r="AD46" i="8"/>
  <c r="AL46" i="8"/>
  <c r="AE45" i="8" a="1"/>
  <c r="AE45" i="8" s="1"/>
  <c r="AC45" i="8" a="1"/>
  <c r="AC45" i="8" s="1"/>
  <c r="AD45" i="8"/>
  <c r="AL45" i="8"/>
  <c r="AN45" i="8" s="1"/>
  <c r="AE44" i="8" a="1"/>
  <c r="AE44" i="8" s="1"/>
  <c r="AC44" i="8" a="1"/>
  <c r="AC44" i="8" s="1"/>
  <c r="AD44" i="8"/>
  <c r="AL44" i="8"/>
  <c r="AN44" i="8" s="1"/>
  <c r="AE43" i="8" a="1"/>
  <c r="AE43" i="8" s="1"/>
  <c r="AC43" i="8" a="1"/>
  <c r="AC43" i="8" s="1"/>
  <c r="AD43" i="8"/>
  <c r="AL43" i="8"/>
  <c r="AN43" i="8" s="1"/>
  <c r="AE42" i="8" a="1"/>
  <c r="AE42" i="8" s="1"/>
  <c r="AC42" i="8" a="1"/>
  <c r="AC42" i="8" s="1"/>
  <c r="AD42" i="8"/>
  <c r="AL42" i="8"/>
  <c r="AN42" i="8" s="1"/>
  <c r="AE41" i="8" a="1"/>
  <c r="AE41" i="8" s="1"/>
  <c r="AC41" i="8" a="1"/>
  <c r="AC41" i="8" s="1"/>
  <c r="AD41" i="8"/>
  <c r="AL41" i="8"/>
  <c r="AN41" i="8" s="1"/>
  <c r="AE40" i="8" a="1"/>
  <c r="AE40" i="8" s="1"/>
  <c r="AC40" i="8" a="1"/>
  <c r="AC40" i="8" s="1"/>
  <c r="AD40" i="8"/>
  <c r="AL40" i="8"/>
  <c r="AN40" i="8" s="1"/>
  <c r="AE37" i="8" a="1"/>
  <c r="AE37" i="8" s="1"/>
  <c r="AC37" i="8" a="1"/>
  <c r="AC37" i="8" s="1"/>
  <c r="AD37" i="8"/>
  <c r="AL37" i="8"/>
  <c r="AN37" i="8" s="1"/>
  <c r="AE36" i="8" a="1"/>
  <c r="AE36" i="8" s="1"/>
  <c r="AC36" i="8" a="1"/>
  <c r="AC36" i="8" s="1"/>
  <c r="AD36" i="8"/>
  <c r="AL36" i="8"/>
  <c r="AN36" i="8" s="1"/>
  <c r="AE35" i="8" a="1"/>
  <c r="AE35" i="8" s="1"/>
  <c r="AC35" i="8" a="1"/>
  <c r="AC35" i="8" s="1"/>
  <c r="AD35" i="8"/>
  <c r="AL35" i="8"/>
  <c r="AN35" i="8" s="1"/>
  <c r="AE34" i="8" a="1"/>
  <c r="AE34" i="8" s="1"/>
  <c r="AC34" i="8" a="1"/>
  <c r="AC34" i="8" s="1"/>
  <c r="AD34" i="8"/>
  <c r="AL34" i="8"/>
  <c r="AN34" i="8" s="1"/>
  <c r="AE33" i="8" a="1"/>
  <c r="AE33" i="8" s="1"/>
  <c r="AC33" i="8" a="1"/>
  <c r="AC33" i="8" s="1"/>
  <c r="AD33" i="8"/>
  <c r="AL33" i="8"/>
  <c r="AN33" i="8" s="1"/>
  <c r="AE32" i="8" a="1"/>
  <c r="AE32" i="8" s="1"/>
  <c r="AC32" i="8" a="1"/>
  <c r="AC32" i="8" s="1"/>
  <c r="AD32" i="8"/>
  <c r="AL32" i="8"/>
  <c r="AN32" i="8" s="1"/>
  <c r="AE39" i="8" a="1"/>
  <c r="AE39" i="8" s="1"/>
  <c r="AC39" i="8" a="1"/>
  <c r="AC39" i="8" s="1"/>
  <c r="AD39" i="8"/>
  <c r="AL39" i="8"/>
  <c r="AN39" i="8" s="1"/>
  <c r="AE38" i="8" a="1"/>
  <c r="AE38" i="8" s="1"/>
  <c r="AC38" i="8" a="1"/>
  <c r="AC38" i="8" s="1"/>
  <c r="AD38" i="8"/>
  <c r="AL38" i="8"/>
  <c r="AL4" i="8"/>
  <c r="AN4" i="8" s="1"/>
  <c r="AL5" i="8"/>
  <c r="AN5" i="8" s="1"/>
  <c r="AL6" i="8"/>
  <c r="AN6" i="8" s="1"/>
  <c r="AL7" i="8"/>
  <c r="AN7" i="8" s="1"/>
  <c r="AL8" i="8"/>
  <c r="AN8" i="8" s="1"/>
  <c r="AL9" i="8"/>
  <c r="AN9" i="8" s="1"/>
  <c r="AL10" i="8"/>
  <c r="AN10" i="8" s="1"/>
  <c r="AL11" i="8"/>
  <c r="AN11" i="8" s="1"/>
  <c r="AL12" i="8"/>
  <c r="AN12" i="8" s="1"/>
  <c r="AM13" i="8"/>
  <c r="AL13" i="8"/>
  <c r="AN13" i="8" s="1"/>
  <c r="AL14" i="8"/>
  <c r="AN14" i="8" s="1"/>
  <c r="AL15" i="8"/>
  <c r="AN15" i="8" s="1"/>
  <c r="AL16" i="8"/>
  <c r="AN16" i="8" s="1"/>
  <c r="AL17" i="8"/>
  <c r="AN17" i="8" s="1"/>
  <c r="AL18" i="8"/>
  <c r="AL19" i="8"/>
  <c r="AN19" i="8" s="1"/>
  <c r="AL20" i="8"/>
  <c r="AN20" i="8" s="1"/>
  <c r="AL21" i="8"/>
  <c r="AN21" i="8" s="1"/>
  <c r="AL22" i="8"/>
  <c r="AN22" i="8" s="1"/>
  <c r="AL23" i="8"/>
  <c r="AN23" i="8" s="1"/>
  <c r="AL24" i="8"/>
  <c r="AN24" i="8" s="1"/>
  <c r="AL25" i="8"/>
  <c r="AN25" i="8" s="1"/>
  <c r="AL26" i="8"/>
  <c r="AN26" i="8" s="1"/>
  <c r="AL27" i="8"/>
  <c r="AN27" i="8" s="1"/>
  <c r="AL28" i="8"/>
  <c r="AN28" i="8" s="1"/>
  <c r="AL29" i="8"/>
  <c r="AN29" i="8" s="1"/>
  <c r="AL30" i="8"/>
  <c r="AN30" i="8" s="1"/>
  <c r="AL31" i="8"/>
  <c r="AN31" i="8" s="1"/>
  <c r="AR5" i="12"/>
  <c r="AR6" i="12"/>
  <c r="AR7" i="12"/>
  <c r="AR8" i="12"/>
  <c r="AR9" i="12"/>
  <c r="AR10" i="12"/>
  <c r="AR11" i="12"/>
  <c r="AR12" i="12"/>
  <c r="AR13" i="12"/>
  <c r="AR14" i="12"/>
  <c r="AR15" i="12"/>
  <c r="AR16" i="12"/>
  <c r="AR17" i="12"/>
  <c r="AR18" i="12"/>
  <c r="AR19" i="12"/>
  <c r="AR20" i="12"/>
  <c r="AR21" i="12"/>
  <c r="AR22" i="12"/>
  <c r="AR23" i="12"/>
  <c r="AR24" i="12"/>
  <c r="AR25" i="12"/>
  <c r="AR26" i="12"/>
  <c r="AR27" i="12"/>
  <c r="AS28" i="12"/>
  <c r="AR28" i="12"/>
  <c r="AR29" i="12"/>
  <c r="AR30" i="12"/>
  <c r="AR31" i="12"/>
  <c r="AR32" i="12"/>
  <c r="AR33" i="12"/>
  <c r="AR34" i="12"/>
  <c r="AR35" i="12"/>
  <c r="AR36" i="12"/>
  <c r="AR37" i="12"/>
  <c r="AR38" i="12"/>
  <c r="AS39" i="12"/>
  <c r="AR39" i="12"/>
  <c r="AR40" i="12"/>
  <c r="AR41" i="12"/>
  <c r="AR42" i="12"/>
  <c r="AR43" i="12"/>
  <c r="AR44" i="12"/>
  <c r="AR45" i="12"/>
  <c r="AR46" i="12"/>
  <c r="AR47" i="12"/>
  <c r="Y39" i="11" a="1"/>
  <c r="Y39" i="11" s="1"/>
  <c r="AE39" i="11" s="1"/>
  <c r="AG39" i="11" s="1"/>
  <c r="Y38" i="11" a="1"/>
  <c r="Y38" i="11" s="1"/>
  <c r="AE38" i="11" s="1"/>
  <c r="AG38" i="11" s="1"/>
  <c r="Y37" i="11" a="1"/>
  <c r="Y37" i="11" s="1"/>
  <c r="AE37" i="11" s="1"/>
  <c r="AG37" i="11" s="1"/>
  <c r="Y36" i="11" a="1"/>
  <c r="Y36" i="11" s="1"/>
  <c r="AE36" i="11" s="1"/>
  <c r="AG36" i="11" s="1"/>
  <c r="Y35" i="11" a="1"/>
  <c r="Y35" i="11" s="1"/>
  <c r="AE35" i="11" s="1"/>
  <c r="AG35" i="11" s="1"/>
  <c r="Y34" i="11" a="1"/>
  <c r="Y34" i="11" s="1"/>
  <c r="AE34" i="11" s="1"/>
  <c r="AG34" i="11" s="1"/>
  <c r="Y33" i="11" a="1"/>
  <c r="Y33" i="11" s="1"/>
  <c r="AE33" i="11" s="1"/>
  <c r="AG33" i="11" s="1"/>
  <c r="Y32" i="11" a="1"/>
  <c r="Y32" i="11" s="1"/>
  <c r="AE32" i="11" s="1"/>
  <c r="AG32" i="11" s="1"/>
  <c r="Y31" i="11" a="1"/>
  <c r="Y31" i="11" s="1"/>
  <c r="AE31" i="11" s="1"/>
  <c r="AG31" i="11" s="1"/>
  <c r="Y30" i="11" a="1"/>
  <c r="Y30" i="11" s="1"/>
  <c r="AE30" i="11" s="1"/>
  <c r="AG30" i="11" s="1"/>
  <c r="Y29" i="11" a="1"/>
  <c r="Y29" i="11" s="1"/>
  <c r="AE29" i="11" s="1"/>
  <c r="AG29" i="11" s="1"/>
  <c r="Y28" i="11" a="1"/>
  <c r="Y28" i="11" s="1"/>
  <c r="AE28" i="11" s="1"/>
  <c r="AG28" i="11" s="1"/>
  <c r="Y27" i="11" a="1"/>
  <c r="Y27" i="11" s="1"/>
  <c r="AE27" i="11" s="1"/>
  <c r="AG27" i="11" s="1"/>
  <c r="Y26" i="11" a="1"/>
  <c r="Y26" i="11" s="1"/>
  <c r="AE26" i="11" s="1"/>
  <c r="AG26" i="11" s="1"/>
  <c r="Y25" i="11" a="1"/>
  <c r="Y25" i="11" s="1"/>
  <c r="AE25" i="11" s="1"/>
  <c r="AG25" i="11" s="1"/>
  <c r="Y24" i="11" a="1"/>
  <c r="Y24" i="11" s="1"/>
  <c r="AE24" i="11" s="1"/>
  <c r="AG24" i="11" s="1"/>
  <c r="Y23" i="11" a="1"/>
  <c r="Y23" i="11" s="1"/>
  <c r="AE23" i="11" s="1"/>
  <c r="AG23" i="11" s="1"/>
  <c r="Y22" i="11" a="1"/>
  <c r="Y22" i="11" s="1"/>
  <c r="AE22" i="11" s="1"/>
  <c r="AG22" i="11" s="1"/>
  <c r="Y21" i="11" a="1"/>
  <c r="Y21" i="11" s="1"/>
  <c r="AE21" i="11" s="1"/>
  <c r="AG21" i="11" s="1"/>
  <c r="Y20" i="11" a="1"/>
  <c r="Y20" i="11" s="1"/>
  <c r="AE20" i="11" s="1"/>
  <c r="AG20" i="11" s="1"/>
  <c r="Y19" i="11" a="1"/>
  <c r="Y19" i="11" s="1"/>
  <c r="AE19" i="11" s="1"/>
  <c r="AG19" i="11" s="1"/>
  <c r="Y18" i="11" a="1"/>
  <c r="Y18" i="11" s="1"/>
  <c r="AE18" i="11" s="1"/>
  <c r="AG18" i="11" s="1"/>
  <c r="Y17" i="11" a="1"/>
  <c r="Y17" i="11" s="1"/>
  <c r="AE17" i="11" s="1"/>
  <c r="AG17" i="11" s="1"/>
  <c r="Y16" i="11" a="1"/>
  <c r="Y16" i="11" s="1"/>
  <c r="AE16" i="11" s="1"/>
  <c r="AG16" i="11" s="1"/>
  <c r="Y15" i="11" a="1"/>
  <c r="Y15" i="11" s="1"/>
  <c r="AE15" i="11" s="1"/>
  <c r="AG15" i="11" s="1"/>
  <c r="Y14" i="11" a="1"/>
  <c r="Y14" i="11" s="1"/>
  <c r="AE14" i="11" s="1"/>
  <c r="AG14" i="11" s="1"/>
  <c r="Y13" i="11" a="1"/>
  <c r="Y13" i="11" s="1"/>
  <c r="AE13" i="11" s="1"/>
  <c r="AG13" i="11" s="1"/>
  <c r="Y12" i="11" a="1"/>
  <c r="Y12" i="11" s="1"/>
  <c r="AE12" i="11" s="1"/>
  <c r="AG12" i="11" s="1"/>
  <c r="Y11" i="11" a="1"/>
  <c r="Y11" i="11" s="1"/>
  <c r="AE11" i="11" s="1"/>
  <c r="AG11" i="11" s="1"/>
  <c r="Y10" i="11" a="1"/>
  <c r="Y10" i="11" s="1"/>
  <c r="AE10" i="11" s="1"/>
  <c r="AG10" i="11" s="1"/>
  <c r="Y9" i="11" a="1"/>
  <c r="Y9" i="11" s="1"/>
  <c r="AE9" i="11" s="1"/>
  <c r="AG9" i="11" s="1"/>
  <c r="Y8" i="11" a="1"/>
  <c r="Y8" i="11" s="1"/>
  <c r="AE8" i="11" s="1"/>
  <c r="AG8" i="11" s="1"/>
  <c r="Y7" i="11" a="1"/>
  <c r="Y7" i="11" s="1"/>
  <c r="AE7" i="11" s="1"/>
  <c r="AG7" i="11" s="1"/>
  <c r="Y6" i="11" a="1"/>
  <c r="Y6" i="11" s="1"/>
  <c r="AE6" i="11" s="1"/>
  <c r="AG6" i="11" s="1"/>
  <c r="Y5" i="11" a="1"/>
  <c r="Y5" i="11" s="1"/>
  <c r="AE5" i="11" s="1"/>
  <c r="AG5" i="11" s="1"/>
  <c r="Y4" i="11" a="1"/>
  <c r="Y4" i="11" s="1"/>
  <c r="AE4" i="11" s="1"/>
  <c r="AG4" i="11" s="1"/>
  <c r="Y81" i="11" a="1"/>
  <c r="Y81" i="11" s="1"/>
  <c r="AE81" i="11" s="1"/>
  <c r="AG81" i="11" s="1"/>
  <c r="Y80" i="11" a="1"/>
  <c r="Y80" i="11" s="1"/>
  <c r="AE80" i="11" s="1"/>
  <c r="AG80" i="11" s="1"/>
  <c r="Y79" i="11" a="1"/>
  <c r="Y79" i="11" s="1"/>
  <c r="AE79" i="11" s="1"/>
  <c r="AG79" i="11" s="1"/>
  <c r="Y78" i="11" a="1"/>
  <c r="Y78" i="11" s="1"/>
  <c r="AE78" i="11" s="1"/>
  <c r="AG78" i="11" s="1"/>
  <c r="Y77" i="11" a="1"/>
  <c r="Y77" i="11" s="1"/>
  <c r="AE77" i="11" s="1"/>
  <c r="AG77" i="11" s="1"/>
  <c r="Y76" i="11" a="1"/>
  <c r="Y76" i="11" s="1"/>
  <c r="AE76" i="11" s="1"/>
  <c r="AG76" i="11" s="1"/>
  <c r="Y75" i="11" a="1"/>
  <c r="Y75" i="11" s="1"/>
  <c r="AE75" i="11" s="1"/>
  <c r="AG75" i="11" s="1"/>
  <c r="Y74" i="11" a="1"/>
  <c r="Y74" i="11" s="1"/>
  <c r="AE74" i="11" s="1"/>
  <c r="AG74" i="11" s="1"/>
  <c r="Y73" i="11" a="1"/>
  <c r="Y73" i="11" s="1"/>
  <c r="AE73" i="11" s="1"/>
  <c r="AG73" i="11" s="1"/>
  <c r="Y72" i="11" a="1"/>
  <c r="Y72" i="11" s="1"/>
  <c r="AE72" i="11" s="1"/>
  <c r="AG72" i="11" s="1"/>
  <c r="Y71" i="11" a="1"/>
  <c r="Y71" i="11" s="1"/>
  <c r="AE71" i="11" s="1"/>
  <c r="AG71" i="11" s="1"/>
  <c r="Y70" i="11" a="1"/>
  <c r="Y70" i="11" s="1"/>
  <c r="AE70" i="11" s="1"/>
  <c r="AG70" i="11" s="1"/>
  <c r="Y69" i="11" a="1"/>
  <c r="Y69" i="11" s="1"/>
  <c r="AE69" i="11" s="1"/>
  <c r="AG69" i="11" s="1"/>
  <c r="Y68" i="11" a="1"/>
  <c r="Y68" i="11" s="1"/>
  <c r="AE68" i="11" s="1"/>
  <c r="AG68" i="11" s="1"/>
  <c r="Y67" i="11" a="1"/>
  <c r="Y67" i="11" s="1"/>
  <c r="AE67" i="11" s="1"/>
  <c r="AG67" i="11" s="1"/>
  <c r="Y66" i="11" a="1"/>
  <c r="Y66" i="11" s="1"/>
  <c r="AE66" i="11" s="1"/>
  <c r="AG66" i="11" s="1"/>
  <c r="Y65" i="11" a="1"/>
  <c r="Y65" i="11" s="1"/>
  <c r="AE65" i="11" s="1"/>
  <c r="AG65" i="11" s="1"/>
  <c r="Y64" i="11" a="1"/>
  <c r="Y64" i="11" s="1"/>
  <c r="AE64" i="11" s="1"/>
  <c r="AG64" i="11" s="1"/>
  <c r="Y63" i="11" a="1"/>
  <c r="Y63" i="11" s="1"/>
  <c r="AE63" i="11" s="1"/>
  <c r="AG63" i="11" s="1"/>
  <c r="Y62" i="11" a="1"/>
  <c r="Y62" i="11" s="1"/>
  <c r="AE62" i="11" s="1"/>
  <c r="AG62" i="11" s="1"/>
  <c r="Y61" i="11" a="1"/>
  <c r="Y61" i="11" s="1"/>
  <c r="AE61" i="11" s="1"/>
  <c r="AG61" i="11" s="1"/>
  <c r="Y60" i="11" a="1"/>
  <c r="Y60" i="11" s="1"/>
  <c r="AE60" i="11" s="1"/>
  <c r="AG60" i="11" s="1"/>
  <c r="Y59" i="11" a="1"/>
  <c r="Y59" i="11" s="1"/>
  <c r="AE59" i="11" s="1"/>
  <c r="AG59" i="11" s="1"/>
  <c r="Y58" i="11" a="1"/>
  <c r="Y58" i="11" s="1"/>
  <c r="AE58" i="11" s="1"/>
  <c r="AG58" i="11" s="1"/>
  <c r="Y57" i="11" a="1"/>
  <c r="Y57" i="11" s="1"/>
  <c r="AE57" i="11" s="1"/>
  <c r="AG57" i="11" s="1"/>
  <c r="Y56" i="11" a="1"/>
  <c r="Y56" i="11" s="1"/>
  <c r="AE56" i="11" s="1"/>
  <c r="AG56" i="11" s="1"/>
  <c r="Y55" i="11" a="1"/>
  <c r="Y55" i="11" s="1"/>
  <c r="AE55" i="11" s="1"/>
  <c r="AG55" i="11" s="1"/>
  <c r="Y54" i="11" a="1"/>
  <c r="Y54" i="11" s="1"/>
  <c r="AE54" i="11" s="1"/>
  <c r="AG54" i="11" s="1"/>
  <c r="Y53" i="11" a="1"/>
  <c r="Y53" i="11" s="1"/>
  <c r="AE53" i="11" s="1"/>
  <c r="AG53" i="11" s="1"/>
  <c r="Y52" i="11" a="1"/>
  <c r="Y52" i="11" s="1"/>
  <c r="AE52" i="11" s="1"/>
  <c r="AG52" i="11" s="1"/>
  <c r="Y51" i="11" a="1"/>
  <c r="Y51" i="11" s="1"/>
  <c r="AE51" i="11" s="1"/>
  <c r="AG51" i="11" s="1"/>
  <c r="Y50" i="11" a="1"/>
  <c r="Y50" i="11" s="1"/>
  <c r="AE50" i="11" s="1"/>
  <c r="AG50" i="11" s="1"/>
  <c r="Y49" i="11" a="1"/>
  <c r="Y49" i="11" s="1"/>
  <c r="AE49" i="11" s="1"/>
  <c r="AG49" i="11" s="1"/>
  <c r="Y48" i="11" a="1"/>
  <c r="Y48" i="11" s="1"/>
  <c r="AE48" i="11" s="1"/>
  <c r="AG48" i="11" s="1"/>
  <c r="Y47" i="11" a="1"/>
  <c r="Y47" i="11" s="1"/>
  <c r="AE47" i="11" s="1"/>
  <c r="AG47" i="11" s="1"/>
  <c r="Y46" i="11" a="1"/>
  <c r="Y46" i="11" s="1"/>
  <c r="AE46" i="11" s="1"/>
  <c r="AG46" i="11" s="1"/>
  <c r="Y45" i="11" a="1"/>
  <c r="Y45" i="11" s="1"/>
  <c r="AE45" i="11" s="1"/>
  <c r="AG45" i="11" s="1"/>
  <c r="Y44" i="11" a="1"/>
  <c r="Y44" i="11" s="1"/>
  <c r="AE44" i="11" s="1"/>
  <c r="AG44" i="11" s="1"/>
  <c r="Y43" i="11" a="1"/>
  <c r="Y43" i="11" s="1"/>
  <c r="AE43" i="11" s="1"/>
  <c r="AG43" i="11" s="1"/>
  <c r="Y42" i="11" a="1"/>
  <c r="Y42" i="11" s="1"/>
  <c r="W42" i="11" a="1"/>
  <c r="W42" i="11" s="1"/>
  <c r="Y41" i="11" a="1"/>
  <c r="Y41" i="11" s="1"/>
  <c r="W41" i="11" a="1"/>
  <c r="W41" i="11" s="1"/>
  <c r="Y40" i="11" a="1"/>
  <c r="Y40" i="11" s="1"/>
  <c r="AE40" i="11" s="1"/>
  <c r="AG40" i="11" s="1"/>
  <c r="Y105" i="11" a="1"/>
  <c r="Y105" i="11" s="1"/>
  <c r="AE105" i="11" s="1"/>
  <c r="AG105" i="11" s="1"/>
  <c r="Y104" i="11" a="1"/>
  <c r="Y104" i="11" s="1"/>
  <c r="AE104" i="11" s="1"/>
  <c r="AG104" i="11" s="1"/>
  <c r="Y103" i="11" a="1"/>
  <c r="Y103" i="11" s="1"/>
  <c r="AE103" i="11" s="1"/>
  <c r="AG103" i="11" s="1"/>
  <c r="Y102" i="11" a="1"/>
  <c r="Y102" i="11" s="1"/>
  <c r="AE102" i="11" s="1"/>
  <c r="AG102" i="11" s="1"/>
  <c r="Y101" i="11" a="1"/>
  <c r="Y101" i="11" s="1"/>
  <c r="AE101" i="11" s="1"/>
  <c r="AG101" i="11" s="1"/>
  <c r="Y100" i="11" a="1"/>
  <c r="Y100" i="11" s="1"/>
  <c r="AE100" i="11" s="1"/>
  <c r="AG100" i="11" s="1"/>
  <c r="Y99" i="11" a="1"/>
  <c r="Y99" i="11" s="1"/>
  <c r="AE99" i="11" s="1"/>
  <c r="AG99" i="11" s="1"/>
  <c r="Y98" i="11" a="1"/>
  <c r="Y98" i="11" s="1"/>
  <c r="AE98" i="11" s="1"/>
  <c r="AG98" i="11" s="1"/>
  <c r="Y97" i="11" a="1"/>
  <c r="Y97" i="11" s="1"/>
  <c r="AE97" i="11" s="1"/>
  <c r="AG97" i="11" s="1"/>
  <c r="Y96" i="11" a="1"/>
  <c r="Y96" i="11" s="1"/>
  <c r="AE96" i="11" s="1"/>
  <c r="AG96" i="11" s="1"/>
  <c r="Y95" i="11" a="1"/>
  <c r="Y95" i="11" s="1"/>
  <c r="AE95" i="11" s="1"/>
  <c r="AG95" i="11" s="1"/>
  <c r="Y94" i="11" a="1"/>
  <c r="Y94" i="11" s="1"/>
  <c r="AE94" i="11" s="1"/>
  <c r="AG94" i="11" s="1"/>
  <c r="Y93" i="11" a="1"/>
  <c r="Y93" i="11" s="1"/>
  <c r="AE93" i="11" s="1"/>
  <c r="AG93" i="11" s="1"/>
  <c r="Y92" i="11" a="1"/>
  <c r="Y92" i="11" s="1"/>
  <c r="AE92" i="11" s="1"/>
  <c r="AG92" i="11" s="1"/>
  <c r="Y91" i="11" a="1"/>
  <c r="Y91" i="11" s="1"/>
  <c r="AE91" i="11" s="1"/>
  <c r="AG91" i="11" s="1"/>
  <c r="Y90" i="11" a="1"/>
  <c r="Y90" i="11" s="1"/>
  <c r="AE90" i="11" s="1"/>
  <c r="AG90" i="11" s="1"/>
  <c r="Y89" i="11" a="1"/>
  <c r="Y89" i="11" s="1"/>
  <c r="AE89" i="11" s="1"/>
  <c r="AG89" i="11" s="1"/>
  <c r="Y88" i="11" a="1"/>
  <c r="Y88" i="11" s="1"/>
  <c r="AE88" i="11" s="1"/>
  <c r="AG88" i="11" s="1"/>
  <c r="Y87" i="11" a="1"/>
  <c r="Y87" i="11" s="1"/>
  <c r="AE87" i="11" s="1"/>
  <c r="AG87" i="11" s="1"/>
  <c r="Y86" i="11" a="1"/>
  <c r="Y86" i="11" s="1"/>
  <c r="AE86" i="11" s="1"/>
  <c r="AG86" i="11" s="1"/>
  <c r="Y85" i="11" a="1"/>
  <c r="Y85" i="11" s="1"/>
  <c r="AE85" i="11" s="1"/>
  <c r="AG85" i="11" s="1"/>
  <c r="Y84" i="11" a="1"/>
  <c r="Y84" i="11" s="1"/>
  <c r="AE84" i="11" s="1"/>
  <c r="AG84" i="11" s="1"/>
  <c r="Y83" i="11" a="1"/>
  <c r="Y83" i="11" s="1"/>
  <c r="AE83" i="11" s="1"/>
  <c r="AG83" i="11" s="1"/>
  <c r="Y82" i="11" a="1"/>
  <c r="Y82" i="11" s="1"/>
  <c r="AE82" i="11" s="1"/>
  <c r="AG82" i="11" s="1"/>
  <c r="Y115" i="11" a="1"/>
  <c r="Y115" i="11" s="1"/>
  <c r="AE115" i="11" s="1"/>
  <c r="AG115" i="11" s="1"/>
  <c r="Y114" i="11" a="1"/>
  <c r="Y114" i="11" s="1"/>
  <c r="AE114" i="11" s="1"/>
  <c r="AG114" i="11" s="1"/>
  <c r="Y113" i="11" a="1"/>
  <c r="Y113" i="11" s="1"/>
  <c r="AE113" i="11" s="1"/>
  <c r="AG113" i="11" s="1"/>
  <c r="Y112" i="11" a="1"/>
  <c r="Y112" i="11" s="1"/>
  <c r="AE112" i="11" s="1"/>
  <c r="AG112" i="11" s="1"/>
  <c r="Y111" i="11" a="1"/>
  <c r="Y111" i="11" s="1"/>
  <c r="AE111" i="11" s="1"/>
  <c r="AG111" i="11" s="1"/>
  <c r="Y110" i="11" a="1"/>
  <c r="Y110" i="11" s="1"/>
  <c r="AE110" i="11" s="1"/>
  <c r="AG110" i="11" s="1"/>
  <c r="Y109" i="11" a="1"/>
  <c r="Y109" i="11" s="1"/>
  <c r="AE109" i="11" s="1"/>
  <c r="AG109" i="11" s="1"/>
  <c r="Y108" i="11" a="1"/>
  <c r="Y108" i="11" s="1"/>
  <c r="AE108" i="11" s="1"/>
  <c r="AG108" i="11" s="1"/>
  <c r="Y107" i="11" a="1"/>
  <c r="Y107" i="11" s="1"/>
  <c r="AE107" i="11" s="1"/>
  <c r="AG107" i="11" s="1"/>
  <c r="Y106" i="11" a="1"/>
  <c r="Y106" i="11" s="1"/>
  <c r="AE106" i="11" s="1"/>
  <c r="AG106" i="11" s="1"/>
  <c r="Y121" i="11" a="1"/>
  <c r="Y121" i="11" s="1"/>
  <c r="AE121" i="11" s="1"/>
  <c r="AG121" i="11" s="1"/>
  <c r="Y120" i="11" a="1"/>
  <c r="Y120" i="11" s="1"/>
  <c r="AE120" i="11" s="1"/>
  <c r="AG120" i="11" s="1"/>
  <c r="Y119" i="11" a="1"/>
  <c r="Y119" i="11" s="1"/>
  <c r="AE119" i="11" s="1"/>
  <c r="AG119" i="11" s="1"/>
  <c r="Y118" i="11" a="1"/>
  <c r="Y118" i="11" s="1"/>
  <c r="AE118" i="11" s="1"/>
  <c r="AG118" i="11" s="1"/>
  <c r="Y117" i="11" a="1"/>
  <c r="Y117" i="11" s="1"/>
  <c r="AE117" i="11" s="1"/>
  <c r="AG117" i="11" s="1"/>
  <c r="Y116" i="11" a="1"/>
  <c r="Y116" i="11" s="1"/>
  <c r="AE116" i="11" s="1"/>
  <c r="AG116" i="11" s="1"/>
  <c r="Y123" i="11" a="1"/>
  <c r="Y123" i="11" s="1"/>
  <c r="AE123" i="11" s="1"/>
  <c r="AG123" i="11" s="1"/>
  <c r="Y122" i="11" a="1"/>
  <c r="Y122" i="11" s="1"/>
  <c r="AE122" i="11" s="1"/>
  <c r="AG122" i="11" s="1"/>
  <c r="Q2" i="8"/>
  <c r="M2" i="8"/>
  <c r="G2" i="11"/>
  <c r="AA2" i="12"/>
  <c r="AD2" i="11"/>
  <c r="F2" i="8"/>
  <c r="N2" i="8"/>
  <c r="AP2" i="12"/>
  <c r="Q9" i="54" l="1"/>
  <c r="R9" i="54" s="1"/>
  <c r="P9" i="54"/>
  <c r="AK194" i="8"/>
  <c r="AM194" i="8" s="1"/>
  <c r="AK177" i="8"/>
  <c r="AM177" i="8" s="1"/>
  <c r="AK151" i="8"/>
  <c r="AM151" i="8" s="1"/>
  <c r="AK134" i="8"/>
  <c r="AM134" i="8" s="1"/>
  <c r="AK99" i="8"/>
  <c r="AM99" i="8" s="1"/>
  <c r="AK114" i="8"/>
  <c r="AM114" i="8" s="1"/>
  <c r="AK157" i="8"/>
  <c r="AM157" i="8" s="1"/>
  <c r="AK7" i="8"/>
  <c r="AM7" i="8" s="1"/>
  <c r="AK149" i="8"/>
  <c r="AM149" i="8" s="1"/>
  <c r="AK28" i="8"/>
  <c r="AM28" i="8" s="1"/>
  <c r="AK126" i="8"/>
  <c r="AM126" i="8" s="1"/>
  <c r="AK130" i="8"/>
  <c r="AM130" i="8" s="1"/>
  <c r="AN38" i="8"/>
  <c r="AO39" i="8" s="1"/>
  <c r="AK162" i="8"/>
  <c r="AM162" i="8" s="1"/>
  <c r="AK190" i="8"/>
  <c r="AM190" i="8" s="1"/>
  <c r="AK180" i="8"/>
  <c r="AM180" i="8" s="1"/>
  <c r="AK166" i="8"/>
  <c r="AM166" i="8" s="1"/>
  <c r="AK270" i="8"/>
  <c r="AM270" i="8" s="1"/>
  <c r="AK184" i="8"/>
  <c r="AM184" i="8" s="1"/>
  <c r="AN250" i="8"/>
  <c r="AK265" i="8"/>
  <c r="AM265" i="8" s="1"/>
  <c r="AK163" i="8"/>
  <c r="AM163" i="8" s="1"/>
  <c r="AK124" i="8"/>
  <c r="AM124" i="8" s="1"/>
  <c r="AN46" i="8"/>
  <c r="AK155" i="8"/>
  <c r="AM155" i="8" s="1"/>
  <c r="AK192" i="8"/>
  <c r="AM192" i="8" s="1"/>
  <c r="AK161" i="8"/>
  <c r="AM161" i="8" s="1"/>
  <c r="AK94" i="8"/>
  <c r="AM94" i="8" s="1"/>
  <c r="AK262" i="8"/>
  <c r="AM262" i="8" s="1"/>
  <c r="AQ25" i="12"/>
  <c r="AS25" i="12" s="1"/>
  <c r="AQ58" i="12"/>
  <c r="AS58" i="12" s="1"/>
  <c r="AQ9" i="12"/>
  <c r="AS9" i="12" s="1"/>
  <c r="AQ11" i="12"/>
  <c r="AS11" i="12" s="1"/>
  <c r="AQ30" i="12"/>
  <c r="AS30" i="12" s="1"/>
  <c r="AQ15" i="12"/>
  <c r="AS15" i="12" s="1"/>
  <c r="AQ16" i="12"/>
  <c r="AS16" i="12" s="1"/>
  <c r="AQ45" i="12"/>
  <c r="AS45" i="12" s="1"/>
  <c r="AE2" i="12"/>
  <c r="AH131" i="11"/>
  <c r="AI131" i="11" s="1"/>
  <c r="AH127" i="11"/>
  <c r="AK140" i="8"/>
  <c r="AM140" i="8" s="1"/>
  <c r="AK107" i="8"/>
  <c r="AM107" i="8" s="1"/>
  <c r="AN18" i="8"/>
  <c r="AO19" i="8" s="1"/>
  <c r="AK139" i="8"/>
  <c r="AM139" i="8" s="1"/>
  <c r="AK22" i="8"/>
  <c r="AM22" i="8" s="1"/>
  <c r="AK154" i="8"/>
  <c r="AM154" i="8" s="1"/>
  <c r="AK172" i="8"/>
  <c r="AM172" i="8" s="1"/>
  <c r="AN147" i="8"/>
  <c r="AO147" i="8" s="1"/>
  <c r="AK144" i="8"/>
  <c r="AM144" i="8" s="1"/>
  <c r="AK145" i="8"/>
  <c r="AM145" i="8" s="1"/>
  <c r="AN119" i="8"/>
  <c r="AO119" i="8" s="1"/>
  <c r="AK116" i="8"/>
  <c r="AM116" i="8" s="1"/>
  <c r="AK108" i="8"/>
  <c r="AM108" i="8" s="1"/>
  <c r="AK112" i="8"/>
  <c r="AM112" i="8" s="1"/>
  <c r="AK142" i="8"/>
  <c r="AM142" i="8" s="1"/>
  <c r="AK118" i="8"/>
  <c r="AM118" i="8" s="1"/>
  <c r="AK158" i="8"/>
  <c r="AM158" i="8" s="1"/>
  <c r="AK274" i="8"/>
  <c r="AM274" i="8" s="1"/>
  <c r="AK266" i="8"/>
  <c r="AM266" i="8" s="1"/>
  <c r="AK133" i="8"/>
  <c r="AM133" i="8" s="1"/>
  <c r="AQ64" i="12"/>
  <c r="AS64" i="12" s="1"/>
  <c r="AQ22" i="12"/>
  <c r="AS22" i="12" s="1"/>
  <c r="AQ31" i="12"/>
  <c r="AS31" i="12" s="1"/>
  <c r="AQ47" i="12"/>
  <c r="AS47" i="12" s="1"/>
  <c r="AQ32" i="12"/>
  <c r="AS32" i="12" s="1"/>
  <c r="AQ63" i="12"/>
  <c r="AS63" i="12" s="1"/>
  <c r="AQ62" i="12"/>
  <c r="AS62" i="12" s="1"/>
  <c r="AQ46" i="12"/>
  <c r="AS46" i="12" s="1"/>
  <c r="AK261" i="8"/>
  <c r="AM261" i="8" s="1"/>
  <c r="AK171" i="8"/>
  <c r="AM171" i="8" s="1"/>
  <c r="AK210" i="8"/>
  <c r="AM210" i="8" s="1"/>
  <c r="AK160" i="8"/>
  <c r="AM160" i="8" s="1"/>
  <c r="AK100" i="8"/>
  <c r="AM100" i="8" s="1"/>
  <c r="AK195" i="8"/>
  <c r="AM195" i="8" s="1"/>
  <c r="AK23" i="8"/>
  <c r="AM23" i="8" s="1"/>
  <c r="AN229" i="8"/>
  <c r="AN213" i="8"/>
  <c r="AO214" i="8" s="1"/>
  <c r="AK202" i="8"/>
  <c r="AM202" i="8" s="1"/>
  <c r="AK216" i="8"/>
  <c r="AM216" i="8" s="1"/>
  <c r="AK254" i="8"/>
  <c r="AM254" i="8" s="1"/>
  <c r="AK238" i="8"/>
  <c r="AM238" i="8" s="1"/>
  <c r="AK189" i="8"/>
  <c r="AM189" i="8" s="1"/>
  <c r="AK148" i="8"/>
  <c r="AM148" i="8" s="1"/>
  <c r="AK137" i="8"/>
  <c r="AM137" i="8" s="1"/>
  <c r="AN180" i="8"/>
  <c r="AO187" i="8" s="1"/>
  <c r="AK125" i="8"/>
  <c r="AM125" i="8" s="1"/>
  <c r="AK153" i="8"/>
  <c r="AM153" i="8" s="1"/>
  <c r="AK24" i="8"/>
  <c r="AM24" i="8" s="1"/>
  <c r="AK29" i="8"/>
  <c r="AM29" i="8" s="1"/>
  <c r="AK30" i="8"/>
  <c r="AM30" i="8" s="1"/>
  <c r="AK143" i="8"/>
  <c r="AM143" i="8" s="1"/>
  <c r="AK18" i="8"/>
  <c r="AM18" i="8" s="1"/>
  <c r="AN171" i="8"/>
  <c r="AO171" i="8" s="1"/>
  <c r="AK123" i="8"/>
  <c r="AM123" i="8" s="1"/>
  <c r="AO274" i="8"/>
  <c r="AN230" i="8"/>
  <c r="AO230" i="8" s="1"/>
  <c r="AK200" i="8"/>
  <c r="AM200" i="8" s="1"/>
  <c r="AK220" i="8"/>
  <c r="AM220" i="8" s="1"/>
  <c r="AK256" i="8"/>
  <c r="AM256" i="8" s="1"/>
  <c r="AK240" i="8"/>
  <c r="AM240" i="8" s="1"/>
  <c r="AK207" i="8"/>
  <c r="AM207" i="8" s="1"/>
  <c r="AK178" i="8"/>
  <c r="AM178" i="8" s="1"/>
  <c r="AK9" i="8"/>
  <c r="AM9" i="8" s="1"/>
  <c r="AK132" i="8"/>
  <c r="AM132" i="8" s="1"/>
  <c r="AK175" i="8"/>
  <c r="AM175" i="8" s="1"/>
  <c r="AK120" i="8"/>
  <c r="AM120" i="8" s="1"/>
  <c r="AK31" i="8"/>
  <c r="AM31" i="8" s="1"/>
  <c r="AK264" i="8"/>
  <c r="AM264" i="8" s="1"/>
  <c r="AK17" i="8"/>
  <c r="AM17" i="8" s="1"/>
  <c r="AK218" i="8"/>
  <c r="AM218" i="8" s="1"/>
  <c r="AK252" i="8"/>
  <c r="AM252" i="8" s="1"/>
  <c r="AK236" i="8"/>
  <c r="AM236" i="8" s="1"/>
  <c r="AK185" i="8"/>
  <c r="AM185" i="8" s="1"/>
  <c r="AK131" i="8"/>
  <c r="AM131" i="8" s="1"/>
  <c r="AK135" i="8"/>
  <c r="AM135" i="8" s="1"/>
  <c r="AK213" i="8"/>
  <c r="AM213" i="8" s="1"/>
  <c r="AK193" i="8"/>
  <c r="AM193" i="8" s="1"/>
  <c r="AK10" i="8"/>
  <c r="AM10" i="8" s="1"/>
  <c r="AK104" i="8"/>
  <c r="AM104" i="8" s="1"/>
  <c r="AK14" i="8"/>
  <c r="AM14" i="8" s="1"/>
  <c r="AK106" i="8"/>
  <c r="AM106" i="8" s="1"/>
  <c r="AK263" i="8"/>
  <c r="AM263" i="8" s="1"/>
  <c r="AK217" i="8"/>
  <c r="AM217" i="8" s="1"/>
  <c r="AK251" i="8"/>
  <c r="AM251" i="8" s="1"/>
  <c r="AK235" i="8"/>
  <c r="AM235" i="8" s="1"/>
  <c r="AO190" i="8"/>
  <c r="AK260" i="8"/>
  <c r="AM260" i="8" s="1"/>
  <c r="AO55" i="8"/>
  <c r="AO63" i="8"/>
  <c r="AO71" i="8"/>
  <c r="AO79" i="8"/>
  <c r="AO87" i="8"/>
  <c r="AO95" i="8"/>
  <c r="AK227" i="8"/>
  <c r="AM227" i="8" s="1"/>
  <c r="AK249" i="8"/>
  <c r="AM249" i="8" s="1"/>
  <c r="AK233" i="8"/>
  <c r="AM233" i="8" s="1"/>
  <c r="AK136" i="8"/>
  <c r="AM136" i="8" s="1"/>
  <c r="AO47" i="8"/>
  <c r="AK209" i="8"/>
  <c r="AM209" i="8" s="1"/>
  <c r="AK8" i="8"/>
  <c r="AM8" i="8" s="1"/>
  <c r="AK181" i="8"/>
  <c r="AM181" i="8" s="1"/>
  <c r="AK16" i="8"/>
  <c r="AM16" i="8" s="1"/>
  <c r="AK214" i="8"/>
  <c r="AM214" i="8" s="1"/>
  <c r="AK182" i="8"/>
  <c r="AM182" i="8" s="1"/>
  <c r="AO198" i="8"/>
  <c r="AK179" i="8"/>
  <c r="AM179" i="8" s="1"/>
  <c r="AH26" i="11"/>
  <c r="AH39" i="11"/>
  <c r="AH23" i="11"/>
  <c r="AI23" i="11" s="1"/>
  <c r="AH52" i="11"/>
  <c r="AI52" i="11" s="1"/>
  <c r="AH102" i="11"/>
  <c r="AI105" i="11" s="1"/>
  <c r="AH44" i="11"/>
  <c r="AI44" i="11" s="1"/>
  <c r="AH31" i="11"/>
  <c r="AI31" i="11" s="1"/>
  <c r="AH126" i="11"/>
  <c r="AH85" i="11"/>
  <c r="AI85" i="11" s="1"/>
  <c r="AH81" i="11"/>
  <c r="AI81" i="11" s="1"/>
  <c r="AH119" i="11"/>
  <c r="AI119" i="11" s="1"/>
  <c r="AH100" i="11"/>
  <c r="AH69" i="11"/>
  <c r="AI69" i="11" s="1"/>
  <c r="AH77" i="11"/>
  <c r="AI77" i="11" s="1"/>
  <c r="AH101" i="11"/>
  <c r="AI101" i="11" s="1"/>
  <c r="AH56" i="11"/>
  <c r="AI56" i="11" s="1"/>
  <c r="AI60" i="11"/>
  <c r="AI64" i="11"/>
  <c r="AI65" i="11"/>
  <c r="AI113" i="11"/>
  <c r="AH7" i="11"/>
  <c r="AI7" i="11" s="1"/>
  <c r="AI11" i="11"/>
  <c r="AI109" i="11"/>
  <c r="AI15" i="11"/>
  <c r="AH73" i="11"/>
  <c r="AI73" i="11" s="1"/>
  <c r="AI14" i="11"/>
  <c r="AI19" i="11"/>
  <c r="AI115" i="11"/>
  <c r="AH48" i="11"/>
  <c r="AI48" i="11" s="1"/>
  <c r="AH35" i="11"/>
  <c r="AI35" i="11" s="1"/>
  <c r="AH97" i="11"/>
  <c r="AI97" i="11" s="1"/>
  <c r="R2" i="11"/>
  <c r="AH120" i="11"/>
  <c r="AI123" i="11" s="1"/>
  <c r="AH27" i="11"/>
  <c r="AI27" i="11" s="1"/>
  <c r="AH89" i="11"/>
  <c r="AI89" i="11" s="1"/>
  <c r="AH36" i="11"/>
  <c r="AE41" i="11"/>
  <c r="AG41" i="11" s="1"/>
  <c r="AH93" i="11"/>
  <c r="AI93" i="11" s="1"/>
  <c r="AE42" i="11"/>
  <c r="AG42" i="11" s="1"/>
  <c r="AO11" i="8"/>
  <c r="AK206" i="8"/>
  <c r="AM206" i="8" s="1"/>
  <c r="AK225" i="8"/>
  <c r="AM225" i="8" s="1"/>
  <c r="AK245" i="8"/>
  <c r="AM245" i="8" s="1"/>
  <c r="AK221" i="8"/>
  <c r="AM221" i="8" s="1"/>
  <c r="AK269" i="8"/>
  <c r="AM269" i="8" s="1"/>
  <c r="AK169" i="8"/>
  <c r="AM169" i="8" s="1"/>
  <c r="AK105" i="8"/>
  <c r="AM105" i="8" s="1"/>
  <c r="AK26" i="8"/>
  <c r="AM26" i="8" s="1"/>
  <c r="AK199" i="8"/>
  <c r="AM199" i="8" s="1"/>
  <c r="AK228" i="8"/>
  <c r="AM228" i="8" s="1"/>
  <c r="AK250" i="8"/>
  <c r="AM250" i="8" s="1"/>
  <c r="AK234" i="8"/>
  <c r="AM234" i="8" s="1"/>
  <c r="AN178" i="8"/>
  <c r="AO179" i="8" s="1"/>
  <c r="AK25" i="8"/>
  <c r="AM25" i="8" s="1"/>
  <c r="AO258" i="8"/>
  <c r="AK205" i="8"/>
  <c r="AM205" i="8" s="1"/>
  <c r="AK230" i="8"/>
  <c r="AM230" i="8" s="1"/>
  <c r="AK244" i="8"/>
  <c r="AM244" i="8" s="1"/>
  <c r="AK168" i="8"/>
  <c r="AM168" i="8" s="1"/>
  <c r="AK259" i="8"/>
  <c r="AM259" i="8" s="1"/>
  <c r="AK19" i="8"/>
  <c r="AM19" i="8" s="1"/>
  <c r="AO242" i="8"/>
  <c r="AK12" i="8"/>
  <c r="AM12" i="8" s="1"/>
  <c r="AK27" i="8"/>
  <c r="AM27" i="8" s="1"/>
  <c r="AK212" i="8"/>
  <c r="AM212" i="8" s="1"/>
  <c r="AK229" i="8"/>
  <c r="AM229" i="8" s="1"/>
  <c r="AK243" i="8"/>
  <c r="AM243" i="8" s="1"/>
  <c r="AK138" i="8"/>
  <c r="AM138" i="8" s="1"/>
  <c r="AK201" i="8"/>
  <c r="AM201" i="8" s="1"/>
  <c r="AK224" i="8"/>
  <c r="AM224" i="8" s="1"/>
  <c r="AK248" i="8"/>
  <c r="AM248" i="8" s="1"/>
  <c r="AK232" i="8"/>
  <c r="AM232" i="8" s="1"/>
  <c r="AK197" i="8"/>
  <c r="AM197" i="8" s="1"/>
  <c r="AK11" i="8"/>
  <c r="AM11" i="8" s="1"/>
  <c r="X2" i="8"/>
  <c r="AK215" i="8"/>
  <c r="AM215" i="8" s="1"/>
  <c r="AK253" i="8"/>
  <c r="AM253" i="8" s="1"/>
  <c r="AK237" i="8"/>
  <c r="AM237" i="8" s="1"/>
  <c r="AK152" i="8"/>
  <c r="AM152" i="8" s="1"/>
  <c r="AK211" i="8"/>
  <c r="AM211" i="8" s="1"/>
  <c r="AK258" i="8"/>
  <c r="AM258" i="8" s="1"/>
  <c r="AK242" i="8"/>
  <c r="AM242" i="8" s="1"/>
  <c r="AK196" i="8"/>
  <c r="AM196" i="8" s="1"/>
  <c r="AK204" i="8"/>
  <c r="AM204" i="8" s="1"/>
  <c r="AK223" i="8"/>
  <c r="AM223" i="8" s="1"/>
  <c r="AK247" i="8"/>
  <c r="AM247" i="8" s="1"/>
  <c r="AK231" i="8"/>
  <c r="AM231" i="8" s="1"/>
  <c r="AK122" i="8"/>
  <c r="AM122" i="8" s="1"/>
  <c r="AO266" i="8"/>
  <c r="AK188" i="8"/>
  <c r="AM188" i="8" s="1"/>
  <c r="AK208" i="8"/>
  <c r="AM208" i="8" s="1"/>
  <c r="AK257" i="8"/>
  <c r="AM257" i="8" s="1"/>
  <c r="AK241" i="8"/>
  <c r="AM241" i="8" s="1"/>
  <c r="AK121" i="8"/>
  <c r="AM121" i="8" s="1"/>
  <c r="AK203" i="8"/>
  <c r="AM203" i="8" s="1"/>
  <c r="AK226" i="8"/>
  <c r="AM226" i="8" s="1"/>
  <c r="AK246" i="8"/>
  <c r="AM246" i="8" s="1"/>
  <c r="AK222" i="8"/>
  <c r="AM222" i="8" s="1"/>
  <c r="AT74" i="12"/>
  <c r="AT72" i="12"/>
  <c r="AU72" i="12" s="1"/>
  <c r="AO238" i="8"/>
  <c r="AO222" i="8"/>
  <c r="AO206" i="8"/>
  <c r="AT58" i="12"/>
  <c r="AU58" i="12" s="1"/>
  <c r="AT66" i="12"/>
  <c r="AU66" i="12" s="1"/>
  <c r="AT62" i="12"/>
  <c r="AU62" i="12" s="1"/>
  <c r="AT60" i="12"/>
  <c r="AU60" i="12" s="1"/>
  <c r="AT70" i="12"/>
  <c r="AU70" i="12" s="1"/>
  <c r="AO250" i="8"/>
  <c r="AT68" i="12"/>
  <c r="AU68" i="12" s="1"/>
  <c r="AT64" i="12"/>
  <c r="AU64" i="12" s="1"/>
  <c r="AT52" i="12"/>
  <c r="AU52" i="12" s="1"/>
  <c r="AT56" i="12"/>
  <c r="AU56" i="12" s="1"/>
  <c r="AT54" i="12"/>
  <c r="AU54" i="12" s="1"/>
  <c r="AT50" i="12"/>
  <c r="AU50" i="12" s="1"/>
  <c r="AT48" i="12"/>
  <c r="AU48" i="12" s="1"/>
  <c r="AO163" i="8"/>
  <c r="AO155" i="8"/>
  <c r="AO139" i="8"/>
  <c r="AO135" i="8"/>
  <c r="AT46" i="12"/>
  <c r="AU46" i="12" s="1"/>
  <c r="AT40" i="12"/>
  <c r="AU40" i="12" s="1"/>
  <c r="AT44" i="12"/>
  <c r="AU44" i="12" s="1"/>
  <c r="AT42" i="12"/>
  <c r="AU42" i="12" s="1"/>
  <c r="AT36" i="12"/>
  <c r="AU36" i="12" s="1"/>
  <c r="AT38" i="12"/>
  <c r="AU38" i="12" s="1"/>
  <c r="AO127" i="8"/>
  <c r="AO103" i="8"/>
  <c r="AT34" i="12"/>
  <c r="AU34" i="12" s="1"/>
  <c r="AT32" i="12"/>
  <c r="AU32" i="12" s="1"/>
  <c r="AT8" i="12"/>
  <c r="AU8" i="12" s="1"/>
  <c r="AT30" i="12"/>
  <c r="AU30" i="12" s="1"/>
  <c r="AT28" i="12"/>
  <c r="AU28" i="12" s="1"/>
  <c r="AO111" i="8"/>
  <c r="AK86" i="8"/>
  <c r="AM86" i="8" s="1"/>
  <c r="AK87" i="8"/>
  <c r="AM87" i="8" s="1"/>
  <c r="AK88" i="8"/>
  <c r="AM88" i="8" s="1"/>
  <c r="AK89" i="8"/>
  <c r="AM89" i="8" s="1"/>
  <c r="AK90" i="8"/>
  <c r="AM90" i="8" s="1"/>
  <c r="AK91" i="8"/>
  <c r="AM91" i="8" s="1"/>
  <c r="AK92" i="8"/>
  <c r="AM92" i="8" s="1"/>
  <c r="AK93" i="8"/>
  <c r="AM93" i="8" s="1"/>
  <c r="AK84" i="8"/>
  <c r="AM84" i="8" s="1"/>
  <c r="AK85" i="8"/>
  <c r="AM85" i="8" s="1"/>
  <c r="AK82" i="8"/>
  <c r="AM82" i="8" s="1"/>
  <c r="AK83" i="8"/>
  <c r="AM83" i="8" s="1"/>
  <c r="AK80" i="8"/>
  <c r="AM80" i="8" s="1"/>
  <c r="AK81" i="8"/>
  <c r="AM81" i="8" s="1"/>
  <c r="AK78" i="8"/>
  <c r="AM78" i="8" s="1"/>
  <c r="AK79" i="8"/>
  <c r="AM79" i="8" s="1"/>
  <c r="AT26" i="12"/>
  <c r="AU26" i="12" s="1"/>
  <c r="AT24" i="12"/>
  <c r="AU24" i="12" s="1"/>
  <c r="AT22" i="12"/>
  <c r="AU22" i="12" s="1"/>
  <c r="AK74" i="8"/>
  <c r="AM74" i="8" s="1"/>
  <c r="AK75" i="8"/>
  <c r="AM75" i="8" s="1"/>
  <c r="AK72" i="8"/>
  <c r="AM72" i="8" s="1"/>
  <c r="AK73" i="8"/>
  <c r="AM73" i="8" s="1"/>
  <c r="AK76" i="8"/>
  <c r="AM76" i="8" s="1"/>
  <c r="AK77" i="8"/>
  <c r="AM77" i="8" s="1"/>
  <c r="AK70" i="8"/>
  <c r="AM70" i="8" s="1"/>
  <c r="AK71" i="8"/>
  <c r="AM71" i="8" s="1"/>
  <c r="AT20" i="12"/>
  <c r="AU20" i="12" s="1"/>
  <c r="AK66" i="8"/>
  <c r="AM66" i="8" s="1"/>
  <c r="AK67" i="8"/>
  <c r="AM67" i="8" s="1"/>
  <c r="AK68" i="8"/>
  <c r="AM68" i="8" s="1"/>
  <c r="AK69" i="8"/>
  <c r="AM69" i="8" s="1"/>
  <c r="AK64" i="8"/>
  <c r="AM64" i="8" s="1"/>
  <c r="AK65" i="8"/>
  <c r="AM65" i="8" s="1"/>
  <c r="AT18" i="12"/>
  <c r="AU18" i="12" s="1"/>
  <c r="AK62" i="8"/>
  <c r="AM62" i="8" s="1"/>
  <c r="AK63" i="8"/>
  <c r="AM63" i="8" s="1"/>
  <c r="AK60" i="8"/>
  <c r="AM60" i="8" s="1"/>
  <c r="AK61" i="8"/>
  <c r="AM61" i="8" s="1"/>
  <c r="AK58" i="8"/>
  <c r="AM58" i="8" s="1"/>
  <c r="AK59" i="8"/>
  <c r="AM59" i="8" s="1"/>
  <c r="AK56" i="8"/>
  <c r="AM56" i="8" s="1"/>
  <c r="AK57" i="8"/>
  <c r="AM57" i="8" s="1"/>
  <c r="AK54" i="8"/>
  <c r="AM54" i="8" s="1"/>
  <c r="AK55" i="8"/>
  <c r="AM55" i="8" s="1"/>
  <c r="AT16" i="12"/>
  <c r="AU16" i="12" s="1"/>
  <c r="AK52" i="8"/>
  <c r="AM52" i="8" s="1"/>
  <c r="AK53" i="8"/>
  <c r="AM53" i="8" s="1"/>
  <c r="AK49" i="8"/>
  <c r="AM49" i="8" s="1"/>
  <c r="AK50" i="8"/>
  <c r="AM50" i="8" s="1"/>
  <c r="AK51" i="8"/>
  <c r="AM51" i="8" s="1"/>
  <c r="AK46" i="8"/>
  <c r="AM46" i="8" s="1"/>
  <c r="AK47" i="8"/>
  <c r="AM47" i="8" s="1"/>
  <c r="AK48" i="8"/>
  <c r="AM48" i="8" s="1"/>
  <c r="AT14" i="12"/>
  <c r="AU14" i="12" s="1"/>
  <c r="AK42" i="8"/>
  <c r="AM42" i="8" s="1"/>
  <c r="AK43" i="8"/>
  <c r="AM43" i="8" s="1"/>
  <c r="AK40" i="8"/>
  <c r="AM40" i="8" s="1"/>
  <c r="AK41" i="8"/>
  <c r="AM41" i="8" s="1"/>
  <c r="AK44" i="8"/>
  <c r="AM44" i="8" s="1"/>
  <c r="AK45" i="8"/>
  <c r="AM45" i="8" s="1"/>
  <c r="AT12" i="12"/>
  <c r="AU12" i="12" s="1"/>
  <c r="AK32" i="8"/>
  <c r="AM32" i="8" s="1"/>
  <c r="AK33" i="8"/>
  <c r="AM33" i="8" s="1"/>
  <c r="AK34" i="8"/>
  <c r="AM34" i="8" s="1"/>
  <c r="AK35" i="8"/>
  <c r="AM35" i="8" s="1"/>
  <c r="AK36" i="8"/>
  <c r="AM36" i="8" s="1"/>
  <c r="AK37" i="8"/>
  <c r="AM37" i="8" s="1"/>
  <c r="AK38" i="8"/>
  <c r="AM38" i="8" s="1"/>
  <c r="AK39" i="8"/>
  <c r="AM39" i="8" s="1"/>
  <c r="AO31" i="8"/>
  <c r="AO27" i="8"/>
  <c r="AT10" i="12"/>
  <c r="AU10" i="12" s="1"/>
  <c r="AT6" i="12"/>
  <c r="AU6" i="12" s="1"/>
  <c r="AT4" i="12"/>
  <c r="AU4" i="12" s="1"/>
  <c r="AR2" i="12"/>
  <c r="AF2" i="11"/>
  <c r="AI127" i="11" l="1"/>
  <c r="AI39" i="11"/>
  <c r="AT2" i="12"/>
  <c r="AE2" i="11"/>
  <c r="AS2" i="12"/>
  <c r="AQ2" i="12"/>
  <c r="AG2" i="11"/>
  <c r="AH2" i="11"/>
  <c r="AJ2" i="8" l="1"/>
  <c r="AL2" i="8" l="1"/>
  <c r="AN2" i="8"/>
  <c r="AK2" i="8" l="1"/>
  <c r="AM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Người dùng Khách</author>
  </authors>
  <commentList>
    <comment ref="O7" authorId="0" shapeId="0" xr:uid="{B26F8C14-DBFB-478E-BF69-A7D06D81F346}">
      <text>
        <r>
          <rPr>
            <sz val="13"/>
            <color theme="1"/>
            <rFont val="Times New Roman"/>
            <family val="2"/>
          </rPr>
          <t xml:space="preserve">Gồm sản lượng OK + rework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3A151-CF07-4962-926C-82B7C6AAA74B}" keepAlive="1" name="Query - AppendAdon" description="Connection to the 'AppendAdon' query in the workbook." type="5" refreshedVersion="0" background="1" saveData="1">
    <dbPr connection="Provider=Microsoft.Mashup.OleDb.1;Data Source=$Workbook$;Location=AppendAdon;Extended Properties=&quot;&quot;" command="SELECT * FROM [AppendAdon]"/>
  </connection>
  <connection id="2" xr16:uid="{9FF68389-03AD-40C0-96EA-2FA8683802EF}" keepAlive="1" name="Query - AppendAdon1" description="Connection to the 'AppendAdon' query in the workbook." type="5" refreshedVersion="8" background="1" saveData="1">
    <dbPr connection="Provider=Microsoft.Mashup.OleDb.1;Data Source=$Workbook$;Location=AppendAdon;Extended Properties=&quot;&quot;" command="SELECT * FROM [AppendAdon]"/>
  </connection>
  <connection id="3" xr16:uid="{E1CCE6B8-623F-42CF-9885-D0ED008D145B}" keepAlive="1" name="Query - AppendBatDau" description="Connection to the 'AppendBatDau' query in the workbook." type="5" refreshedVersion="0" background="1" saveData="1">
    <dbPr connection="Provider=Microsoft.Mashup.OleDb.1;Data Source=$Workbook$;Location=AppendBatDau;Extended Properties=&quot;&quot;" command="SELECT * FROM [AppendBatDau]"/>
  </connection>
  <connection id="4" xr16:uid="{95235664-212F-4DB0-B931-8ABD05E31029}" keepAlive="1" name="Query - AppendBatDau1" description="Connection to the 'AppendBatDau' query in the workbook." type="5" refreshedVersion="8" background="1" saveData="1">
    <dbPr connection="Provider=Microsoft.Mashup.OleDb.1;Data Source=$Workbook$;Location=AppendBatDau;Extended Properties=&quot;&quot;" command="SELECT * FROM [AppendBatDau]"/>
  </connection>
  <connection id="5" xr16:uid="{7697B433-36BD-48EB-8CC5-3B27D1335ECE}" keepAlive="1" name="Query - AppenNhanLuc" description="Connection to the 'AppenNhanLuc' query in the workbook." type="5" refreshedVersion="0" background="1" saveData="1">
    <dbPr connection="Provider=Microsoft.Mashup.OleDb.1;Data Source=$Workbook$;Location=AppenNhanLuc;Extended Properties=&quot;&quot;" command="SELECT * FROM [AppenNhanLuc]"/>
  </connection>
  <connection id="6" xr16:uid="{82D79899-51BC-4B08-92E8-21B75C0EB0F5}" keepAlive="1" name="Query - AppenNhanLuc1" description="Connection to the 'AppenNhanLuc' query in the workbook." type="5" refreshedVersion="8" background="1" saveData="1">
    <dbPr connection="Provider=Microsoft.Mashup.OleDb.1;Data Source=$Workbook$;Location=AppenNhanLuc;Extended Properties=&quot;&quot;" command="SELECT * FROM [AppenNhanLuc]"/>
  </connection>
  <connection id="7" xr16:uid="{0B741FBA-4C2D-4833-8E12-BF5B85036753}" keepAlive="1" name="Query - dctd" description="Connection to the 'dctd' query in the workbook." type="5" refreshedVersion="8" background="1" saveData="1">
    <dbPr connection="Provider=Microsoft.Mashup.OleDb.1;Data Source=$Workbook$;Location=dctd;Extended Properties=&quot;&quot;" command="SELECT * FROM [dctd]"/>
  </connection>
  <connection id="8" xr16:uid="{3E5DC55B-72B4-4AF1-A126-ED89D99FAF4C}" keepAlive="1" name="Query - dctd_nhan_luc" description="Connection to the 'dctd_nhan_luc' query in the workbook." type="5" refreshedVersion="8" background="1" saveData="1">
    <dbPr connection="Provider=Microsoft.Mashup.OleDb.1;Data Source=$Workbook$;Location=dctd_nhan_luc;Extended Properties=&quot;&quot;" command="SELECT * FROM [dctd_nhan_luc]"/>
  </connection>
  <connection id="9" xr16:uid="{C092471D-B85C-4AFA-AC5F-A95D495E86AE}" keepAlive="1" name="Query - dctd2" description="Connection to the 'dctd2' query in the workbook." type="5" refreshedVersion="8" background="1" saveData="1">
    <dbPr connection="Provider=Microsoft.Mashup.OleDb.1;Data Source=$Workbook$;Location=dctd2;Extended Properties=&quot;&quot;" command="SELECT * FROM [dctd2]"/>
  </connection>
  <connection id="10" xr16:uid="{50D1EA84-C7AA-4598-85A0-F9780140F71B}" keepAlive="1" name="Query - dctd2_adon" description="Connection to the 'dctd2_adon' query in the workbook." type="5" refreshedVersion="8" background="1" saveData="1">
    <dbPr connection="Provider=Microsoft.Mashup.OleDb.1;Data Source=$Workbook$;Location=dctd2_adon;Extended Properties=&quot;&quot;" command="SELECT * FROM [dctd2_adon]"/>
  </connection>
  <connection id="11" xr16:uid="{4DD4F484-7AB2-48B7-B92C-D42F617F7E24}" keepAlive="1" name="Query - dctd2_batdau" description="Connection to the 'dctd2_batdau' query in the workbook." type="5" refreshedVersion="8" background="1" saveData="1">
    <dbPr connection="Provider=Microsoft.Mashup.OleDb.1;Data Source=$Workbook$;Location=dctd2_batdau;Extended Properties=&quot;&quot;" command="SELECT * FROM [dctd2_batdau]"/>
  </connection>
  <connection id="12" xr16:uid="{E8088320-03AD-42B1-8DBD-46D811261AA5}" keepAlive="1" name="Query - dctd2_gio" description="Connection to the 'dctd2_gio' query in the workbook." type="5" refreshedVersion="8" background="1" saveData="1">
    <dbPr connection="Provider=Microsoft.Mashup.OleDb.1;Data Source=$Workbook$;Location=dctd2_gio;Extended Properties=&quot;&quot;" command="SELECT * FROM [dctd2_gio]"/>
  </connection>
  <connection id="13" xr16:uid="{76FEF129-3A12-4614-8DFF-28CE5D523836}" keepAlive="1" name="Query - dctd2_time1" description="Connection to the 'dctd2_time1' query in the workbook." type="5" refreshedVersion="0" background="1">
    <dbPr connection="Provider=Microsoft.Mashup.OleDb.1;Data Source=$Workbook$;Location=dctd2_time1;Extended Properties=&quot;&quot;" command="SELECT * FROM [dctd2_time1]"/>
  </connection>
  <connection id="14" xr16:uid="{C1292EFB-8DCB-431F-B7B0-9220ED243418}" keepAlive="1" name="Query - dctl" description="Connection to the 'dctl' query in the workbook." type="5" refreshedVersion="8" background="1" saveData="1">
    <dbPr connection="Provider=Microsoft.Mashup.OleDb.1;Data Source=$Workbook$;Location=dctl;Extended Properties=&quot;&quot;" command="SELECT * FROM [dctl]"/>
  </connection>
  <connection id="15" xr16:uid="{D0D90E01-7918-4B08-B165-944658DAAF37}" keepAlive="1" name="Query - dctl_nhan_luc" description="Connection to the 'dctl_nhan_luc' query in the workbook." type="5" refreshedVersion="8" background="1" saveData="1">
    <dbPr connection="Provider=Microsoft.Mashup.OleDb.1;Data Source=$Workbook$;Location=dctl_nhan_luc;Extended Properties=&quot;&quot;" command="SELECT * FROM [dctl_nhan_luc]"/>
  </connection>
  <connection id="16" xr16:uid="{2456E2D4-1299-4D2B-BD36-DCDCC5711C11}" keepAlive="1" name="Query - dctl2" description="Connection to the 'dctl2' query in the workbook." type="5" refreshedVersion="8" background="1" saveData="1">
    <dbPr connection="Provider=Microsoft.Mashup.OleDb.1;Data Source=$Workbook$;Location=dctl2;Extended Properties=&quot;&quot;" command="SELECT * FROM [dctl2]"/>
  </connection>
  <connection id="17" xr16:uid="{8B5FCDF4-C8A4-48F6-8BF7-6AB83A5031D3}" keepAlive="1" name="Query - dctl2_adon" description="Connection to the 'dctl2_adon' query in the workbook." type="5" refreshedVersion="8" background="1" saveData="1">
    <dbPr connection="Provider=Microsoft.Mashup.OleDb.1;Data Source=$Workbook$;Location=dctl2_adon;Extended Properties=&quot;&quot;" command="SELECT * FROM [dctl2_adon]"/>
  </connection>
  <connection id="18" xr16:uid="{9BEE00C2-4EC4-4545-88E5-61A73305351D}" keepAlive="1" name="Query - dctl2_batdau" description="Connection to the 'dctl2_batdau' query in the workbook." type="5" refreshedVersion="8" background="1" saveData="1">
    <dbPr connection="Provider=Microsoft.Mashup.OleDb.1;Data Source=$Workbook$;Location=dctl2_batdau;Extended Properties=&quot;&quot;" command="SELECT * FROM [dctl2_batdau]"/>
  </connection>
  <connection id="19" xr16:uid="{F5E102B1-3A47-4AD7-9A37-9993205D133D}" keepAlive="1" name="Query - dctl2_gio" description="Connection to the 'dctl2_gio' query in the workbook." type="5" refreshedVersion="8" background="1" saveData="1">
    <dbPr connection="Provider=Microsoft.Mashup.OleDb.1;Data Source=$Workbook$;Location=dctl2_gio;Extended Properties=&quot;&quot;" command="SELECT * FROM [dctl2_gio]"/>
  </connection>
  <connection id="20" xr16:uid="{19B20B15-ED8B-4062-A252-F0A16FE3ADA4}" keepAlive="1" name="Query - dctl2_time1" description="Connection to the 'dctl2_time1' query in the workbook." type="5" refreshedVersion="0" background="1">
    <dbPr connection="Provider=Microsoft.Mashup.OleDb.1;Data Source=$Workbook$;Location=dctl2_time1;Extended Properties=&quot;&quot;" command="SELECT * FROM [dctl2_time1]"/>
  </connection>
  <connection id="21" xr16:uid="{7FF9BAC1-05D6-4546-A8FB-661049F1FD07}" keepAlive="1" name="Query - Finish" description="Connection to the 'Finish' query in the workbook." type="5" refreshedVersion="0" background="1">
    <dbPr connection="Provider=Microsoft.Mashup.OleDb.1;Data Source=$Workbook$;Location=Finish;Extended Properties=&quot;&quot;" command="SELECT * FROM [Finish]"/>
  </connection>
  <connection id="22" xr16:uid="{FD447B05-3C8D-4989-AC97-9A17910F16F4}" keepAlive="1" name="Query - Finish (2)" description="Connection to the 'Finish (2)' query in the workbook." type="5" refreshedVersion="0" background="1">
    <dbPr connection="Provider=Microsoft.Mashup.OleDb.1;Data Source=$Workbook$;Location=&quot;Finish (2)&quot;;Extended Properties=&quot;&quot;" command="SELECT * FROM [Finish (2)]"/>
  </connection>
  <connection id="23" xr16:uid="{7AC1D54D-36F9-493B-B6BA-5087CC6E10B2}" keepAlive="1" name="Query - Finish (2)1" description="Connection to the 'Finish (2)' query in the workbook." type="5" refreshedVersion="8" background="1" saveData="1">
    <dbPr connection="Provider=Microsoft.Mashup.OleDb.1;Data Source=$Workbook$;Location=&quot;Finish (2)&quot;;Extended Properties=&quot;&quot;" command="SELECT * FROM [Finish (2)]"/>
  </connection>
  <connection id="24" xr16:uid="{A997545D-5F54-4188-9763-96D291A1DAF6}" keepAlive="1" name="Query - Finish1" description="Connection to the 'Finish' query in the workbook." type="5" refreshedVersion="8" background="1" saveData="1">
    <dbPr connection="Provider=Microsoft.Mashup.OleDb.1;Data Source=$Workbook$;Location=Finish;Extended Properties=&quot;&quot;" command="SELECT * FROM [Finish]"/>
  </connection>
  <connection id="25" xr16:uid="{47115C0D-A241-4895-B95F-85A8B1001392}" keepAlive="1" name="Query - MergeBatDauAdon" description="Connection to the 'MergeBatDauAdon' query in the workbook." type="5" refreshedVersion="0" background="1" saveData="1">
    <dbPr connection="Provider=Microsoft.Mashup.OleDb.1;Data Source=$Workbook$;Location=MergeBatDauAdon;Extended Properties=&quot;&quot;" command="SELECT * FROM [MergeBatDauAdon]"/>
  </connection>
  <connection id="26" xr16:uid="{9A07711F-922B-4BA0-A05E-AC7848874536}" keepAlive="1" name="Query - MergeBatDauAdon1" description="Connection to the 'MergeBatDauAdon' query in the workbook." type="5" refreshedVersion="8" background="1" saveData="1">
    <dbPr connection="Provider=Microsoft.Mashup.OleDb.1;Data Source=$Workbook$;Location=MergeBatDauAdon;Extended Properties=&quot;&quot;" command="SELECT * FROM [MergeBatDauAdon]"/>
  </connection>
  <connection id="27" xr16:uid="{575AF141-DF4F-4F62-8898-A1E42F61E364}" keepAlive="1" name="Query - MergeComplete" description="Connection to the 'MergeComplete' query in the workbook." type="5" refreshedVersion="0" background="1">
    <dbPr connection="Provider=Microsoft.Mashup.OleDb.1;Data Source=$Workbook$;Location=MergeComplete;Extended Properties=&quot;&quot;" command="SELECT * FROM [MergeComplete]"/>
  </connection>
  <connection id="28" xr16:uid="{E93E202B-3DF9-4E37-A0D4-F2F49A3FAA18}" keepAlive="1" name="Query - MergeComplete (3)" description="Connection to the 'MergeComplete (3)' query in the workbook." type="5" refreshedVersion="0" background="1">
    <dbPr connection="Provider=Microsoft.Mashup.OleDb.1;Data Source=$Workbook$;Location=&quot;MergeComplete (3)&quot;;Extended Properties=&quot;&quot;" command="SELECT * FROM [MergeComplete (3)]"/>
  </connection>
  <connection id="29" xr16:uid="{D001CFD2-BB3F-4459-B4C6-2B08085A699C}" keepAlive="1" name="Query - MergeComplete (3)1" description="Connection to the 'MergeComplete (3)' query in the workbook." type="5" refreshedVersion="0" background="1">
    <dbPr connection="Provider=Microsoft.Mashup.OleDb.1;Data Source=$Workbook$;Location=&quot;MergeComplete (3)&quot;;Extended Properties=&quot;&quot;" command="SELECT * FROM [MergeComplete (3)]"/>
  </connection>
  <connection id="30" xr16:uid="{D3D9CDC0-2417-4A12-AA03-BF6154111BEA}" keepAlive="1" name="Query - MergeComplete1" description="Connection to the 'MergeComplete' query in the workbook." type="5" refreshedVersion="8" background="1" saveData="1">
    <dbPr connection="Provider=Microsoft.Mashup.OleDb.1;Data Source=$Workbook$;Location=MergeComplete;Extended Properties=&quot;&quot;" command="SELECT * FROM [MergeComplete]"/>
  </connection>
  <connection id="31" xr16:uid="{7C86D9E0-FB33-4ACB-9168-FD914DAC2CDE}" keepAlive="1" name="Query - NewGio" description="Connection to the 'NewGio' query in the workbook." type="5" refreshedVersion="0" background="1">
    <dbPr connection="Provider=Microsoft.Mashup.OleDb.1;Data Source=$Workbook$;Location=NewGio;Extended Properties=&quot;&quot;" command="SELECT * FROM [NewGio]"/>
  </connection>
  <connection id="32" xr16:uid="{10667333-5059-4F05-9812-8A51FE7B08C8}" keepAlive="1" name="Query - NewGio1" description="Connection to the 'NewGio' query in the workbook." type="5" refreshedVersion="8" background="1" saveData="1">
    <dbPr connection="Provider=Microsoft.Mashup.OleDb.1;Data Source=$Workbook$;Location=NewGio;Extended Properties=&quot;&quot;" command="SELECT * FROM [NewGio]"/>
  </connection>
  <connection id="33" xr16:uid="{75105B8E-732A-4473-B5A4-FC147E9A459A}" keepAlive="1" name="Query - pu_canh(1)" description="Connection to the 'pu_canh' query in the workbook." type="5" refreshedVersion="8" background="1" saveData="1">
    <dbPr connection="Provider=Microsoft.Mashup.OleDb.1;Data Source=$Workbook$;Location=pu_canh;Extended Properties=&quot;&quot;" command="SELECT * FROM [pu_canh]"/>
  </connection>
  <connection id="34" xr16:uid="{31BEF3BF-7B0C-4615-AFC0-608A450085B0}" keepAlive="1" name="Query - pu_canh_nhan_luc" description="Connection to the 'pu_canh_nhan_luc' query in the workbook." type="5" refreshedVersion="8" background="1" saveData="1">
    <dbPr connection="Provider=Microsoft.Mashup.OleDb.1;Data Source=$Workbook$;Location=pu_canh_nhan_luc;Extended Properties=&quot;&quot;" command="SELECT * FROM [pu_canh_nhan_luc]"/>
  </connection>
  <connection id="35" xr16:uid="{056E30F2-DD46-4030-BEC3-06A630B46079}" keepAlive="1" name="Query - pu_canh_sl" description="Connection to the 'pu_canh_sl' query in the workbook." type="5" refreshedVersion="0" background="1">
    <dbPr connection="Provider=Microsoft.Mashup.OleDb.1;Data Source=$Workbook$;Location=pu_canh_sl;Extended Properties=&quot;&quot;" command="SELECT * FROM [pu_canh_sl]"/>
  </connection>
  <connection id="36" xr16:uid="{AD3B535F-C7DE-4A1B-B6A0-5ACF646DA424}" keepAlive="1" name="Query - pu_canh2" description="Connection to the 'pu_canh2' query in the workbook." type="5" refreshedVersion="8" background="1" saveData="1">
    <dbPr connection="Provider=Microsoft.Mashup.OleDb.1;Data Source=$Workbook$;Location=pu_canh2;Extended Properties=&quot;&quot;" command="SELECT * FROM [pu_canh2]"/>
  </connection>
  <connection id="37" xr16:uid="{26A2E1AB-4F76-44CB-BC82-6C5F7DD45538}" keepAlive="1" name="Query - pu_canh2_batdau" description="Connection to the 'pu_canh2_batdau' query in the workbook." type="5" refreshedVersion="8" background="1" saveData="1">
    <dbPr connection="Provider=Microsoft.Mashup.OleDb.1;Data Source=$Workbook$;Location=pu_canh2_batdau;Extended Properties=&quot;&quot;" command="SELECT * FROM [pu_canh2_batdau]"/>
  </connection>
  <connection id="38" xr16:uid="{E0417B25-029C-4FB5-8749-40AC5392B036}" keepAlive="1" name="Query - pu_canh2_gio" description="Connection to the 'pu_canh2_gio' query in the workbook." type="5" refreshedVersion="0" background="1">
    <dbPr connection="Provider=Microsoft.Mashup.OleDb.1;Data Source=$Workbook$;Location=pu_canh2_gio;Extended Properties=&quot;&quot;" command="SELECT * FROM [pu_canh2_gio]"/>
  </connection>
  <connection id="39" xr16:uid="{C4C95943-5B6E-4FD5-86C8-844258CBC599}" keepAlive="1" name="Query - pu_canh2_gioadon" description="Connection to the 'pu_canh2_gioadon' query in the workbook." type="5" refreshedVersion="8" background="1" saveData="1">
    <dbPr connection="Provider=Microsoft.Mashup.OleDb.1;Data Source=$Workbook$;Location=pu_canh2_gioadon;Extended Properties=&quot;&quot;" command="SELECT * FROM [pu_canh2_gioadon]"/>
  </connection>
  <connection id="40" xr16:uid="{E98105DD-F144-4B21-97F3-F664DAB1CA5E}" keepAlive="1" name="Query - pu_canh2_pivot" description="Connection to the 'pu_canh2_pivot' query in the workbook." type="5" refreshedVersion="8" background="1" saveData="1">
    <dbPr connection="Provider=Microsoft.Mashup.OleDb.1;Data Source=$Workbook$;Location=pu_canh2_pivot;Extended Properties=&quot;&quot;" command="SELECT * FROM [pu_canh2_pivot]"/>
  </connection>
  <connection id="41" xr16:uid="{DA20EDD7-F939-4F37-9104-7703CA348C6C}" keepAlive="1" name="Query - pu_canh2_time1" description="Connection to the 'pu_canh2_time1' query in the workbook." type="5" refreshedVersion="0" background="1">
    <dbPr connection="Provider=Microsoft.Mashup.OleDb.1;Data Source=$Workbook$;Location=pu_canh2_time1;Extended Properties=&quot;&quot;" command="SELECT * FROM [pu_canh2_time1]"/>
  </connection>
  <connection id="42" xr16:uid="{7A6E9A7A-C307-444D-A0E7-470CE5C97E72}" keepAlive="1" name="Query - Time1" description="Connection to the 'Time1' query in the workbook." type="5" refreshedVersion="8" background="1" saveData="1">
    <dbPr connection="Provider=Microsoft.Mashup.OleDb.1;Data Source=$Workbook$;Location=Time1;Extended Properties=&quot;&quot;" command="SELECT * FROM [Tim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<sst xmlns="http://schemas.openxmlformats.org/spreadsheetml/2006/main" count="2176" uniqueCount="427">
  <si>
    <t>Auto</t>
  </si>
  <si>
    <t>Ngày</t>
  </si>
  <si>
    <t>Tháng</t>
  </si>
  <si>
    <t>Tổ</t>
  </si>
  <si>
    <t>1.6</t>
  </si>
  <si>
    <t>3.2</t>
  </si>
  <si>
    <t>U106</t>
  </si>
  <si>
    <t>U147</t>
  </si>
  <si>
    <t>SL</t>
  </si>
  <si>
    <t>EAS</t>
  </si>
  <si>
    <t>Nhân lực</t>
  </si>
  <si>
    <t>Bắt đầu</t>
  </si>
  <si>
    <t>Kết thúc</t>
  </si>
  <si>
    <t>Ăn trưa</t>
  </si>
  <si>
    <t>Ăn chiều</t>
  </si>
  <si>
    <t>Nghỉ ngắn</t>
  </si>
  <si>
    <t>Giờ 5S</t>
  </si>
  <si>
    <t>Adon</t>
  </si>
  <si>
    <t>Call</t>
  </si>
  <si>
    <t>Time1</t>
  </si>
  <si>
    <t>Time2</t>
  </si>
  <si>
    <t>Hours1</t>
  </si>
  <si>
    <t>Hours2</t>
  </si>
  <si>
    <t>Demand</t>
  </si>
  <si>
    <t>UPPH</t>
  </si>
  <si>
    <t>Khuôn PU thân</t>
  </si>
  <si>
    <t>Số khuôn thay</t>
  </si>
  <si>
    <t>Diễn giải</t>
  </si>
  <si>
    <t>51CD</t>
  </si>
  <si>
    <t>51DSU</t>
  </si>
  <si>
    <t>71CD</t>
  </si>
  <si>
    <t>71DSU</t>
  </si>
  <si>
    <t>91CD</t>
  </si>
  <si>
    <t>91DSU</t>
  </si>
  <si>
    <t>185GB</t>
  </si>
  <si>
    <t>209GB</t>
  </si>
  <si>
    <t>10.6</t>
  </si>
  <si>
    <t>U208</t>
  </si>
  <si>
    <t>C.O</t>
  </si>
  <si>
    <t>Khuôn</t>
  </si>
  <si>
    <t>7h-8h lỗi viền Bq 10.6</t>
  </si>
  <si>
    <t>21h-22h dừng đổ Nđ10.6 do hộc khóa đột lệch. 22h-23h20 cắt 1 CN lọc viền Nđ do đột lệch lỗ hốc khóa</t>
  </si>
  <si>
    <t>Hạ 1-U208 lên 1-Bq 156+1-51 từ 7h30-8h15</t>
  </si>
  <si>
    <t>Hỏng chuyền từ 1h50-2h15. Vừa chạy vừa chỉnh khuôn Nđ 10.6 từ 2h30-5h</t>
  </si>
  <si>
    <t>16h45-17h30 dừng đổ cánh Nđ 10.6 do cong viền</t>
  </si>
  <si>
    <t>Hết kính 10.6 từ 21h50 . 19h-20h đo lại viền trên dưới. Hạ 1-209K, lên 1-U208 từ 6h25-7h</t>
  </si>
  <si>
    <t>Lỗi viền dưới Nđ 10.6 từ 8h50-9h30. Thủng đường dầu máy PU từ 8h35-9h50</t>
  </si>
  <si>
    <t>12h30-17h hết viền Bq 10.6, hết kính từ 12h30-14h30. Thay khuôn 1-U208 lên 2-Bq 125</t>
  </si>
  <si>
    <t>19h-20h30 hạ 2-Nđ 125+1-U106, lên 1-U147. Vừa chạy vừa chỉnh khuôn Nđ 126+U147 từ 21h30-23h20</t>
  </si>
  <si>
    <t>Dừng chuyền tuột ốc không đóng gông từ 7h-7h50. 10h30-13h hết viền phải Bq 10.6. 13h-14h30 cắt 2 công nhân bọc 69 bộ cánh 125. Lỗi kính 1.6</t>
  </si>
  <si>
    <t>9h-11h vừa chạy vừa dừng xử lý 1 số khuôn không đóng hết. 14h50-15h10 dừng chuyền thay bánh gông 6</t>
  </si>
  <si>
    <t>Hạ 1-8185G, lên 1-125 từu 11h30-12h. 17h-17h30 vừa chạy vừa chỉnh khuôn Nđ 125 sang 126</t>
  </si>
  <si>
    <t xml:space="preserve">19h-21h20 vừa chạy vừa chỉnh khuôn Nđ 10.6 rạn viền. </t>
  </si>
  <si>
    <t>Hạ 2-71 lên 1-1.6+1-3.2 từ 9h50-10h20. Hạ 2-91 lên 2-71 từ 14h50-15h20. Từ 11h-14h lỗi xước viền trên 1.6+3.2. Từ 13-17h hết kính 1.6. Từ 16-19h hết lòng trong 3.2</t>
  </si>
  <si>
    <t>9h40-10h30 viền dưới Nđ 10.6 lỗi cong võng. Hạ 1-125 lên 1-125 mời từ 11h30-12h</t>
  </si>
  <si>
    <t>Hết lòng trong cánh 1.6 từ 1h</t>
  </si>
  <si>
    <t>Hạ 1-152 lên 1-152 mới. 9h30-9h45 dừng chuyền để chỉnh khuôn Bq10.6 hở viền. 13h50-14h dùng chuyền do đứt dây điện. Hết nhựa 3.2 từ 16h-17h30</t>
  </si>
  <si>
    <t>Không có nhựa cánh 1.6. Hạ 1-Nđ 126 lên 1-U106</t>
  </si>
  <si>
    <t>14h50-15h30 Hạ 1-Bq 152+1-Nđ 125 lên 1-152 mới. 7h-9h50 hệt nhựa 1.6. 3h lỗi kính 3.2 xước bề mặt</t>
  </si>
  <si>
    <t>19h-3h40 hết nhựa lòng trong 1.6. 3h-3h30 chỉnh khuôn 152</t>
  </si>
  <si>
    <t>10h-13h Lỗi viền dưới Nđ 10.6. 13h-19h hết viền trái ND 10.6. 15h30-16h dừng chuyền xử lý tụt con lăn. 16h50-17h30 hạ 2-71 lên 2-71mới</t>
  </si>
  <si>
    <t>3h-4h chỉnh khuôn 71 mới. 21h-22h Nđ 125 hết chỉnh khuôn để chạy Nđ 132</t>
  </si>
  <si>
    <t>14h50-15h20 thay 2-Nđ 125 lên 2-51. Cắt 2 công nhân lọc viền</t>
  </si>
  <si>
    <t>Hạ 1-126+1-U147 lên 2-91. Kính 10.6 xước nhiều mất thời gian lọc</t>
  </si>
  <si>
    <t>Gẫy chốt chuyền 2h45-4h10</t>
  </si>
  <si>
    <t>Hạ 2-91+1-3.2+1-1.6 lên 2-132 từ 14h50-15h30</t>
  </si>
  <si>
    <t>Hạ 1-3.2+1-1.6 lên 1-125 từ 11h15-11h45. Hạ 2-Bq 125 lên 2-91 từ 18h30-19h. Hỏng chuyền 12h40-13h50</t>
  </si>
  <si>
    <t>19h-20h vừa chạy vừa chỉnh 2 khuôn 91. 20h40-21h20 dừng chuyền mài sửa khuôn Bq156 nhăn nhựa. 6h20-7h hạ 1-51 lên 1-U106</t>
  </si>
  <si>
    <t>14h30 hết lòng trong 1.6</t>
  </si>
  <si>
    <t>19h-3h hết nhựa lòng trong 1.6</t>
  </si>
  <si>
    <t>8h10-19h hết viền 10.6. Hết kính 1.6. Cắt 4 người sang HT tủ đông</t>
  </si>
  <si>
    <t>19-1h hết viền 10.6. 19h-7h không có kính 1.6. 1h-7h hết gioăng Bq125</t>
  </si>
  <si>
    <t>Hết kính 1.6 , 3.2 từ 10h. Hạ 1-U106+1-156 lên 1-51+2-Bq125 từ 18-19h</t>
  </si>
  <si>
    <t>2h-4h30 hết lòng trong ND 10.6. Không có kính 1.6+3.2</t>
  </si>
  <si>
    <t>7h-8h50 hết lòng trong 10.6. 18h lên 1-U208+1-352</t>
  </si>
  <si>
    <t>19-19h40 thay nốt khuôn 6352</t>
  </si>
  <si>
    <t>18h20-19h hạ 1-U106 lên 1-U147</t>
  </si>
  <si>
    <t>14h45 dừng đổ PU để thử hóa chất</t>
  </si>
  <si>
    <t>9h40-10h40 dừng chuyền xử lý lỗi. 18h20-19h gãy hỏng bàn ép kính Bq 10.6. Không có kính 3.2-1.6</t>
  </si>
  <si>
    <t>1.6 +3.2 không có kính. Cắt 2 CN lắp gioăng tủ mát</t>
  </si>
  <si>
    <t>13h-16h30 dừng đổ 10.6 do hụt kính, dương viền. Hạ 1-132 lên 2-51 từ 16h30-18h</t>
  </si>
  <si>
    <t>4h20-4h45 đứt xich chuyền. 6h10-7h dừng chuyền lên 1-6159 hạ 1-6352</t>
  </si>
  <si>
    <t>16h30-17h30 hạ 1-3.2+1-1.6 lên 2-91. Cắt 1 công nhân xắp xếp xe cánh để lắp phòng sấy mới</t>
  </si>
  <si>
    <t>Hỏng chuyền từ 19h50-21h45. Đưa gông 2 khuôn 91 ra cho cơ điện xử lý  trong lúc hỏng chuyền</t>
  </si>
  <si>
    <t>10h-10h30 lên 2-91 (mới được cơ điện cải tạo)</t>
  </si>
  <si>
    <t>6h20 dừng chuyền hạ 6208 lên 1-6185</t>
  </si>
  <si>
    <t>10h-13h hết kính Nđ 286. 10h-13h nhầm viền phải 286 thành viền trái</t>
  </si>
  <si>
    <t>Hạ 1-Bq132+2Bq125 lên 3-1.6+1-3.2 từ 2h50-4h15. 5h15-7h vừa chạy vừa chỉnh khuôn 1.6</t>
  </si>
  <si>
    <t>7-9h vừa chạy vừa chỉnh khuôn 1.6</t>
  </si>
  <si>
    <t>Thay gông 2-32 và hạ 1 gông 166 từ 19-19h30. Lỗi kính 3.2 xước+chấm trắng dừng sản xuất. 6h dừng chuyền kiểm kê</t>
  </si>
  <si>
    <t>7h-8h40 mất nhiệt buồng sấy chuyền.7h-9h lỗi viền cánh 1.6. 9h20-9h35 hỏng chuyền. 18h-19h lên 2-71+1Bq156 hạ 2-51+1Bq125</t>
  </si>
  <si>
    <t>19h-20h30 ẩm lòng trong 10.6</t>
  </si>
  <si>
    <t>13h-19h cắt 1 CN đánh giá tủ</t>
  </si>
  <si>
    <t>2h-7h thiếu lòng trong ND 10.6. Viền trái 3.2 rạn trắng</t>
  </si>
  <si>
    <t>7h-8h viền 1.6+3.2 lỗi. 7h40-8h40 kính 10.6 lỗi khác màu. 18h kính 1.6 hết, kính 3.2 không có</t>
  </si>
  <si>
    <t>1.6 không có kính, 3.2 không có kính</t>
  </si>
  <si>
    <t>TLR</t>
  </si>
  <si>
    <t>PU thân</t>
  </si>
  <si>
    <t>SPU</t>
  </si>
  <si>
    <t>HT</t>
  </si>
  <si>
    <t>Không sản xuất</t>
  </si>
  <si>
    <t>Cắt 1 sinh viên tăng cường cho hoàn thiện (đã phản ánh ở cột nhân sự)</t>
  </si>
  <si>
    <t>Từ 13h30, cắt 3 người hỗ trợ PU cánh (không phản ánh ở cột nhân sự)</t>
  </si>
  <si>
    <t>Tắc thương kiểm từ 10h55 đến 11h06, hết cánh từ 14h05 đến 14h20, từ 15h17 đến 15h40, từ 19h00 đến 21h00</t>
  </si>
  <si>
    <t>Cắt 3 người đi đánh giá tủ (đã phản ánh ở cột nhân sự)</t>
  </si>
  <si>
    <t>Từ 13h30 đến 17h00 xuống D/c tủ lạnh SX</t>
  </si>
  <si>
    <t>Cắt 5 người đi tăng cường cho tổ hoàn thiện (đã phản ánh ở cột nhân sự)</t>
  </si>
  <si>
    <t>7h00 đến 19h00: 23 người, 19h00 đến 21h00: 15 người.</t>
  </si>
  <si>
    <t>Cắt 4 người hỗ trợ hoàn thiện (đã phản ánh ở cột nhân sự)</t>
  </si>
  <si>
    <t>Xử lý tủ 3.2 lỗi cánh</t>
  </si>
  <si>
    <t>Cắt 3 người hỗ trợ hoàn thiện, 1 người hỗ trợ PU cánh (đã phản ánh ở cột nhân sự)</t>
  </si>
  <si>
    <t>Tắc hoàn thiện từ 10h30 đến 10h40, hết cánh từ 13h28 đến 14h00, từ 16h50 đến 17h40, từ 18h14 đến 19h00</t>
  </si>
  <si>
    <t>Tủ lỗi nhiều: xước cánh, xước sườn</t>
  </si>
  <si>
    <t>Tắc hoàn thiện từ 8h53 đến 9h09, từ 12h43 đến 13h19. Hết cánh từ 14h00 đến 15h15</t>
  </si>
  <si>
    <t>Dừng chuyền do cánh lỗi từ 10h30 đến 13h30, do chuyền hỏng từ 14h20 đến 14h40</t>
  </si>
  <si>
    <t>Dừng chuyền từ 10h00 để rework tủ 10.6</t>
  </si>
  <si>
    <t>Cắt 1 người đi đánh giá tủ (đã phản ánh ở cột nhân sự)</t>
  </si>
  <si>
    <t>Hỏng kìm hàn vòng từ 9h30 đến 10h00, tắc hoàn thiện từ 12h29 đến 12h48, từ 13h24 đến 13h41</t>
  </si>
  <si>
    <t>Người mới nhiều, cần thời gian đào tạo. Tủ lỗi nhiều</t>
  </si>
  <si>
    <t>1 công nhân tăng cường SPU tủ lạnh (đã phản ánh ở cột nhân sự). Tắc hoàn thiện từ 7h51 đến 8h26, từ 10h50 đến 11h15, từ 12h15 đến 12h53. Hết cánh từ 9h12 đến 9h37</t>
  </si>
  <si>
    <t>Thiếu khay tủ S95003 tủ 3.2 phải hạ đất</t>
  </si>
  <si>
    <t>Từ 10h00, tăng cường 2 công nhân đánh giá tủ 10.6 (đã phản ánh ở cột nhân sự).</t>
  </si>
  <si>
    <t>1 công nhân tăng cường PU cánh từ 12h30 đến 14h00, 2 công nhân thay cánh trên hoàn thiện từ 12h30 đến 17h00. Tắc hoàn thiện từ 9h50 đến 10h00, từ 13h17 đến 13h41, từ 17h15 đến 17h28. Không có cánh 1.6 từ 13h52 đến 14h56, từ 15h44 đến 16h15.</t>
  </si>
  <si>
    <t>Tăng cường 2 công nhân đánh giá tủ 10.6 (đã phản ánh ở cột nhân sự).</t>
  </si>
  <si>
    <t>16h15 dừng SX: tăng cường các tổ khác.</t>
  </si>
  <si>
    <t>8h00 đến 10h00: dừng chuyền do không có tủ, không có khay S95003 tủ 3.2, 13h30 đến 15h00 dừng chuyền do không có tủ + lỗi cánh 1.6 + không có khay S95003....</t>
  </si>
  <si>
    <t>Tăng cường 1 công nhân đánh giá tủ 10.6 (đã phản ánh ở cột nhân sự).</t>
  </si>
  <si>
    <t>1 công nhân tăng cường tủ lạnh (đã phản ánh ở cột nhân sự). Hết cánh 1.6 từ 13h30 đêh 14h15</t>
  </si>
  <si>
    <t>16h00 đến 19h00: đóng tủ hạ cấp 1.6 và 3.2: 160 tủ</t>
  </si>
  <si>
    <t>Đóng tủ hạ cấp: 313 tủ. Nhân sự Hoàn thiện: 14 người, tăng cường từ TLR 5, TC 5.</t>
  </si>
  <si>
    <t>Cắt 1 người đi đánh giá tủ 10.6 (đã phản ánh ở cột nhân sự)</t>
  </si>
  <si>
    <t>Tắc chuyền hoàn thiện từ 8h15 đến 8h38, từ 9h12 đến 9h39. Hết cánh 1.6 từ 13h40 đến 14h10, từ 14h34 đến 14h57</t>
  </si>
  <si>
    <t>Từ 11h40 đến 17h00, hết khay S95008 tủ 3.2, hạ đất tủ</t>
  </si>
  <si>
    <t>Tắc hoàn thiện từ 18h20 đến 19h00</t>
  </si>
  <si>
    <t>Tình trạng lỗi cánh rất nhiều</t>
  </si>
  <si>
    <t>TLR tăng cường 4 người từ 13h00 đến 19h00 (không phản ánh ở cột nhân sự). Tắc HT từ 8h28 đến 8h57, từ 9h43 đến 10h00, hỏng chuyền vào tủ từ 10h15 đến 10h45. Hết cánh từ 15h20 đến 16h00, từ 16h15 đến 16h50, từ 17h50 đến 18h20.</t>
  </si>
  <si>
    <t>Từ 10h00: 4 công nhân PU cánh,  công nhân từ TLR lên hỗ trợ hạ tủ xuất khẩu xuống kho K1 (không phải ánh vào cột nhân sự).</t>
  </si>
  <si>
    <t>Cắt 2 người đi đánh giá tủ 10.6 (đã phản ánh ở cột nhân sự)</t>
  </si>
  <si>
    <t>Tắc hoàn thiện từ 11h00 đến 11h15, từ 13h18 đến 13h45. Hết cánh từ 13h55 đến 15h17, từ 15h45 đến 16h15</t>
  </si>
  <si>
    <t>Từ 10h00 đến 10h30, từ 13h00 đến 14h00, từ 15h00 đến 15h30: lên tủ hạ đất</t>
  </si>
  <si>
    <t>Hết cánh từ 8h20 từ 8h47, từ 10h52 đến 11h15, từ 13h40 đến 14h26, từ 15h30 đến 16h10</t>
  </si>
  <si>
    <t>Từ 8h00 đến 8h30, từ 9h30 đến 10h00, từ 13h00 đến 13h30: lên tủ hạ đất</t>
  </si>
  <si>
    <t>Hết cánh từ 15h06 đến 15h35, từ 15h40 đến 15h45</t>
  </si>
  <si>
    <t>Từ 10h00 đến 13h00: lên tủ hạ đất thay cánh. Vệ sinh + chùm nilon + quấn xốp từ 646GB, 5S tủ đợi bìa.</t>
  </si>
  <si>
    <t>Hỏng máy từ 7h00 đến 9h40</t>
  </si>
  <si>
    <t>Không có tủ đổ PU thân từ 9h00 đến 10h00. Tăng cường 1 công nhân sang tủ lạnh từ 13h00 đến 19h00 (không phản ánh ở cột nhân sự), 1 công nhân sang cơ điện từ 8h00 đến 19h00 (đã phản ánh ở cột nhân sự)</t>
  </si>
  <si>
    <t>Từ 7h00 đến 11h00 đóng tủ hạ đất, chỉnh lại điều khiển</t>
  </si>
  <si>
    <t>Hết cánh từ 12h15 đến 13h00</t>
  </si>
  <si>
    <t>Không có tủ từ 8h40 đến 9h40</t>
  </si>
  <si>
    <t>Hết thân tủ từ 10h32 đến 11h15, hết cánh từ 16h30 đến 17h00</t>
  </si>
  <si>
    <t>Từ 7h00 đến 12h00, đi đánh giá tủ</t>
  </si>
  <si>
    <t>Từ 13h00: Cắt 3 người đi xử lý tủ 1.6 và 3.2 (không phản ánh ở cột nhân sự)</t>
  </si>
  <si>
    <t>Từ 7h00 đến 11h30, đi đánh giá tủ</t>
  </si>
  <si>
    <t>Bê tủ lên lắp cánh: Từ 7h00 đến 11h15: 7 công nhân, từ 12h15 đến 16h00: 4 công nhân</t>
  </si>
  <si>
    <t>Tủ 1.6 lỗi cánh nhiều</t>
  </si>
  <si>
    <t>Cắt 2 người đi tăng cường cơ điện (đã phản ánh ở cột nhân sự)</t>
  </si>
  <si>
    <t>15h20: TLR tăng cường 2 SV (không phản ánh ở cột nhân sự). Cánh 91 và 51 ít</t>
  </si>
  <si>
    <t>Không có tủ từ 7h00 đến 14h30: hỗ trợ D/c tủ lạnh và PU Cánh. Tủ lỗi xước cánh + dạn viền nhiều, nhân lực ít.</t>
  </si>
  <si>
    <t>Cắt 2 người đi tăng cường hoàn thiện, cắt 2 người đi tăng cường cơ điện</t>
  </si>
  <si>
    <t>Hết cánh từ 9h50 đến 10h32, từ 18h10 đến 18h40. Tắc hoàn thiện từ 13h50 đến 14h05</t>
  </si>
  <si>
    <t>Từ 7h00 đến 19h00: 15 người, từ 19h00 đến 21h00: 12 người (không phản ánh ở cột nhân sự)</t>
  </si>
  <si>
    <t>Tình trạng lỗi và xước cánh rất nhiều</t>
  </si>
  <si>
    <t>125</t>
  </si>
  <si>
    <t>120</t>
  </si>
  <si>
    <t>132</t>
  </si>
  <si>
    <t>126</t>
  </si>
  <si>
    <t>152</t>
  </si>
  <si>
    <t>147</t>
  </si>
  <si>
    <t>159</t>
  </si>
  <si>
    <t>185</t>
  </si>
  <si>
    <t>209</t>
  </si>
  <si>
    <t>286</t>
  </si>
  <si>
    <t>283</t>
  </si>
  <si>
    <t>242</t>
  </si>
  <si>
    <t>280</t>
  </si>
  <si>
    <t>CO</t>
  </si>
  <si>
    <t>4-10C/3-125/1-152/1-135</t>
  </si>
  <si>
    <t>125 bắt đầu từ 7h35. 135 bắt đầu đổ từ 11h. Tắc chuỳen 1h30</t>
  </si>
  <si>
    <t>Ca đêm tắc chuyền 2h</t>
  </si>
  <si>
    <t>Thiếu cánh 10.6 dải rác trong ngày không ghi nhận thời gian</t>
  </si>
  <si>
    <t>Thiếu cánh 10.6 : 0h30-0h54, 6h30-6h50</t>
  </si>
  <si>
    <t>Tủ lỗi nhiều</t>
  </si>
  <si>
    <t>Chạy chậm do tắc chuyền. Hết lòng trong từ 16h-16h25. Từ 16h25-17h vừa làm vừa đợi lòng trong</t>
  </si>
  <si>
    <t>Ca đêm dừng SX, cắt người tăng cường các tổ rework tủ 10.6</t>
  </si>
  <si>
    <t>7h50 với đổ tủ 10.6. Dừng 4 khuôn 10.6+125 từ 17h40-19h do lỗi lòng trong</t>
  </si>
  <si>
    <t>Tủ 10.6 hết từ 22h40, tủ 125 hết từ 4h20</t>
  </si>
  <si>
    <t>Thiếu cánh 10.6 ; 7h-7h40, 8h20-8h40, 8h50-9h10, 9h20-9h35, 9h45-10h, 10h20-10h50, 17h30-17h55.</t>
  </si>
  <si>
    <t>Hỏng máy bắn đai 9h15-10h30p. Đóng tủ sửa chữa từ 7h-8h40p</t>
  </si>
  <si>
    <t>Lòng trong 125 cấp chậm</t>
  </si>
  <si>
    <t>Lỗi thanh giằng dưới 10.6, dừng sản xuất từ 4h-4h20</t>
  </si>
  <si>
    <t>Dừng 3 khuôn 125 từ 15h đến 16h để căn chỉnh, dán khuôn</t>
  </si>
  <si>
    <t>Hết 125 từ 23h, hết 152 từ 4h</t>
  </si>
  <si>
    <t>Lắp 21 tủ mát 2 cánh từ 15h10-16h30</t>
  </si>
  <si>
    <t>Hỏng chuyền từ 9h50-10h40</t>
  </si>
  <si>
    <t>Hỏng máy bắn đai từ 10h-11h30</t>
  </si>
  <si>
    <t>Do chỉ chạy 1 line TLR nên trống nhiều khuôn. Dừng 1 khuôn 10.6 để căn chỉnh từ 11h20-14h</t>
  </si>
  <si>
    <t>Hết cánh 10.6 từ 9h40-10h50. Dừng chuyền do không có cánh từ 15h15-15h50 (6208+8185GB)</t>
  </si>
  <si>
    <t>Hỏng máy quét mã nạp gas từ 13-16h</t>
  </si>
  <si>
    <t>Tắc hoàn thiện : 16h30-19h50, 20h50-21h17, 21h44-22h. Súng quét mã nạp gas sử dụng chập chờn</t>
  </si>
  <si>
    <t>Tắc chuyền 1h</t>
  </si>
  <si>
    <t>Hỏng máy quét mã nạp gas 7h-8h</t>
  </si>
  <si>
    <t>Tắc HT 6h20-7h</t>
  </si>
  <si>
    <t>Hết nắp che hộc khóa từ 05h30</t>
  </si>
  <si>
    <t>Lỗi dừng 30p, tắc chuyền dừng 40p</t>
  </si>
  <si>
    <t>Tắc hoàn thiện 7h-7h40, 17h15-17h37</t>
  </si>
  <si>
    <t>T6147 đổ từ 7h50. T6120 đổ từ 9h25. 135 dừng từ 8h35-12h40. Tắc chuyền 3h30</t>
  </si>
  <si>
    <t>20h40 mới chạy đổ. Tắc chuyền từ 4h45 - 5h15</t>
  </si>
  <si>
    <t>Tắc HT : 11h8-13h33 , 16h15 -18h.</t>
  </si>
  <si>
    <t>Tắc HT từ : 19h-19h45 , 4h30-4h55,  6h10-6h25</t>
  </si>
  <si>
    <t>Thiếu ngăn rau : 9h-13h, 16-17h</t>
  </si>
  <si>
    <t>Thiếu ngăn rau : 21h10-21h45 , 22h40 - 23h10</t>
  </si>
  <si>
    <t>Tắc HT 7h28-7h56 , 12h40-13h</t>
  </si>
  <si>
    <t>Tắc HT 6h25-6h45</t>
  </si>
  <si>
    <t>Hết khay rau 10.6 từ 19h40-20h20</t>
  </si>
  <si>
    <t>Dừng chuyền nội địa. Tăng cường HT 4, PU cánh 7, đánh giá 13</t>
  </si>
  <si>
    <t>Hết 135, 120 từ 8h5. Tủ 6147 dừng từ 7h20-10h45. Tủ 10.6 dừng từ 13h50-14h10</t>
  </si>
  <si>
    <t>4-10C/3-125/1-152/1-U147</t>
  </si>
  <si>
    <t>Từ 12h20 hết dần tủ. 10.6 dừng từ 5h20</t>
  </si>
  <si>
    <t>Tắc HT : 7h-7h32, 7h558h22,h9h20-10h18</t>
  </si>
  <si>
    <t>Vắng 7CN +11 SV</t>
  </si>
  <si>
    <t>Vắng 5CN+5SV</t>
  </si>
  <si>
    <t>U147 đổ từ 7h20-13h. T120 đổ từ 9h10. Dừng đổ 1 khuôn 10.6 từ 10h-13h20, 18h05-19h. 152 đổ từ 15h40.</t>
  </si>
  <si>
    <t>Dừng đổ từ 19h-22h để xử lý tủ lỗi phòi PU. U147 bắt đầy đổ từ 4h.Do thiếu người PU thân và SPU, dừng đổ 3 khuôn 125+1 khuôn 152</t>
  </si>
  <si>
    <t>Làm tủ hạ cấp từ 12h40-16h40 (11 người). 13h-16h cắt 20 người sang tủ đông</t>
  </si>
  <si>
    <t>không đủ người để chạy chuyền, vừa làm vừa chuẩn bị</t>
  </si>
  <si>
    <t>Từ 15-17h sản xuất bên chuyền tủ đông (sản lượng chưa tính số tủ nhỏ làm được)</t>
  </si>
  <si>
    <t>Dừng chuyền, sang hoàn thiện Rework từ 19h45-21h</t>
  </si>
  <si>
    <t>Hỏng chuyền 9h27-9h48. Tắc HT 17h15-17h36</t>
  </si>
  <si>
    <t>Tắc HT : 19h20-19h45, 20h10-20h25, 20h45-20h57, 1h30-2h, 2h20-2h45, 5h48-6h25</t>
  </si>
  <si>
    <t>Hỏng chuyền từ 19-19h30</t>
  </si>
  <si>
    <t>Tủ 10.6 xuất hiện tình trạng vỡ TG dưới (thay 8 cái)</t>
  </si>
  <si>
    <t>Sửa 1 khuôn 10.6 từ 9h-19h. 125 đổ từ 9h20. 152 đổ từ 13h. 17h50 dừng đổ do hỏng máy. Hỏng xe đón tủ từ 9h-9h40</t>
  </si>
  <si>
    <t>Sửa máy từ 19h-20h</t>
  </si>
  <si>
    <t>Tắc HT : 7h37-7h54, 17h30-17h52,18h15-18h45</t>
  </si>
  <si>
    <t>Tắc HT : 7h20-7h40, 8h-8h21. Thiếu cánh 6147 từ 11h-11h30. Cánh nội địa quá bẩn thường xuyên phải dừng để vệ sinh</t>
  </si>
  <si>
    <t>Lỗi khe hở tay khóa cánh + vệ sinh PU từ 19h-19h40. Đóng tủ sửa chữa 1h30-3h30 (65 tủ)</t>
  </si>
  <si>
    <t>Tôn sườn 10.6 xước=120 tấm. Tăng cường đánh giá 4SV từ 13h30</t>
  </si>
  <si>
    <t>Xước sườn dừng chuyền 20-20h30. Sườn 10.6 xước nhiều mất thời gian lọc</t>
  </si>
  <si>
    <t>Tắc SPU 18h20-19h</t>
  </si>
  <si>
    <t>4-10C/3-125/1-152/1-U106</t>
  </si>
  <si>
    <t>Tắc SPU từ 19h-20h35. Thay khuôn U147-U106</t>
  </si>
  <si>
    <t>Tắc HT : 7h34-7h48, 10h53-11h09, 17h15-17h51</t>
  </si>
  <si>
    <t>Tắc HT :19h-20h5, 5h30-5h45, 6h5-6h35</t>
  </si>
  <si>
    <t>Sườn 10.6 lỗi nhiều từ 8h30-11h30 làm gián đoạn sản xuất</t>
  </si>
  <si>
    <t>Lỗi vòi bơm 3 gông Đức 15h10-16h. 125 đổ từ 9h30. Dừng đổ khuôn 4 từ 8h20-10h30. Dừng khuôn 2</t>
  </si>
  <si>
    <t>Dừng 5h-6h40 chỉnh sửa khuôn số 2</t>
  </si>
  <si>
    <t>Tắc HT: 7h23-8h4, 10h31-10h54, 17h28-17h49</t>
  </si>
  <si>
    <t>Tắc HT: 19h25-19h55. Hết cánh 20h30-21h, 2h30-2h55</t>
  </si>
  <si>
    <t>6147 đổ từ 12h40. U106 dừng đổ từ 13h-15h20. Tắc SPU 2h40. Dán lại 4 khuôn 10.6 chống xước =10 phút</t>
  </si>
  <si>
    <t>Bắt đầu đổ từ 20h25. Tắc SPU : 03h30-4h, 5h20-6h</t>
  </si>
  <si>
    <t>Tắc PTK : 16h20-17h23, 17h54-18h45</t>
  </si>
  <si>
    <t>Tắc HT : 7h-7h30. Hết cánh 2h40-3h30, 4h40-5h</t>
  </si>
  <si>
    <t>Xử lý 52 tủ rework</t>
  </si>
  <si>
    <t>Tủ 10.6 lỗi đỉnh tủ, dừng xử lý thay đỉnh 8h40-15h</t>
  </si>
  <si>
    <t>Tắc SPU 4h20. Dừng đổ 10.6 từ 8h30-13h25</t>
  </si>
  <si>
    <t>Tắc SPU, bắt đầu đổ từ 20h15. Dừng 1 khuôn 10.6 từ 3h-5h</t>
  </si>
  <si>
    <t>Tắc PTK : 7h28-8h7, 8h43-10h31, 13h-13h29, 14h19-14h38, 15h21-16h11, 17h51-18h20</t>
  </si>
  <si>
    <t>Thiếu nhân sự. Tắc HT 19h-19h55. Xử lý lỗi tay khóa cánh 20h50-21h30</t>
  </si>
  <si>
    <t>Lỗi rạn đỉnh tủ, lỗi tay khóa cánh, dừng chuyền 8h-10h30. Tắc chuyền, xử lý tủ Rework =45 tủ</t>
  </si>
  <si>
    <t>Đóng tử sửa chữa từ 4h30-6h45 =70 tủ</t>
  </si>
  <si>
    <t>Tắc chuyền 2h10/ngày. Dừng 2 khuôn 10.6 từ 16-17h để chỉnh sửa</t>
  </si>
  <si>
    <t>Sản xuất nội địa từ 22h10-23h30</t>
  </si>
  <si>
    <t>Dừng từ 7h-8h do nhiệt độ hóa chất cao. Tắc chuyền =1h30p. Dừng đổ U106 từ 13-15h do không có cánh.</t>
  </si>
  <si>
    <t>U106 chạy từ 2h30 do không có cánh lắp. Tắc chuyền =3h10</t>
  </si>
  <si>
    <t>Tắc HT : 8h20-8h40, 18h-18h27. Lỗi máy rò gas+điện chuyền 7h-7h40</t>
  </si>
  <si>
    <t>Tắc HT : 19h13-19h31, 22h28-22h54</t>
  </si>
  <si>
    <t>Dừng chuyền xử lý lỗi sơn dính tem Block 9h45-10h30, 11h-11h40</t>
  </si>
  <si>
    <t>13h50 dừng chuyền nội địa đi rework tủ tại tổ hoàn thiện</t>
  </si>
  <si>
    <t>Tắc chuyền 2h15p</t>
  </si>
  <si>
    <t>Hết 6147 từ 2h. Tắc chuyền 2h20p</t>
  </si>
  <si>
    <t>Tắc HT : 9h25-9h45, 17h30-17h50</t>
  </si>
  <si>
    <t>Tắc HT : 20h35-20h56, 21h24-21h45</t>
  </si>
  <si>
    <t>11h20 dừng chuỳen xuất khẩu tăng cường các tổ</t>
  </si>
  <si>
    <t>Ca đêm luân phiên sản xuất tủ xuất khẩu/nội địa. Hết lòng trong 6147</t>
  </si>
  <si>
    <r>
      <rPr>
        <b/>
        <sz val="11"/>
        <color rgb="FFFF0000"/>
        <rFont val="Calibri"/>
      </rPr>
      <t>2-10C</t>
    </r>
    <r>
      <rPr>
        <sz val="11"/>
        <color rgb="FF000000"/>
        <rFont val="Calibri"/>
      </rPr>
      <t>/3-125/1-152/1-U106/</t>
    </r>
    <r>
      <rPr>
        <b/>
        <sz val="11"/>
        <color rgb="FFFF0000"/>
        <rFont val="Calibri"/>
      </rPr>
      <t>1-132/1-6280</t>
    </r>
  </si>
  <si>
    <t>Thay 2-10.6 =&gt;1-132+1-280 từu 16h-19h. Dừng chỉnh khuôn 6147 =1h</t>
  </si>
  <si>
    <r>
      <rPr>
        <b/>
        <sz val="11"/>
        <color rgb="FFFF0000"/>
        <rFont val="Calibri"/>
      </rPr>
      <t>3-10C</t>
    </r>
    <r>
      <rPr>
        <sz val="11"/>
        <color rgb="FF000000"/>
        <rFont val="Calibri"/>
      </rPr>
      <t>/</t>
    </r>
    <r>
      <rPr>
        <b/>
        <sz val="11"/>
        <color rgb="FFFF0000"/>
        <rFont val="Calibri"/>
      </rPr>
      <t>2-125</t>
    </r>
    <r>
      <rPr>
        <sz val="11"/>
        <color rgb="FF000000"/>
        <rFont val="Calibri"/>
      </rPr>
      <t>/1-152/1-U106/1-132/1-6280</t>
    </r>
  </si>
  <si>
    <t>Hết từ 10.6, dừng 2 khuôn. Thay 125=&gt;10.6 từ 5h-7h. Chỉnh sửa khuôn 6280 từ 4h-5h.</t>
  </si>
  <si>
    <t>Tắc HT : 7h-7h25. Dừng chuyền cho HT bốc tủ xử lý lên 9h43-9h54, 15h40-16h15</t>
  </si>
  <si>
    <t>Tắc HT : 19h10-19h50, 20h32-21h</t>
  </si>
  <si>
    <t>TLR tăng cường 4 CN từ 13h-19h. Đưa tủ sửa chữa lên chuyền =45 tủ từ 10h30-11h30</t>
  </si>
  <si>
    <t>3-10C/2-125/1-152/1-U106/1-132/1-6280</t>
  </si>
  <si>
    <t>Tăng cường 8 SV rework tủ 10.6 từ 2h-4h</t>
  </si>
  <si>
    <r>
      <rPr>
        <b/>
        <sz val="11"/>
        <color rgb="FFFF0000"/>
        <rFont val="Calibri"/>
      </rPr>
      <t>4-10C</t>
    </r>
    <r>
      <rPr>
        <sz val="11"/>
        <color rgb="FF000000"/>
        <rFont val="Calibri"/>
      </rPr>
      <t>/2-125/</t>
    </r>
    <r>
      <rPr>
        <b/>
        <sz val="11"/>
        <color rgb="FFFF0000"/>
        <rFont val="Calibri"/>
      </rPr>
      <t>2-132</t>
    </r>
    <r>
      <rPr>
        <sz val="11"/>
        <color rgb="FF000000"/>
        <rFont val="Calibri"/>
      </rPr>
      <t>/1-6280</t>
    </r>
  </si>
  <si>
    <t>Thay U106 =&gt;10.6 từ 11h-1h. Thay 152=&gt;132 từ 15h30-17h30. Khuôn số 10.6 số 6 lỗi nhiệt</t>
  </si>
  <si>
    <t>Dán lại khuôn 10.6 từ 19h30-20h15, đợi nhiệt tới 21h30. Dừng khuôn 1 (132) từ 23h do lỗi nhăn góc ngăn đá. Hết tủ 6280=2h. Hết 125=2h. Khuôn số 5 (10.6) lỗi khe hở to, dừng đổ từ 2h. Tắc chuyền SPU =2h</t>
  </si>
  <si>
    <t>Từ 7-9h vừa làm vừa đợi cánh (125-106)</t>
  </si>
  <si>
    <t>Tắc HT : 19h18-19h57. Hết cánh 1h-1h30, 5h27-5h52</t>
  </si>
  <si>
    <t>Đóng tủ sửa chưa =95 tủ từ 10h-11h, 13h30-14h25, 16h-17h</t>
  </si>
  <si>
    <t>4-6h đóng tủ sửa chưa, dừng chuyền xử lý tủ mát lỗi nhựa lòng trong 3h30-4h</t>
  </si>
  <si>
    <t>2 khuôn 125 dừng từ 8h-9h chờ Dhck xử lý lòng trong mỏng nhựa. Tủ 132 chạy từ 9h20-16h+17h30-19h</t>
  </si>
  <si>
    <t>Hết 132 từ 2h30. Hêt 6280 từ 1h30</t>
  </si>
  <si>
    <t>Tắc HT : 10h25-10h45, 11h20-11h35, 13h15-13h30, 14h15-14h34. Hết khay hứng nước tủ mát 18h25-18h45</t>
  </si>
  <si>
    <t>Tắc HT 19h6-19h37. Không cánh 22h10-22h32</t>
  </si>
  <si>
    <t>Đóng tủ sửa chữa 5h-7h</t>
  </si>
  <si>
    <t>Tắc chuyền SPU =1h20p. Tủ 132 chạy từ 8h45, tủ D280 chayj từ 11h</t>
  </si>
  <si>
    <t>Tắc SPU 19h20 mới chạy. 125 hết từ 1h, T6126 hết từ 2h. S6280 hết từ 2h</t>
  </si>
  <si>
    <t>Đóng tủ sửa chữa 15h30-16h30</t>
  </si>
  <si>
    <t>Hết lòng trong tủ mát 6242</t>
  </si>
  <si>
    <r>
      <rPr>
        <sz val="11"/>
        <color rgb="FF000000"/>
        <rFont val="Calibri"/>
      </rPr>
      <t>4-10C/2-125/</t>
    </r>
    <r>
      <rPr>
        <b/>
        <sz val="11"/>
        <color rgb="FFFF0000"/>
        <rFont val="Calibri"/>
      </rPr>
      <t>2-132</t>
    </r>
    <r>
      <rPr>
        <sz val="11"/>
        <color rgb="FF000000"/>
        <rFont val="Calibri"/>
      </rPr>
      <t>/1-6280</t>
    </r>
  </si>
  <si>
    <t>Thay khuôn 132=&gt;U208 từ 7h-9h, 132=&gt;S6242 từ 9h-11h30. Chỉnh sửa khuôn U208 đến 16h40</t>
  </si>
  <si>
    <r>
      <rPr>
        <sz val="11"/>
        <color rgb="FF000000"/>
        <rFont val="Calibri"/>
      </rPr>
      <t>4-10C/2-125/1-6280/</t>
    </r>
    <r>
      <rPr>
        <b/>
        <sz val="11"/>
        <color rgb="FFFF0000"/>
        <rFont val="Calibri"/>
      </rPr>
      <t>1-U208/1-6242</t>
    </r>
  </si>
  <si>
    <t>Tắc SPU =1h30. Hết Poly =1h30. Tủ nội địa làm từ 3h, chỉnh khuôn S6242 từ 19h-19h40</t>
  </si>
  <si>
    <t>Đảo cánh 9h2-9h37. Hết cánh 16h4-16h31, 17h20-17h38</t>
  </si>
  <si>
    <t>Hết cánh, dừng đảo cánh 19h19h55. Lỗi tủ điện từ 21h-21h27</t>
  </si>
  <si>
    <t>Dừng chuyền 21h-22h do lỗi khay rau 10.6</t>
  </si>
  <si>
    <r>
      <rPr>
        <sz val="11"/>
        <color rgb="FF000000"/>
        <rFont val="Calibri"/>
      </rPr>
      <t>4-10C/2-125/</t>
    </r>
    <r>
      <rPr>
        <b/>
        <sz val="11"/>
        <color rgb="FFFF0000"/>
        <rFont val="Calibri"/>
      </rPr>
      <t>1-6280</t>
    </r>
    <r>
      <rPr>
        <sz val="11"/>
        <color rgb="FF000000"/>
        <rFont val="Calibri"/>
      </rPr>
      <t>/1-U208/</t>
    </r>
    <r>
      <rPr>
        <b/>
        <sz val="11"/>
        <color rgb="FFFF0000"/>
        <rFont val="Calibri"/>
      </rPr>
      <t>1-6242</t>
    </r>
  </si>
  <si>
    <t>Tắc SPU 50p. Tồn 2 tủ S6242 chưa đổ do đã hạ khuôn</t>
  </si>
  <si>
    <r>
      <rPr>
        <sz val="11"/>
        <color rgb="FF000000"/>
        <rFont val="Calibri"/>
      </rPr>
      <t>4-10C/2-125/1-U208/</t>
    </r>
    <r>
      <rPr>
        <b/>
        <sz val="11"/>
        <color rgb="FFFF0000"/>
        <rFont val="Calibri"/>
      </rPr>
      <t>2-U147</t>
    </r>
  </si>
  <si>
    <t>Thay 6280=&gt;U147 từ . 6242=&gt;U147 từ . Tắc SPU =1h10</t>
  </si>
  <si>
    <t>Hết cánh : 9h34-9h52, 10h10-10h27, 11h12-11h31, 17h16-17h35, 18h6-18h27</t>
  </si>
  <si>
    <t>Lệnh sản xuất tủ mát+TDD nhiều khuôn khó đẩy sản lượng</t>
  </si>
  <si>
    <t>Đóng tủ sửa chưa 01h30-2h35 =30 tủ</t>
  </si>
  <si>
    <t>13h dừng sản xuất 1 line, cắt người tăng cường rework. Sản xuất tủ 10.6 từ 7h-16h30 chuyển sản line nội địa</t>
  </si>
  <si>
    <r>
      <rPr>
        <sz val="11"/>
        <color rgb="FF000000"/>
        <rFont val="Calibri"/>
      </rPr>
      <t>4-10C/2-125/</t>
    </r>
    <r>
      <rPr>
        <b/>
        <sz val="11"/>
        <color rgb="FFFF0000"/>
        <rFont val="Calibri"/>
      </rPr>
      <t>1-U208</t>
    </r>
    <r>
      <rPr>
        <sz val="11"/>
        <color rgb="FF000000"/>
        <rFont val="Calibri"/>
      </rPr>
      <t>/2-U147</t>
    </r>
  </si>
  <si>
    <t>1CN +1SV dán ngăn đá tủ 135 từ 5h30-6h45</t>
  </si>
  <si>
    <r>
      <rPr>
        <sz val="11"/>
        <color rgb="FF000000"/>
        <rFont val="Calibri"/>
      </rPr>
      <t>4-10C/2-125/</t>
    </r>
    <r>
      <rPr>
        <b/>
        <sz val="11"/>
        <color rgb="FFFF0000"/>
        <rFont val="Calibri"/>
      </rPr>
      <t>1-159</t>
    </r>
    <r>
      <rPr>
        <sz val="11"/>
        <color rgb="FF000000"/>
        <rFont val="Calibri"/>
      </rPr>
      <t>/2-U147</t>
    </r>
  </si>
  <si>
    <t>Thay khuôn U208=&gt;6159 từ 14h-16h. Dừng đổ U147 từ 8h-9h20. Dừng đổ U208 từ 9h do hết lệnh. Dừng 1 khuôn 125 từ 9-11h, 1h30-2h20</t>
  </si>
  <si>
    <r>
      <rPr>
        <sz val="11"/>
        <color rgb="FF000000"/>
        <rFont val="Calibri"/>
      </rPr>
      <t>4-10C/2-125/1-159/</t>
    </r>
    <r>
      <rPr>
        <b/>
        <sz val="11"/>
        <color rgb="FFFF0000"/>
        <rFont val="Calibri"/>
      </rPr>
      <t>1-U147/1-135</t>
    </r>
  </si>
  <si>
    <t>Khuôn 10.6 (số 3) dừng từ 20-22h do tuột chốt hãm gông. Thay U147=&gt;135 từ 3h-5h</t>
  </si>
  <si>
    <t>Tắc HT 9h2-9h27. Hết cánh: 15h10-15h26, 15h34-15h51</t>
  </si>
  <si>
    <t>Thiếu cánh+đảo cánh 20h40-21h40</t>
  </si>
  <si>
    <t>U147 chạy từ 7h30. 125 chạy từ 8h30. 6159 chạy từ 14h30. 135 chạy từ 14h40. 6159 dừng từ 17h10-18h</t>
  </si>
  <si>
    <t>Dừng 1 số khuôn nội địa do hết tủ</t>
  </si>
  <si>
    <t>Không cánh : 13h44-14h7, 14h12-14h31, 14h38-14h54, 15h10-15h26, 17h21-17h42</t>
  </si>
  <si>
    <t>Đóng tủ sửa chữa 20h20-21h30 =32 tủ</t>
  </si>
  <si>
    <t>14h dừng line nội địa do hết (dây điện+lòng trong). không cso lòng trong 135</t>
  </si>
  <si>
    <t>4-10C/2-125/1-159/1-U147/1-135</t>
  </si>
  <si>
    <t>125 đổ từ 10h10. khuôn 125(9) hỏng từ 10h15-15h30. U147 đổ từ 13h. Khuôn 8 dừng từ 13h10-14h10. Dừng khuôn 1-3-5-6-8 từ 15h30 hết tủ 286. Khuôn 9 dừng từ 16h10-17h15. U147 dừng từ 15h30-17h25</t>
  </si>
  <si>
    <r>
      <rPr>
        <sz val="11"/>
        <color rgb="FF000000"/>
        <rFont val="Calibri"/>
      </rPr>
      <t>4-10C/2-125/</t>
    </r>
    <r>
      <rPr>
        <b/>
        <sz val="11"/>
        <color rgb="FFFF0000"/>
        <rFont val="Calibri"/>
      </rPr>
      <t>1-185/2-135</t>
    </r>
  </si>
  <si>
    <t>Thay 6159=&gt;6185 từ 20h30-21h40. Thay U147=&gt;135 từ 5h-6h45</t>
  </si>
  <si>
    <t>Không có cánh : 7h38-8h6, 11h4-11h22, 17h16-17h36</t>
  </si>
  <si>
    <t>Hết cánh 286 : 20h10-20h30, 4h15-4h30</t>
  </si>
  <si>
    <t>Đóng tủ sửa chữa 17h-19h = 28 tủ</t>
  </si>
  <si>
    <t>Lòng trong 135 có từ 13h-15h30 rồi lại hết</t>
  </si>
  <si>
    <t>Lòng trong 10.6 cấp chậm. 6h10 dừng sản xuất vệ sinh chuyền, dọn dẹp kiểm kê</t>
  </si>
  <si>
    <t>4-10C/2-125/1-185/2-135</t>
  </si>
  <si>
    <t>T6185 đổ từ 7h50. 125 đổ từ 9h40. 135 đổ từ 14h30. Dừng khuôn 10.6 (6) từ 11h-16h30. Dừng K3-5 tủ 10.6 từ 15h50-16h30</t>
  </si>
  <si>
    <r>
      <rPr>
        <sz val="11"/>
        <color rgb="FF000000"/>
        <rFont val="Calibri"/>
      </rPr>
      <t>4-10C/2-125/</t>
    </r>
    <r>
      <rPr>
        <b/>
        <sz val="11"/>
        <color rgb="FFFF0000"/>
        <rFont val="Calibri"/>
      </rPr>
      <t>1-147/</t>
    </r>
    <r>
      <rPr>
        <sz val="11"/>
        <color rgb="FF000000"/>
        <rFont val="Calibri"/>
      </rPr>
      <t>2-135</t>
    </r>
  </si>
  <si>
    <t>Khuôn 10.6 dừng 22h40 đến 23h58. Thay 6185 =&gt; 6147 từ 4h10-5h20</t>
  </si>
  <si>
    <t>Không cánh 9h-9h25, 12h40-13h, 13h20-13h30</t>
  </si>
  <si>
    <t>Hết cánh 10.6: 1h-1h15, 1h22-1h40, 2h5-2h20, 2h30-2h45</t>
  </si>
  <si>
    <t>16h30-18h đóng tủ sửa chữa</t>
  </si>
  <si>
    <t>không có lòng trong 10.6 =2h</t>
  </si>
  <si>
    <t>Dừng 1 chuyền do không có lòng trong 10.36</t>
  </si>
  <si>
    <t>Gông 3 (10.6) lỗi móp lòng trong ngăn đá từ 22h-7h). Tủ 6147 đổ từ 19h-4h. Tủ 120 đổ từ 19h-1h30</t>
  </si>
  <si>
    <t>Lỗi máy nạp gas 7h-10h. Không có cánh 10.6 : 10h20-10h35, 11h-11h25</t>
  </si>
  <si>
    <t>19h-20h30 làm tủ hạ cấp. Hỏng máy nạp gas : 4h15-5h15, 6h-6h24</t>
  </si>
  <si>
    <t>TLR tăng cường 5 người. Hết bao bì tủ hạ cấp</t>
  </si>
  <si>
    <t>1h-3h hết tủ lên làm tủ đông (sản lượng đã nhập sang tủ đông)</t>
  </si>
  <si>
    <t>14h45 dừng line sản xuất tủ nội địa, cắt nhân sự tăng cường cho các tổ</t>
  </si>
  <si>
    <t>Tủ 6147 đổ từ 19h-22h, sau 22h chỉ đổ 4 khuôn 10.6</t>
  </si>
  <si>
    <t>Không cánh : 1h10-1h32, 3h42-4h5, 4h22-4h43</t>
  </si>
  <si>
    <t>Làm tủ sửa chưa từ 4h45-9h=32 tủ. Hết bao bì tủ hạ cấp hạ đất =37 tủ</t>
  </si>
  <si>
    <t>14h về 1CN, 17h về 2 CN</t>
  </si>
  <si>
    <t>Lỗi xe vận chuyển tủ mất tọa độ 13h10-14h10</t>
  </si>
  <si>
    <t>Lỗi xe vận chuyển tủ mất tọa độ từ 2h30-3h15. Tủ 135-6147-3120 đổ từ 19h-21h</t>
  </si>
  <si>
    <t>Thiếu cánh 10.6 : 7h10-7h35, 9h20-9h50,10h15-10h30, 13h17-13h40. Cắt 1 người xử lý tủ 10.6 từu 13h-17h. Chỉnh sửa khuôn 8 (10.6) từ 21h-22h</t>
  </si>
  <si>
    <t>Không cánh 1h10-1h32, 3h42-4h5, 4h22-4h43</t>
  </si>
  <si>
    <t>Dừng line nội địa, cắt người tăng cường các tổ</t>
  </si>
  <si>
    <t>4-10C/2-125/1-147/2-135</t>
  </si>
  <si>
    <t>TLR chỉ làm 1 line, dừng đổ 4 khuôn</t>
  </si>
  <si>
    <r>
      <rPr>
        <sz val="11"/>
        <color rgb="FF000000"/>
        <rFont val="Calibri"/>
      </rPr>
      <t>4-10C/2-125/1-147</t>
    </r>
    <r>
      <rPr>
        <b/>
        <sz val="11"/>
        <color rgb="FFFF0000"/>
        <rFont val="Calibri"/>
      </rPr>
      <t>/1-135/1-U147</t>
    </r>
  </si>
  <si>
    <t>Tủ 6147 đổ từ 19h-3h. 6120 đổ từ 19h-20h30. Thay khuôn 135=&gt;U147 từ 5h30-7h</t>
  </si>
  <si>
    <t>7-9h không cánh 10.6, dọn dẹp sửa tủ lỗi. 9h-11h40 cắt 21 người đánh giá, 12 người chuẩn bị vật tư. Hết cánh 10.6 từ 14h40-15h20</t>
  </si>
  <si>
    <t>Lỗi PTK không ra được chuyền từ 17h30</t>
  </si>
  <si>
    <t>DEMAND HOUR - UPPH</t>
  </si>
  <si>
    <t>THÁNG</t>
  </si>
  <si>
    <t>(10)=
(11)-(6)-(7)</t>
  </si>
  <si>
    <t>(11)=(5)-(4)</t>
  </si>
  <si>
    <t>(12)=(10)*(3)</t>
  </si>
  <si>
    <t>(13)=(11)*(3)</t>
  </si>
  <si>
    <t>16=(12)/(14)</t>
  </si>
  <si>
    <t xml:space="preserve"> 17=(13)/(14) </t>
  </si>
  <si>
    <t>18=1/(17)</t>
  </si>
  <si>
    <t>NGÀY SX</t>
  </si>
  <si>
    <t>TỔ SX</t>
  </si>
  <si>
    <t>NHÂN LỰC</t>
  </si>
  <si>
    <t>BẮT ĐẦU</t>
  </si>
  <si>
    <t>KẾT THÚC</t>
  </si>
  <si>
    <t>TỔNG GIỜ NGHỈ+ĂN TRƯA+ĂN CHIỀU+5S</t>
  </si>
  <si>
    <t>GIỜ ANDON</t>
  </si>
  <si>
    <t>GIỜ C.O</t>
  </si>
  <si>
    <t>GIỜ CALL</t>
  </si>
  <si>
    <t>GIỜ SX</t>
  </si>
  <si>
    <t>GIỜ CÓ MẶT TẠI NM</t>
  </si>
  <si>
    <t>GIỜ CÔNG THEO GIỜ SẢN XUẤT</t>
  </si>
  <si>
    <t>GIỜ CÔNG THEO GIỜ CÓ MẶT</t>
  </si>
  <si>
    <t>SẢN LƯỢNG OK(tính theo HT)</t>
  </si>
  <si>
    <t>GIỜ CÔNG CÓ ÍCH/SẢN PHẨM</t>
  </si>
  <si>
    <t>TỔNG GIỜ CÔNG/SẢN PHẨM</t>
  </si>
  <si>
    <t>DCTL</t>
  </si>
  <si>
    <t>PUcanh</t>
  </si>
  <si>
    <t>646</t>
  </si>
  <si>
    <t>690</t>
  </si>
  <si>
    <t>51</t>
  </si>
  <si>
    <t>71</t>
  </si>
  <si>
    <t>91</t>
  </si>
  <si>
    <t>135</t>
  </si>
  <si>
    <t>195</t>
  </si>
  <si>
    <t>DayChuyen</t>
  </si>
  <si>
    <t>PU_CANH</t>
  </si>
  <si>
    <t>DCTD</t>
  </si>
  <si>
    <t>AppendAdon.Adon</t>
  </si>
  <si>
    <t>AppendAdon.Call</t>
  </si>
  <si>
    <t>AppendAdon.CO</t>
  </si>
  <si>
    <t>AppenNhanLuc.TongNhanLuc</t>
  </si>
  <si>
    <t>AppenNhanLuc.TongSL</t>
  </si>
  <si>
    <t>AppenNhanLuc.TongGioNghi</t>
  </si>
  <si>
    <t>NewGio.BatDau</t>
  </si>
  <si>
    <t>NewGio.KetThuc</t>
  </si>
  <si>
    <t>Giờ có mặt tại NM</t>
  </si>
  <si>
    <t>GIỜ CÔNG THEO GIỜ SX</t>
  </si>
  <si>
    <t>TỔNG GIỜ CÔNG / SẢN PHẨM</t>
  </si>
  <si>
    <t>GioNghiNumber</t>
  </si>
  <si>
    <t>AdonNumber</t>
  </si>
  <si>
    <t>Month</t>
  </si>
  <si>
    <t>DÂY CHUYỀN</t>
  </si>
  <si>
    <t>TỔNG GIỜ NGHỈ + ĂN TRƯA+ĂN CHIỀU+5S</t>
  </si>
  <si>
    <t>SẢN LƯỢNG OK (tính theo HT)</t>
  </si>
  <si>
    <t>Grand Total</t>
  </si>
  <si>
    <t>Row Labels</t>
  </si>
  <si>
    <t>Sum of NHÂN LỰC</t>
  </si>
  <si>
    <t>Sum of SẢN LƯỢNG OK (tính theo HT)</t>
  </si>
  <si>
    <t>Sum of Time1</t>
  </si>
  <si>
    <t>BIỂU ĐỒ SO SÁNH TỔNG SẢN LƯỢNG - NHÂN LỰC - THỜI GIAN SẢN XUẤT  ĐỐI CHIẾU CÁC TỔ SẢN XUẤT TRONG DÂY CHUYỀN THEO CÁC NGÀY TRONG 1 THÁNG. ĐI KÈM SLICER LỌC HIỂN THỊ THEO THÁNG</t>
  </si>
  <si>
    <t>Tất cả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</si>
</sst>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10000]d/m/yy;@"/>
    <numFmt numFmtId="165" formatCode="0.000"/>
    <numFmt numFmtId="166" formatCode="[$-1000000]h:mm;@"/>
    <numFmt numFmtId="167" formatCode="0.0"/>
    <numFmt numFmtId="168" formatCode="d\.hh:mm:ss"/>
  </numFmts>
  <fonts count="21" x14ac:knownFonts="1">
    <font>
      <sz val="11"/>
      <color theme="1"/>
      <name val="Calibri"/>
      <family val="2"/>
      <scheme val="minor"/>
    </font>
    <font>
      <sz val="11"/>
      <color theme="1"/>
      <name val="Calibri"/>
      <family val="2"/>
      <charset val="163"/>
      <scheme val="minor"/>
    </font>
    <font>
      <b/>
      <sz val="11"/>
      <color theme="1"/>
      <name val="Calibri"/>
      <family val="2"/>
      <scheme val="minor"/>
    </font>
    <font>
      <b/>
      <sz val="36"/>
      <color theme="1"/>
      <name val="Times New Roman"/>
      <family val="2"/>
    </font>
    <font>
      <b/>
      <sz val="15"/>
      <color theme="1"/>
      <name val="Times New Roman"/>
      <family val="2"/>
    </font>
    <font>
      <sz val="11"/>
      <color rgb="FF000000"/>
      <name val="Times New Roman"/>
      <family val="1"/>
    </font>
    <font>
      <b/>
      <sz val="12"/>
      <color rgb="FF000000"/>
      <name val="Times New Roman"/>
      <family val="1"/>
    </font>
    <font>
      <b/>
      <sz val="10"/>
      <color rgb="FF000000"/>
      <name val="Times New Roman"/>
      <family val="1"/>
    </font>
    <font>
      <b/>
      <sz val="14"/>
      <color rgb="FF000000"/>
      <name val="Times New Roman"/>
      <family val="1"/>
    </font>
    <font>
      <sz val="11"/>
      <color rgb="FF0000FF"/>
      <name val="Times New Roman"/>
      <family val="1"/>
    </font>
    <font>
      <sz val="12"/>
      <color rgb="FF000000"/>
      <name val="Times New Roman"/>
      <family val="1"/>
    </font>
    <font>
      <b/>
      <sz val="11"/>
      <color rgb="FF0000FF"/>
      <name val="Times New Roman"/>
      <family val="1"/>
    </font>
    <font>
      <sz val="13"/>
      <color theme="1"/>
      <name val="Times New Roman"/>
      <family val="2"/>
    </font>
    <font>
      <b/>
      <sz val="11"/>
      <color rgb="FF000000"/>
      <name val="Calibri"/>
      <family val="2"/>
      <scheme val="minor"/>
    </font>
    <font>
      <sz val="11"/>
      <color rgb="FF000000"/>
      <name val="Calibri"/>
      <family val="2"/>
    </font>
    <font>
      <b/>
      <sz val="36"/>
      <color rgb="FF000000"/>
      <name val="Times New Roman"/>
      <family val="1"/>
    </font>
    <font>
      <sz val="11"/>
      <color rgb="FF000000"/>
      <name val="Calibri"/>
    </font>
    <font>
      <sz val="11"/>
      <color rgb="FF000000"/>
      <name val="Calibri"/>
      <charset val="1"/>
    </font>
    <font>
      <b/>
      <sz val="11"/>
      <color rgb="FFFF0000"/>
      <name val="Calibri"/>
    </font>
    <font>
      <sz val="9"/>
      <color rgb="FF000000"/>
      <name val="Times New Roman"/>
      <family val="1"/>
    </font>
    <font>
      <sz val="8"/>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AD47"/>
        <bgColor rgb="FF000000"/>
      </patternFill>
    </fill>
    <fill>
      <patternFill patternType="solid">
        <fgColor rgb="FFFFFF00"/>
        <bgColor rgb="FF000000"/>
      </patternFill>
    </fill>
    <fill>
      <patternFill patternType="solid">
        <fgColor rgb="FFED7D31"/>
        <bgColor rgb="FF000000"/>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0" tint="-0.14999847407452621"/>
        <bgColor indexed="64"/>
      </patternFill>
    </fill>
  </fills>
  <borders count="24">
    <border>
      <left/>
      <right/>
      <top/>
      <bottom/>
      <diagonal/>
    </border>
    <border>
      <left/>
      <right style="thin">
        <color indexed="64"/>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ck">
        <color rgb="FF000000"/>
      </left>
      <right style="thin">
        <color indexed="64"/>
      </right>
      <top style="medium">
        <color rgb="FF000000"/>
      </top>
      <bottom/>
      <diagonal/>
    </border>
    <border>
      <left style="thick">
        <color rgb="FF000000"/>
      </left>
      <right style="thin">
        <color rgb="FF000000"/>
      </right>
      <top style="thin">
        <color rgb="FF000000"/>
      </top>
      <bottom/>
      <diagonal/>
    </border>
    <border>
      <left style="thick">
        <color rgb="FF000000"/>
      </left>
      <right/>
      <top style="thin">
        <color rgb="FF000000"/>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ck">
        <color rgb="FF000000"/>
      </right>
      <top style="medium">
        <color rgb="FF000000"/>
      </top>
      <bottom/>
      <diagonal/>
    </border>
    <border>
      <left style="thin">
        <color indexed="64"/>
      </left>
      <right style="thin">
        <color indexed="64"/>
      </right>
      <top style="thin">
        <color indexed="64"/>
      </top>
      <bottom/>
      <diagonal/>
    </border>
    <border>
      <left/>
      <right/>
      <top/>
      <bottom style="thin">
        <color rgb="FF000000"/>
      </bottom>
      <diagonal/>
    </border>
    <border>
      <left/>
      <right style="thick">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 fillId="0" borderId="0"/>
  </cellStyleXfs>
  <cellXfs count="105">
    <xf numFmtId="0" fontId="0" fillId="0" borderId="0" xfId="0"/>
    <xf numFmtId="16" fontId="0" fillId="0" borderId="0" xfId="0" applyNumberFormat="1" applyAlignment="1">
      <alignment horizontal="left"/>
    </xf>
    <xf numFmtId="0" fontId="4" fillId="0" borderId="0" xfId="0" applyFont="1" applyAlignment="1">
      <alignment horizontal="center" vertical="center"/>
    </xf>
    <xf numFmtId="0" fontId="5" fillId="0" borderId="0" xfId="0" applyFont="1"/>
    <xf numFmtId="166" fontId="9" fillId="0" borderId="3" xfId="0" applyNumberFormat="1" applyFont="1" applyBorder="1" applyAlignment="1">
      <alignment horizontal="center" vertical="center" wrapText="1"/>
    </xf>
    <xf numFmtId="2" fontId="9" fillId="0" borderId="3" xfId="0" applyNumberFormat="1" applyFont="1" applyBorder="1" applyAlignment="1">
      <alignment horizontal="center" vertical="center" wrapText="1"/>
    </xf>
    <xf numFmtId="1" fontId="10" fillId="0" borderId="3" xfId="0" applyNumberFormat="1" applyFont="1" applyBorder="1" applyAlignment="1">
      <alignment horizontal="center" vertical="center"/>
    </xf>
    <xf numFmtId="165" fontId="11" fillId="0" borderId="3" xfId="0" applyNumberFormat="1" applyFont="1" applyBorder="1" applyAlignment="1">
      <alignment horizontal="center" vertical="center" wrapText="1"/>
    </xf>
    <xf numFmtId="0" fontId="3" fillId="0" borderId="0" xfId="0" applyFont="1" applyAlignment="1">
      <alignment horizontal="center" vertical="center"/>
    </xf>
    <xf numFmtId="0" fontId="7" fillId="4" borderId="2" xfId="0" applyFont="1" applyFill="1" applyBorder="1" applyAlignment="1">
      <alignment horizontal="center" vertical="center" wrapText="1"/>
    </xf>
    <xf numFmtId="0" fontId="8" fillId="7" borderId="10" xfId="0" applyFont="1" applyFill="1" applyBorder="1" applyAlignment="1">
      <alignment vertical="center"/>
    </xf>
    <xf numFmtId="0" fontId="6" fillId="0" borderId="0" xfId="0" applyFont="1" applyAlignment="1">
      <alignment vertical="center"/>
    </xf>
    <xf numFmtId="0" fontId="4" fillId="3" borderId="4" xfId="0" applyFont="1" applyFill="1" applyBorder="1" applyAlignment="1">
      <alignment horizontal="center" vertical="center"/>
    </xf>
    <xf numFmtId="0" fontId="7" fillId="6" borderId="12"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Alignment="1">
      <alignment horizontal="left" vertical="center"/>
    </xf>
    <xf numFmtId="165" fontId="0" fillId="8" borderId="4" xfId="0" applyNumberFormat="1" applyFill="1" applyBorder="1" applyAlignment="1">
      <alignment horizontal="center" vertical="center"/>
    </xf>
    <xf numFmtId="0" fontId="0" fillId="0" borderId="0" xfId="0" applyAlignment="1">
      <alignment horizontal="center" vertical="center"/>
    </xf>
    <xf numFmtId="0" fontId="0" fillId="8" borderId="4" xfId="0" applyFill="1" applyBorder="1" applyAlignment="1">
      <alignment horizontal="left" vertical="center"/>
    </xf>
    <xf numFmtId="0" fontId="14" fillId="0" borderId="4" xfId="0" applyFont="1" applyBorder="1" applyAlignment="1">
      <alignment horizontal="left" vertical="center"/>
    </xf>
    <xf numFmtId="0" fontId="13" fillId="3" borderId="4" xfId="0" applyFont="1" applyFill="1" applyBorder="1" applyAlignment="1">
      <alignment horizontal="center" vertical="center"/>
    </xf>
    <xf numFmtId="0" fontId="0" fillId="8" borderId="4" xfId="0" applyFill="1" applyBorder="1" applyAlignment="1">
      <alignment horizontal="center" vertical="center"/>
    </xf>
    <xf numFmtId="0" fontId="2" fillId="8" borderId="4" xfId="0" applyFont="1" applyFill="1" applyBorder="1" applyAlignment="1">
      <alignment horizontal="center" vertical="center"/>
    </xf>
    <xf numFmtId="166" fontId="0" fillId="8" borderId="4" xfId="0" applyNumberFormat="1" applyFill="1" applyBorder="1" applyAlignment="1">
      <alignment horizontal="center" vertical="center"/>
    </xf>
    <xf numFmtId="2" fontId="0" fillId="8" borderId="4" xfId="0" applyNumberFormat="1" applyFill="1" applyBorder="1" applyAlignment="1">
      <alignment horizontal="center" vertical="center"/>
    </xf>
    <xf numFmtId="167" fontId="0" fillId="8" borderId="4" xfId="0" applyNumberFormat="1" applyFill="1" applyBorder="1" applyAlignment="1">
      <alignment horizontal="center" vertical="center"/>
    </xf>
    <xf numFmtId="0" fontId="0" fillId="2" borderId="15" xfId="0" applyFill="1" applyBorder="1" applyAlignment="1">
      <alignment horizontal="center" vertical="center"/>
    </xf>
    <xf numFmtId="1" fontId="0" fillId="2" borderId="15" xfId="0" applyNumberFormat="1" applyFill="1" applyBorder="1" applyAlignment="1">
      <alignment horizontal="center" vertical="center"/>
    </xf>
    <xf numFmtId="167" fontId="0" fillId="2" borderId="15" xfId="0" applyNumberFormat="1" applyFill="1" applyBorder="1" applyAlignment="1">
      <alignment horizontal="center" vertical="center"/>
    </xf>
    <xf numFmtId="165" fontId="0" fillId="2" borderId="2" xfId="0" applyNumberFormat="1" applyFill="1" applyBorder="1" applyAlignment="1">
      <alignment horizontal="center" vertical="center"/>
    </xf>
    <xf numFmtId="0" fontId="0" fillId="0" borderId="4" xfId="0" applyBorder="1"/>
    <xf numFmtId="0" fontId="2" fillId="0" borderId="4" xfId="0" applyFont="1" applyBorder="1" applyAlignment="1">
      <alignment horizontal="center" vertical="center"/>
    </xf>
    <xf numFmtId="0" fontId="2" fillId="0" borderId="0" xfId="0" applyFont="1"/>
    <xf numFmtId="0" fontId="0" fillId="0" borderId="0" xfId="0" applyAlignment="1">
      <alignment horizontal="center"/>
    </xf>
    <xf numFmtId="0" fontId="0" fillId="0" borderId="4" xfId="0" applyBorder="1" applyAlignment="1">
      <alignment horizontal="center"/>
    </xf>
    <xf numFmtId="165" fontId="0" fillId="0" borderId="0" xfId="0" applyNumberFormat="1" applyAlignment="1">
      <alignment horizontal="center" vertical="center"/>
    </xf>
    <xf numFmtId="0" fontId="0" fillId="8" borderId="5" xfId="0" applyFill="1" applyBorder="1" applyAlignment="1">
      <alignment horizontal="left" vertical="center"/>
    </xf>
    <xf numFmtId="0" fontId="8" fillId="10" borderId="9" xfId="0" applyFont="1" applyFill="1" applyBorder="1" applyAlignment="1">
      <alignment vertical="center"/>
    </xf>
    <xf numFmtId="165" fontId="0" fillId="8" borderId="5" xfId="0" applyNumberFormat="1" applyFill="1"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vertical="center"/>
    </xf>
    <xf numFmtId="0" fontId="15" fillId="0" borderId="0" xfId="0" applyFont="1"/>
    <xf numFmtId="0" fontId="7" fillId="4" borderId="8"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6" fillId="10" borderId="6" xfId="0" applyFont="1" applyFill="1" applyBorder="1" applyAlignment="1">
      <alignment vertical="center"/>
    </xf>
    <xf numFmtId="165" fontId="6" fillId="10" borderId="4" xfId="0" applyNumberFormat="1" applyFont="1" applyFill="1" applyBorder="1" applyAlignment="1">
      <alignment horizontal="center" vertical="center"/>
    </xf>
    <xf numFmtId="0" fontId="6" fillId="7" borderId="11" xfId="0" applyFont="1" applyFill="1" applyBorder="1" applyAlignment="1">
      <alignment vertical="center"/>
    </xf>
    <xf numFmtId="165" fontId="6" fillId="7" borderId="4" xfId="0" applyNumberFormat="1" applyFont="1" applyFill="1" applyBorder="1" applyAlignment="1">
      <alignment horizontal="center" vertical="center" wrapText="1"/>
    </xf>
    <xf numFmtId="166" fontId="5" fillId="0" borderId="3" xfId="0" applyNumberFormat="1" applyFont="1" applyBorder="1" applyAlignment="1">
      <alignment horizontal="center" vertical="center"/>
    </xf>
    <xf numFmtId="0" fontId="16" fillId="0" borderId="4" xfId="0" applyFont="1" applyBorder="1"/>
    <xf numFmtId="0" fontId="17" fillId="0" borderId="0" xfId="0" applyFont="1"/>
    <xf numFmtId="167" fontId="6" fillId="10" borderId="4" xfId="0" applyNumberFormat="1" applyFont="1" applyFill="1" applyBorder="1" applyAlignment="1">
      <alignment horizontal="center" vertical="center"/>
    </xf>
    <xf numFmtId="1" fontId="6" fillId="10" borderId="4" xfId="0" applyNumberFormat="1" applyFont="1" applyFill="1" applyBorder="1" applyAlignment="1">
      <alignment horizontal="center" vertical="center"/>
    </xf>
    <xf numFmtId="2" fontId="6" fillId="7" borderId="4" xfId="0" applyNumberFormat="1" applyFont="1" applyFill="1" applyBorder="1" applyAlignment="1">
      <alignment horizontal="center" vertical="center"/>
    </xf>
    <xf numFmtId="1" fontId="6" fillId="7" borderId="4" xfId="0" applyNumberFormat="1" applyFont="1" applyFill="1" applyBorder="1" applyAlignment="1">
      <alignment horizontal="center" vertical="center"/>
    </xf>
    <xf numFmtId="165" fontId="6" fillId="10" borderId="17" xfId="0" applyNumberFormat="1" applyFont="1" applyFill="1" applyBorder="1" applyAlignment="1">
      <alignment horizontal="center" vertical="center" wrapText="1"/>
    </xf>
    <xf numFmtId="165" fontId="6" fillId="7" borderId="17" xfId="0" applyNumberFormat="1" applyFont="1" applyFill="1" applyBorder="1" applyAlignment="1">
      <alignment horizontal="center" vertical="center" wrapText="1"/>
    </xf>
    <xf numFmtId="0" fontId="7" fillId="6" borderId="2" xfId="0" applyFont="1" applyFill="1" applyBorder="1" applyAlignment="1">
      <alignment horizontal="center" vertical="center" wrapText="1"/>
    </xf>
    <xf numFmtId="0" fontId="0" fillId="7" borderId="4" xfId="0" applyFill="1" applyBorder="1"/>
    <xf numFmtId="0" fontId="0" fillId="3" borderId="15" xfId="0" applyFill="1" applyBorder="1" applyAlignment="1">
      <alignment horizontal="center" vertical="center"/>
    </xf>
    <xf numFmtId="0" fontId="19" fillId="0" borderId="7"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13" xfId="0" applyFont="1" applyBorder="1" applyAlignment="1">
      <alignment horizontal="center" vertical="center"/>
    </xf>
    <xf numFmtId="0" fontId="19" fillId="0" borderId="14" xfId="0" applyFont="1" applyBorder="1" applyAlignment="1">
      <alignment horizontal="center" vertical="center"/>
    </xf>
    <xf numFmtId="166" fontId="5" fillId="0" borderId="19" xfId="0" applyNumberFormat="1" applyFont="1" applyBorder="1" applyAlignment="1">
      <alignment horizontal="center" vertical="center"/>
    </xf>
    <xf numFmtId="0" fontId="6" fillId="7" borderId="6" xfId="0" applyFont="1" applyFill="1" applyBorder="1" applyAlignment="1">
      <alignment vertical="center"/>
    </xf>
    <xf numFmtId="1" fontId="5" fillId="0" borderId="18" xfId="0" applyNumberFormat="1" applyFont="1" applyBorder="1" applyAlignment="1">
      <alignment horizontal="center" vertical="center"/>
    </xf>
    <xf numFmtId="0" fontId="0" fillId="0" borderId="18" xfId="0" applyBorder="1" applyAlignment="1">
      <alignment horizontal="center"/>
    </xf>
    <xf numFmtId="164" fontId="2" fillId="9" borderId="5" xfId="0" applyNumberFormat="1" applyFont="1" applyFill="1" applyBorder="1" applyAlignment="1">
      <alignment horizontal="center" vertical="center"/>
    </xf>
    <xf numFmtId="164" fontId="2" fillId="0" borderId="5" xfId="0" applyNumberFormat="1" applyFont="1" applyBorder="1" applyAlignment="1">
      <alignment horizontal="center" vertical="center"/>
    </xf>
    <xf numFmtId="164" fontId="2" fillId="11" borderId="5" xfId="0" applyNumberFormat="1" applyFont="1" applyFill="1" applyBorder="1" applyAlignment="1">
      <alignment horizontal="center" vertical="center"/>
    </xf>
    <xf numFmtId="164" fontId="13" fillId="9" borderId="5" xfId="0" applyNumberFormat="1" applyFont="1" applyFill="1" applyBorder="1" applyAlignment="1">
      <alignment horizontal="center" vertical="center"/>
    </xf>
    <xf numFmtId="164" fontId="13" fillId="0" borderId="5" xfId="0" applyNumberFormat="1" applyFont="1" applyBorder="1" applyAlignment="1">
      <alignment horizontal="center" vertical="center"/>
    </xf>
    <xf numFmtId="0" fontId="5" fillId="0" borderId="18" xfId="0" applyFont="1" applyBorder="1" applyAlignment="1">
      <alignment horizontal="center" vertical="center"/>
    </xf>
    <xf numFmtId="0" fontId="13" fillId="3" borderId="20" xfId="0" applyFont="1" applyFill="1" applyBorder="1" applyAlignment="1">
      <alignment horizontal="center" vertical="center"/>
    </xf>
    <xf numFmtId="164" fontId="2" fillId="9" borderId="20" xfId="0" applyNumberFormat="1" applyFont="1" applyFill="1" applyBorder="1" applyAlignment="1">
      <alignment horizontal="center" vertical="center"/>
    </xf>
    <xf numFmtId="164" fontId="2" fillId="0" borderId="20" xfId="0" applyNumberFormat="1" applyFont="1" applyBorder="1" applyAlignment="1">
      <alignment horizontal="center" vertical="center"/>
    </xf>
    <xf numFmtId="0" fontId="0" fillId="0" borderId="5" xfId="0" applyBorder="1"/>
    <xf numFmtId="0" fontId="13" fillId="3" borderId="19"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21" xfId="0" applyFont="1" applyFill="1" applyBorder="1" applyAlignment="1">
      <alignment horizontal="center" vertical="center"/>
    </xf>
    <xf numFmtId="164" fontId="2" fillId="0" borderId="22" xfId="0" applyNumberFormat="1" applyFont="1" applyBorder="1" applyAlignment="1">
      <alignment horizontal="center" vertical="center"/>
    </xf>
    <xf numFmtId="0" fontId="0" fillId="8" borderId="2" xfId="0" applyFill="1" applyBorder="1" applyAlignment="1">
      <alignment horizontal="center" vertical="center"/>
    </xf>
    <xf numFmtId="0" fontId="0" fillId="8" borderId="2" xfId="0" applyFill="1" applyBorder="1" applyAlignment="1">
      <alignment horizontal="left" vertical="center"/>
    </xf>
    <xf numFmtId="0" fontId="0" fillId="0" borderId="2" xfId="0" applyBorder="1" applyAlignment="1">
      <alignment horizontal="center" vertical="center"/>
    </xf>
    <xf numFmtId="0" fontId="2" fillId="8" borderId="2" xfId="0" applyFont="1" applyFill="1" applyBorder="1" applyAlignment="1">
      <alignment horizontal="center" vertical="center"/>
    </xf>
    <xf numFmtId="0" fontId="2" fillId="0" borderId="2" xfId="0" applyFont="1" applyBorder="1" applyAlignment="1">
      <alignment horizontal="center" vertical="center"/>
    </xf>
    <xf numFmtId="166" fontId="0" fillId="8" borderId="2" xfId="0" applyNumberFormat="1" applyFill="1" applyBorder="1" applyAlignment="1">
      <alignment horizontal="center" vertical="center"/>
    </xf>
    <xf numFmtId="2" fontId="0" fillId="8" borderId="2" xfId="0" applyNumberFormat="1" applyFill="1" applyBorder="1" applyAlignment="1">
      <alignment horizontal="center" vertical="center"/>
    </xf>
    <xf numFmtId="167" fontId="0" fillId="8" borderId="2" xfId="0" applyNumberFormat="1" applyFill="1" applyBorder="1" applyAlignment="1">
      <alignment horizontal="center" vertical="center"/>
    </xf>
    <xf numFmtId="165" fontId="0" fillId="8" borderId="2" xfId="0" applyNumberFormat="1" applyFill="1" applyBorder="1" applyAlignment="1">
      <alignment horizontal="center" vertical="center"/>
    </xf>
    <xf numFmtId="0" fontId="0" fillId="0" borderId="2" xfId="0" applyBorder="1"/>
    <xf numFmtId="0" fontId="0" fillId="0" borderId="23" xfId="0" applyBorder="1"/>
    <xf numFmtId="164" fontId="2" fillId="11" borderId="20" xfId="0" applyNumberFormat="1" applyFont="1" applyFill="1" applyBorder="1" applyAlignment="1">
      <alignment horizontal="center" vertical="center"/>
    </xf>
    <xf numFmtId="0" fontId="13" fillId="2" borderId="3" xfId="0" applyFont="1" applyFill="1" applyBorder="1" applyAlignment="1">
      <alignment horizontal="center" vertical="center"/>
    </xf>
    <xf numFmtId="164" fontId="13" fillId="9" borderId="20" xfId="0" applyNumberFormat="1" applyFont="1" applyFill="1" applyBorder="1" applyAlignment="1">
      <alignment horizontal="center" vertical="center"/>
    </xf>
    <xf numFmtId="164" fontId="13" fillId="0" borderId="20" xfId="0" applyNumberFormat="1" applyFont="1" applyBorder="1" applyAlignment="1">
      <alignment horizontal="center" vertical="center"/>
    </xf>
    <xf numFmtId="14" fontId="0" fillId="0" borderId="0" xfId="0" applyNumberFormat="1"/>
    <xf numFmtId="168" fontId="0" fillId="0" borderId="0" xfId="0" applyNumberFormat="1"/>
    <xf numFmtId="22" fontId="0" fillId="0" borderId="0" xfId="0" applyNumberFormat="1"/>
    <xf numFmtId="0" fontId="0" fillId="0" borderId="0" xfId="0" pivotButton="1"/>
    <xf numFmtId="14" fontId="0" fillId="0" borderId="0" xfId="0" applyNumberFormat="1" applyAlignment="1">
      <alignment horizontal="left"/>
    </xf>
    <xf numFmtId="0" fontId="0" fillId="0" borderId="0" xfId="0" applyNumberFormat="1"/>
  </cellXfs>
  <cellStyles count="2">
    <cellStyle name="Normal" xfId="0" builtinId="0"/>
    <cellStyle name="Normal 2" xfId="1" xr:uid="{A952A1CD-12F9-4168-972E-05307C524072}"/>
  </cellStyles>
  <dxfs count="155">
    <dxf>
      <font>
        <color theme="0"/>
      </font>
      <fill>
        <patternFill patternType="solid">
          <bgColor theme="2" tint="-0.499984740745262"/>
        </patternFill>
      </fill>
    </dxf>
    <dxf>
      <numFmt numFmtId="27" formatCode="m/d/yyyy\ h:mm"/>
    </dxf>
    <dxf>
      <numFmt numFmtId="27" formatCode="m/d/yyyy\ h:mm"/>
    </dxf>
    <dxf>
      <numFmt numFmtId="168" formatCode="d\.hh:mm:ss"/>
    </dxf>
    <dxf>
      <numFmt numFmtId="168" formatCode="d\.hh:mm:ss"/>
    </dxf>
    <dxf>
      <numFmt numFmtId="168" formatCode="d\.hh:mm:ss"/>
    </dxf>
    <dxf>
      <numFmt numFmtId="168" formatCode="d\.hh:mm:ss"/>
    </dxf>
    <dxf>
      <numFmt numFmtId="0" formatCode="General"/>
    </dxf>
    <dxf>
      <numFmt numFmtId="19" formatCode="m/d/yyyy"/>
    </dxf>
    <dxf>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0.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numFmt numFmtId="165" formatCode="0.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 formatCode="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minor"/>
      </font>
      <numFmt numFmtId="164" formatCode="[$-1010000]d/m/yy;@"/>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i val="0"/>
        <strike val="0"/>
        <condense val="0"/>
        <extend val="0"/>
        <outline val="0"/>
        <shadow val="0"/>
        <u val="none"/>
        <vertAlign val="baseline"/>
        <sz val="11"/>
        <color rgb="FF00000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165" formatCode="0.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 formatCode="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numFmt numFmtId="164" formatCode="[$-1010000]d/m/yy;@"/>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rgb="FF00000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0.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0.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7" formatCode="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 formatCode="0.0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6" formatCode="[$-1000000]h:mm;@"/>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numFmt numFmtId="164" formatCode="[$-1010000]d/m/yy;@"/>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rgb="FF00000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168" formatCode="d\.hh:mm:ss"/>
    </dxf>
    <dxf>
      <numFmt numFmtId="168" formatCode="d\.hh:mm:ss"/>
    </dxf>
    <dxf>
      <numFmt numFmtId="168" formatCode="d\.hh:mm:ss"/>
    </dxf>
    <dxf>
      <numFmt numFmtId="168" formatCode="d\.hh:mm:ss"/>
    </dxf>
    <dxf>
      <numFmt numFmtId="27" formatCode="m/d/yyyy\ h:mm"/>
    </dxf>
    <dxf>
      <numFmt numFmtId="27" formatCode="m/d/yyyy\ h:mm"/>
    </dxf>
    <dxf>
      <numFmt numFmtId="0" formatCode="General"/>
    </dxf>
    <dxf>
      <numFmt numFmtId="19" formatCode="m/d/yyyy"/>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[HoangTuanKha_TEST.2.xlsx]Biểu đồ !PivotTable1</c:name>
    <c:fmtId val="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square"/>
          <c:size val="13"/>
          <c:spPr>
            <a:solidFill>
              <a:srgbClr val="00B05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42676272884749E-2"/>
          <c:y val="0.33222591362126247"/>
          <c:w val="0.91820800220683385"/>
          <c:h val="0.61739128539165167"/>
        </c:manualLayout>
      </c:layout>
      <c:barChart>
        <c:barDir val="col"/>
        <c:grouping val="clustered"/>
        <c:varyColors val="0"/>
        <c:ser>
          <c:idx val="0"/>
          <c:order val="0"/>
          <c:tx>
            <c:strRef>
              <c:f>'Biểu đồ '!$B$4</c:f>
              <c:strCache>
                <c:ptCount val="1"/>
                <c:pt idx="0">
                  <c:v>Sum of NHÂN LỰC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'!$A$5:$A$10</c:f>
              <c:strCache>
                <c:ptCount val="5"/>
                <c:pt idx="0">
                  <c:v>2/1/2026</c:v>
                </c:pt>
                <c:pt idx="1">
                  <c:v>2/2/2026</c:v>
                </c:pt>
                <c:pt idx="2">
                  <c:v>2/3/2026</c:v>
                </c:pt>
                <c:pt idx="3">
                  <c:v>2/4/2026</c:v>
                </c:pt>
                <c:pt idx="4">
                  <c:v>2/5/2026</c:v>
                </c:pt>
              </c:strCache>
            </c:strRef>
          </c:cat>
          <c:val>
            <c:numRef>
              <c:f>'Biểu đồ '!$B$5:$B$10</c:f>
              <c:numCache>
                <c:formatCode>General</c:formatCode>
                <c:ptCount val="5"/>
                <c:pt idx="0">
                  <c:v>139</c:v>
                </c:pt>
                <c:pt idx="1">
                  <c:v>327</c:v>
                </c:pt>
                <c:pt idx="2">
                  <c:v>364</c:v>
                </c:pt>
                <c:pt idx="3">
                  <c:v>357</c:v>
                </c:pt>
                <c:pt idx="4">
                  <c:v>324</c:v>
                </c:pt>
              </c:numCache>
            </c:numRef>
          </c:val>
          <c:extLst>
            <c:ext xmlns:c16="http://schemas.microsoft.com/office/drawing/2014/chart" uri="{C3380CC4-5D6E-409C-BE32-E72D297353CC}">
              <c16:uniqueId val="{00000000-1096-467C-BA5A-3D58E8D90362}"/>
            </c:ext>
          </c:extLst>
        </c:ser>
        <c:ser>
          <c:idx val="1"/>
          <c:order val="1"/>
          <c:tx>
            <c:strRef>
              <c:f>'Biểu đồ '!$C$4</c:f>
              <c:strCache>
                <c:ptCount val="1"/>
                <c:pt idx="0">
                  <c:v>Sum of SẢN LƯỢNG OK (tính theo HT)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'!$A$5:$A$10</c:f>
              <c:strCache>
                <c:ptCount val="5"/>
                <c:pt idx="0">
                  <c:v>2/1/2026</c:v>
                </c:pt>
                <c:pt idx="1">
                  <c:v>2/2/2026</c:v>
                </c:pt>
                <c:pt idx="2">
                  <c:v>2/3/2026</c:v>
                </c:pt>
                <c:pt idx="3">
                  <c:v>2/4/2026</c:v>
                </c:pt>
                <c:pt idx="4">
                  <c:v>2/5/2026</c:v>
                </c:pt>
              </c:strCache>
            </c:strRef>
          </c:cat>
          <c:val>
            <c:numRef>
              <c:f>'Biểu đồ '!$C$5:$C$10</c:f>
              <c:numCache>
                <c:formatCode>General</c:formatCode>
                <c:ptCount val="5"/>
                <c:pt idx="0">
                  <c:v>1783</c:v>
                </c:pt>
                <c:pt idx="1">
                  <c:v>5607</c:v>
                </c:pt>
                <c:pt idx="2">
                  <c:v>6295</c:v>
                </c:pt>
                <c:pt idx="3">
                  <c:v>6991</c:v>
                </c:pt>
                <c:pt idx="4">
                  <c:v>6217</c:v>
                </c:pt>
              </c:numCache>
            </c:numRef>
          </c:val>
          <c:extLst>
            <c:ext xmlns:c16="http://schemas.microsoft.com/office/drawing/2014/chart" uri="{C3380CC4-5D6E-409C-BE32-E72D297353CC}">
              <c16:uniqueId val="{00000001-1096-467C-BA5A-3D58E8D90362}"/>
            </c:ext>
          </c:extLst>
        </c:ser>
        <c:dLbls>
          <c:showLegendKey val="0"/>
          <c:showVal val="0"/>
          <c:showCatName val="0"/>
          <c:showSerName val="0"/>
          <c:showPercent val="0"/>
          <c:showBubbleSize val="0"/>
        </c:dLbls>
        <c:gapWidth val="219"/>
        <c:overlap val="-27"/>
        <c:axId val="1091514848"/>
        <c:axId val="52494511"/>
      </c:barChart>
      <c:lineChart>
        <c:grouping val="standard"/>
        <c:varyColors val="0"/>
        <c:ser>
          <c:idx val="2"/>
          <c:order val="2"/>
          <c:tx>
            <c:strRef>
              <c:f>'Biểu đồ '!$D$4</c:f>
              <c:strCache>
                <c:ptCount val="1"/>
                <c:pt idx="0">
                  <c:v>Sum of Time1</c:v>
                </c:pt>
              </c:strCache>
            </c:strRef>
          </c:tx>
          <c:spPr>
            <a:ln w="28575" cap="rnd">
              <a:solidFill>
                <a:srgbClr val="00B050"/>
              </a:solidFill>
              <a:round/>
            </a:ln>
            <a:effectLst/>
          </c:spPr>
          <c:marker>
            <c:symbol val="square"/>
            <c:size val="13"/>
            <c:spPr>
              <a:solidFill>
                <a:srgbClr val="00B05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'!$A$5:$A$10</c:f>
              <c:strCache>
                <c:ptCount val="5"/>
                <c:pt idx="0">
                  <c:v>2/1/2026</c:v>
                </c:pt>
                <c:pt idx="1">
                  <c:v>2/2/2026</c:v>
                </c:pt>
                <c:pt idx="2">
                  <c:v>2/3/2026</c:v>
                </c:pt>
                <c:pt idx="3">
                  <c:v>2/4/2026</c:v>
                </c:pt>
                <c:pt idx="4">
                  <c:v>2/5/2026</c:v>
                </c:pt>
              </c:strCache>
            </c:strRef>
          </c:cat>
          <c:val>
            <c:numRef>
              <c:f>'Biểu đồ '!$D$5:$D$10</c:f>
              <c:numCache>
                <c:formatCode>General</c:formatCode>
                <c:ptCount val="5"/>
                <c:pt idx="0">
                  <c:v>69</c:v>
                </c:pt>
                <c:pt idx="1">
                  <c:v>168</c:v>
                </c:pt>
                <c:pt idx="2">
                  <c:v>168</c:v>
                </c:pt>
                <c:pt idx="3">
                  <c:v>170</c:v>
                </c:pt>
                <c:pt idx="4">
                  <c:v>170</c:v>
                </c:pt>
              </c:numCache>
            </c:numRef>
          </c:val>
          <c:smooth val="1"/>
          <c:extLst>
            <c:ext xmlns:c16="http://schemas.microsoft.com/office/drawing/2014/chart" uri="{C3380CC4-5D6E-409C-BE32-E72D297353CC}">
              <c16:uniqueId val="{00000002-1096-467C-BA5A-3D58E8D90362}"/>
            </c:ext>
          </c:extLst>
        </c:ser>
        <c:dLbls>
          <c:showLegendKey val="0"/>
          <c:showVal val="0"/>
          <c:showCatName val="0"/>
          <c:showSerName val="0"/>
          <c:showPercent val="0"/>
          <c:showBubbleSize val="0"/>
        </c:dLbls>
        <c:marker val="1"/>
        <c:smooth val="0"/>
        <c:axId val="74266703"/>
        <c:axId val="74266223"/>
      </c:lineChart>
      <c:catAx>
        <c:axId val="1091514848"/>
        <c:scaling>
          <c:orientation val="minMax"/>
        </c:scaling>
        <c:delete val="0"/>
        <c:axPos val="b"/>
        <c:numFmt formatCode="General" sourceLinked="1"/>
        <c:majorTickMark val="cross"/>
        <c:minorTickMark val="none"/>
        <c:tickLblPos val="nextTo"/>
        <c:spPr>
          <a:noFill/>
          <a:ln w="12700" cap="flat" cmpd="sng" algn="ctr">
            <a:solidFill>
              <a:srgbClr val="00B0F0"/>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52494511"/>
        <c:crosses val="autoZero"/>
        <c:auto val="1"/>
        <c:lblAlgn val="ctr"/>
        <c:lblOffset val="100"/>
        <c:noMultiLvlLbl val="0"/>
      </c:catAx>
      <c:valAx>
        <c:axId val="5249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out"/>
        <c:tickLblPos val="nextTo"/>
        <c:spPr>
          <a:noFill/>
          <a:ln w="1270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14848"/>
        <c:crosses val="autoZero"/>
        <c:crossBetween val="between"/>
      </c:valAx>
      <c:valAx>
        <c:axId val="74266223"/>
        <c:scaling>
          <c:orientation val="minMax"/>
        </c:scaling>
        <c:delete val="0"/>
        <c:axPos val="r"/>
        <c:numFmt formatCode="General" sourceLinked="1"/>
        <c:majorTickMark val="out"/>
        <c:minorTickMark val="out"/>
        <c:tickLblPos val="nextTo"/>
        <c:spPr>
          <a:noFill/>
          <a:ln w="1270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6703"/>
        <c:crosses val="max"/>
        <c:crossBetween val="between"/>
      </c:valAx>
      <c:catAx>
        <c:axId val="74266703"/>
        <c:scaling>
          <c:orientation val="minMax"/>
        </c:scaling>
        <c:delete val="1"/>
        <c:axPos val="b"/>
        <c:numFmt formatCode="General" sourceLinked="1"/>
        <c:majorTickMark val="out"/>
        <c:minorTickMark val="none"/>
        <c:tickLblPos val="nextTo"/>
        <c:crossAx val="74266223"/>
        <c:crosses val="autoZero"/>
        <c:auto val="1"/>
        <c:lblAlgn val="ctr"/>
        <c:lblOffset val="100"/>
        <c:noMultiLvlLbl val="0"/>
      </c:catAx>
      <c:spPr>
        <a:noFill/>
        <a:ln>
          <a:noFill/>
        </a:ln>
        <a:effectLst/>
      </c:spPr>
    </c:plotArea>
    <c:legend>
      <c:legendPos val="t"/>
      <c:layout>
        <c:manualLayout>
          <c:xMode val="edge"/>
          <c:yMode val="edge"/>
          <c:x val="0.17759007877541166"/>
          <c:y val="9.6899224806201556E-2"/>
          <c:w val="0.48016812707008"/>
          <c:h val="4.671959609699950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359229</xdr:colOff>
      <xdr:row>0</xdr:row>
      <xdr:rowOff>185055</xdr:rowOff>
    </xdr:from>
    <xdr:to>
      <xdr:col>31</xdr:col>
      <xdr:colOff>555172</xdr:colOff>
      <xdr:row>3</xdr:row>
      <xdr:rowOff>32655</xdr:rowOff>
    </xdr:to>
    <xdr:sp macro="" textlink="">
      <xdr:nvSpPr>
        <xdr:cNvPr id="11" name="Rectangle: Rounded Corners 10">
          <a:extLst>
            <a:ext uri="{FF2B5EF4-FFF2-40B4-BE49-F238E27FC236}">
              <a16:creationId xmlns:a16="http://schemas.microsoft.com/office/drawing/2014/main" id="{123D38D8-69D7-0227-8C84-2A1C0472F89B}"/>
            </a:ext>
          </a:extLst>
        </xdr:cNvPr>
        <xdr:cNvSpPr/>
      </xdr:nvSpPr>
      <xdr:spPr>
        <a:xfrm>
          <a:off x="16818429" y="185055"/>
          <a:ext cx="2503714" cy="576943"/>
        </a:xfrm>
        <a:prstGeom prst="round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1874520</xdr:colOff>
      <xdr:row>1</xdr:row>
      <xdr:rowOff>114300</xdr:rowOff>
    </xdr:from>
    <xdr:ext cx="184731" cy="264560"/>
    <xdr:sp macro="" textlink="">
      <xdr:nvSpPr>
        <xdr:cNvPr id="8" name="TextBox 7">
          <a:extLst>
            <a:ext uri="{FF2B5EF4-FFF2-40B4-BE49-F238E27FC236}">
              <a16:creationId xmlns:a16="http://schemas.microsoft.com/office/drawing/2014/main" id="{7541521C-7AB5-909B-19EF-E3C0F37E860F}"/>
            </a:ext>
          </a:extLst>
        </xdr:cNvPr>
        <xdr:cNvSpPr txBox="1"/>
      </xdr:nvSpPr>
      <xdr:spPr>
        <a:xfrm>
          <a:off x="3878580" y="297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17145</xdr:colOff>
      <xdr:row>2</xdr:row>
      <xdr:rowOff>43815</xdr:rowOff>
    </xdr:from>
    <xdr:to>
      <xdr:col>8</xdr:col>
      <xdr:colOff>721995</xdr:colOff>
      <xdr:row>27</xdr:row>
      <xdr:rowOff>116205</xdr:rowOff>
    </xdr:to>
    <xdr:grpSp>
      <xdr:nvGrpSpPr>
        <xdr:cNvPr id="3" name="Group 2">
          <a:extLst>
            <a:ext uri="{FF2B5EF4-FFF2-40B4-BE49-F238E27FC236}">
              <a16:creationId xmlns:a16="http://schemas.microsoft.com/office/drawing/2014/main" id="{4694F76C-F385-76AE-9648-CD3EE229576A}"/>
            </a:ext>
          </a:extLst>
        </xdr:cNvPr>
        <xdr:cNvGrpSpPr/>
      </xdr:nvGrpSpPr>
      <xdr:grpSpPr>
        <a:xfrm>
          <a:off x="20955" y="407670"/>
          <a:ext cx="11378565" cy="4594860"/>
          <a:chOff x="66810" y="49546"/>
          <a:chExt cx="11346180" cy="4587240"/>
        </a:xfrm>
      </xdr:grpSpPr>
      <xdr:graphicFrame macro="">
        <xdr:nvGraphicFramePr>
          <xdr:cNvPr id="4" name="Chart 3">
            <a:extLst>
              <a:ext uri="{FF2B5EF4-FFF2-40B4-BE49-F238E27FC236}">
                <a16:creationId xmlns:a16="http://schemas.microsoft.com/office/drawing/2014/main" id="{7943C574-EFF3-8911-3389-A3FA720E7B95}"/>
              </a:ext>
            </a:extLst>
          </xdr:cNvPr>
          <xdr:cNvGraphicFramePr/>
        </xdr:nvGraphicFramePr>
        <xdr:xfrm>
          <a:off x="66810" y="49546"/>
          <a:ext cx="11346180" cy="458724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 name="Group 1">
            <a:extLst>
              <a:ext uri="{FF2B5EF4-FFF2-40B4-BE49-F238E27FC236}">
                <a16:creationId xmlns:a16="http://schemas.microsoft.com/office/drawing/2014/main" id="{AE96A74F-7619-3AA2-2FFD-66498175FB16}"/>
              </a:ext>
            </a:extLst>
          </xdr:cNvPr>
          <xdr:cNvGrpSpPr/>
        </xdr:nvGrpSpPr>
        <xdr:grpSpPr>
          <a:xfrm>
            <a:off x="91440" y="106679"/>
            <a:ext cx="11235690" cy="601981"/>
            <a:chOff x="91440" y="106679"/>
            <a:chExt cx="11235690" cy="601981"/>
          </a:xfrm>
        </xdr:grpSpPr>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DC5BA0CF-F219-FCD7-A3F5-1DBF4B0FFB5E}"/>
                    </a:ext>
                  </a:extLst>
                </xdr:cNvPr>
                <xdr:cNvGraphicFramePr>
                  <a:graphicFrameLocks/>
                </xdr:cNvGraphicFramePr>
              </xdr:nvGraphicFramePr>
              <xdr:xfrm>
                <a:off x="91440" y="106679"/>
                <a:ext cx="1188720" cy="576648"/>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469" y="464898"/>
                  <a:ext cx="1183132" cy="577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TỔ SX">
                  <a:extLst>
                    <a:ext uri="{FF2B5EF4-FFF2-40B4-BE49-F238E27FC236}">
                      <a16:creationId xmlns:a16="http://schemas.microsoft.com/office/drawing/2014/main" id="{7159C18E-0B7A-F2F6-6C6C-6799F312BF46}"/>
                    </a:ext>
                  </a:extLst>
                </xdr:cNvPr>
                <xdr:cNvGraphicFramePr/>
              </xdr:nvGraphicFramePr>
              <xdr:xfrm>
                <a:off x="7840980" y="114300"/>
                <a:ext cx="3486150" cy="594360"/>
              </xdr:xfrm>
              <a:graphic>
                <a:graphicData uri="http://schemas.microsoft.com/office/drawing/2010/slicer">
                  <sle:slicer xmlns:sle="http://schemas.microsoft.com/office/drawing/2010/slicer" name="TỔ SX"/>
                </a:graphicData>
              </a:graphic>
            </xdr:graphicFrame>
          </mc:Choice>
          <mc:Fallback xmlns="">
            <xdr:sp macro="" textlink="">
              <xdr:nvSpPr>
                <xdr:cNvPr id="0" name=""/>
                <xdr:cNvSpPr>
                  <a:spLocks noTextEdit="1"/>
                </xdr:cNvSpPr>
              </xdr:nvSpPr>
              <xdr:spPr>
                <a:xfrm>
                  <a:off x="7758577" y="472532"/>
                  <a:ext cx="3469761" cy="595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9" name="TextBox 8">
            <a:extLst>
              <a:ext uri="{FF2B5EF4-FFF2-40B4-BE49-F238E27FC236}">
                <a16:creationId xmlns:a16="http://schemas.microsoft.com/office/drawing/2014/main" id="{81C81226-6019-45D1-DCAC-B4A36FD957BF}"/>
              </a:ext>
            </a:extLst>
          </xdr:cNvPr>
          <xdr:cNvSpPr txBox="1"/>
        </xdr:nvSpPr>
        <xdr:spPr>
          <a:xfrm>
            <a:off x="4286011" y="120023"/>
            <a:ext cx="1559235" cy="251460"/>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SẢN</a:t>
            </a:r>
            <a:r>
              <a:rPr lang="en-US" sz="1100" b="1" baseline="0"/>
              <a:t> LƯỢNG/NGÀY/TỔ</a:t>
            </a:r>
            <a:endParaRPr lang="en-US" sz="11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 refreshedDate="46162.935675231478" createdVersion="8" refreshedVersion="8" minRefreshableVersion="3" recordCount="307" xr:uid="{01859444-C7A1-4772-899A-0CD90696DE76}">
  <cacheSource type="worksheet">
    <worksheetSource name="Finish"/>
  </cacheSource>
  <cacheFields count="20">
    <cacheField name="Month" numFmtId="0">
      <sharedItems containsSemiMixedTypes="0" containsString="0" containsNumber="1" containsInteger="1" minValue="1" maxValue="2" count="2">
        <n v="1"/>
        <n v="2"/>
      </sharedItems>
    </cacheField>
    <cacheField name="DÂY CHUYỀN" numFmtId="0">
      <sharedItems count="3">
        <s v="PU_CANH"/>
        <s v="DCTD"/>
        <s v="DCTL"/>
      </sharedItems>
    </cacheField>
    <cacheField name="NGÀY SX" numFmtId="14">
      <sharedItems containsSemiMixedTypes="0" containsNonDate="0" containsDate="1" containsString="0" minDate="2026-01-01T00:00:00" maxDate="2026-02-06T00:00:00" count="3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sharedItems>
    </cacheField>
    <cacheField name="TỔ SX" numFmtId="0">
      <sharedItems count="5">
        <s v="PUcanh"/>
        <s v="TLR"/>
        <s v="PU thân"/>
        <s v="SPU"/>
        <s v="HT"/>
      </sharedItems>
    </cacheField>
    <cacheField name="NHÂN LỰC" numFmtId="0">
      <sharedItems containsSemiMixedTypes="0" containsString="0" containsNumber="1" containsInteger="1" minValue="0" maxValue="95"/>
    </cacheField>
    <cacheField name="BẮT ĐẦU" numFmtId="22">
      <sharedItems containsSemiMixedTypes="0" containsNonDate="0" containsDate="1" containsString="0" minDate="2026-01-01T07:00:00" maxDate="2026-02-05T07:00:00"/>
    </cacheField>
    <cacheField name="KẾT THÚC" numFmtId="22">
      <sharedItems containsSemiMixedTypes="0" containsNonDate="0" containsDate="1" containsString="0" minDate="2026-01-01T19:00:00" maxDate="2026-02-06T07:00:00"/>
    </cacheField>
    <cacheField name="TỔNG GIỜ NGHỈ + ĂN TRƯA+ĂN CHIỀU+5S" numFmtId="168">
      <sharedItems containsSemiMixedTypes="0" containsNonDate="0" containsDate="1" containsString="0" minDate="1899-12-30T00:10:00" maxDate="1899-12-30T03:30:00"/>
    </cacheField>
    <cacheField name="GIỜ ANDON" numFmtId="168">
      <sharedItems containsNonDate="0" containsDate="1" containsString="0" containsBlank="1" minDate="1899-12-30T00:20:00" maxDate="1899-12-30T06:35:00"/>
    </cacheField>
    <cacheField name="GIỜ C.O" numFmtId="168">
      <sharedItems containsNonDate="0" containsDate="1" containsString="0" containsBlank="1" minDate="1899-12-30T00:30:00" maxDate="1899-12-30T07:30:00"/>
    </cacheField>
    <cacheField name="GIỜ CALL" numFmtId="168">
      <sharedItems containsNonDate="0" containsDate="1" containsString="0" containsBlank="1" minDate="1899-12-30T00:15:00" maxDate="1899-12-30T20:30:00"/>
    </cacheField>
    <cacheField name="GIỜ SX" numFmtId="0">
      <sharedItems containsSemiMixedTypes="0" containsString="0" containsNumber="1" minValue="2.8333333333333335" maxValue="20.5"/>
    </cacheField>
    <cacheField name="Giờ có mặt tại NM" numFmtId="0">
      <sharedItems containsSemiMixedTypes="0" containsString="0" containsNumber="1" containsInteger="1" minValue="3" maxValue="24"/>
    </cacheField>
    <cacheField name="GIỜ CÔNG THEO GIỜ SX" numFmtId="0">
      <sharedItems containsSemiMixedTypes="0" containsString="0" containsNumber="1" minValue="0" maxValue="1947.5"/>
    </cacheField>
    <cacheField name="GIỜ CÔNG THEO GIỜ CÓ MẶT" numFmtId="0">
      <sharedItems containsSemiMixedTypes="0" containsString="0" containsNumber="1" containsInteger="1" minValue="0" maxValue="2280"/>
    </cacheField>
    <cacheField name="SẢN LƯỢNG OK (tính theo HT)" numFmtId="0">
      <sharedItems containsSemiMixedTypes="0" containsString="0" containsNumber="1" containsInteger="1" minValue="15" maxValue="1721"/>
    </cacheField>
    <cacheField name="GIỜ CÔNG CÓ ÍCH/SẢN PHẨM" numFmtId="0">
      <sharedItems containsSemiMixedTypes="0" containsString="0" containsNumber="1" minValue="0" maxValue="2.5118577075098814"/>
    </cacheField>
    <cacheField name="TỔNG GIỜ CÔNG / SẢN PHẨM" numFmtId="0">
      <sharedItems containsSemiMixedTypes="0" containsString="0" containsNumber="1" minValue="0" maxValue="2.9407114624505928"/>
    </cacheField>
    <cacheField name="UPPH" numFmtId="0">
      <sharedItems containsMixedTypes="1" containsNumber="1" minValue="0.34005376344086025" maxValue="8.4666666666666668"/>
    </cacheField>
    <cacheField name="Time1" numFmtId="0">
      <sharedItems containsSemiMixedTypes="0" containsString="0" containsNumber="1" minValue="3" maxValue="24"/>
    </cacheField>
  </cacheFields>
  <extLst>
    <ext xmlns:x14="http://schemas.microsoft.com/office/spreadsheetml/2009/9/main" uri="{725AE2AE-9491-48be-B2B4-4EB974FC3084}">
      <x14:pivotCacheDefinition pivotCacheId="863816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x v="0"/>
    <x v="0"/>
    <x v="0"/>
    <x v="0"/>
    <n v="95"/>
    <d v="2026-01-01T07:00:00"/>
    <d v="2026-01-02T07:00:00"/>
    <d v="1899-12-30T03:30:00"/>
    <m/>
    <m/>
    <d v="1899-12-30T02:00:00"/>
    <n v="20.5"/>
    <n v="24"/>
    <n v="1947.5"/>
    <n v="2280"/>
    <n v="1531"/>
    <n v="1.2720444154147617"/>
    <n v="1.4892227302416721"/>
    <n v="0.67149122807017547"/>
    <n v="23.999999999999996"/>
  </r>
  <r>
    <x v="0"/>
    <x v="0"/>
    <x v="1"/>
    <x v="0"/>
    <n v="93"/>
    <d v="2026-01-02T07:00:00"/>
    <d v="2026-01-03T07:00:00"/>
    <d v="1899-12-30T03:30:00"/>
    <d v="1899-12-30T00:20:00"/>
    <d v="1899-12-30T00:45:00"/>
    <d v="1899-12-30T02:30:00"/>
    <n v="20.166666666666668"/>
    <n v="24"/>
    <n v="1875.5"/>
    <n v="2232"/>
    <n v="1403"/>
    <n v="1.3367783321454028"/>
    <n v="1.5908766928011404"/>
    <n v="0.62858422939068104"/>
    <n v="23.999999999999996"/>
  </r>
  <r>
    <x v="0"/>
    <x v="0"/>
    <x v="2"/>
    <x v="0"/>
    <n v="81"/>
    <d v="2026-01-03T07:00:00"/>
    <d v="2026-01-04T07:00:00"/>
    <d v="1899-12-30T03:30:00"/>
    <m/>
    <d v="1899-12-30T01:30:00"/>
    <d v="1899-12-30T10:45:00"/>
    <n v="20.5"/>
    <n v="24"/>
    <n v="1660.5"/>
    <n v="1944"/>
    <n v="1721"/>
    <n v="0.96484601975595585"/>
    <n v="1.1295758280069728"/>
    <n v="0.8852880658436213"/>
    <n v="23.999999999999996"/>
  </r>
  <r>
    <x v="0"/>
    <x v="0"/>
    <x v="3"/>
    <x v="0"/>
    <n v="73"/>
    <d v="2026-01-04T07:00:00"/>
    <d v="2026-01-05T07:00:00"/>
    <d v="1899-12-30T03:30:00"/>
    <d v="1899-12-30T01:20:00"/>
    <m/>
    <d v="1899-12-30T00:50:00"/>
    <n v="19.166666666666668"/>
    <n v="24"/>
    <n v="1399.1666666666667"/>
    <n v="1752"/>
    <n v="1167"/>
    <n v="1.1989431590974009"/>
    <n v="1.5012853470437018"/>
    <n v="0.66609589041095896"/>
    <n v="23.999999999999996"/>
  </r>
  <r>
    <x v="0"/>
    <x v="0"/>
    <x v="4"/>
    <x v="0"/>
    <n v="84"/>
    <d v="2026-01-05T07:00:00"/>
    <d v="2026-01-06T07:00:00"/>
    <d v="1899-12-30T03:30:00"/>
    <m/>
    <m/>
    <m/>
    <n v="20.5"/>
    <n v="24"/>
    <n v="1722"/>
    <n v="2016"/>
    <n v="1425"/>
    <n v="1.2084210526315788"/>
    <n v="1.4147368421052631"/>
    <n v="0.70684523809523814"/>
    <n v="23.999999999999996"/>
  </r>
  <r>
    <x v="0"/>
    <x v="0"/>
    <x v="5"/>
    <x v="0"/>
    <n v="88"/>
    <d v="2026-01-06T07:00:00"/>
    <d v="2026-01-07T07:00:00"/>
    <d v="1899-12-30T03:30:00"/>
    <m/>
    <d v="1899-12-30T02:10:00"/>
    <d v="1899-12-30T06:20:00"/>
    <n v="20.5"/>
    <n v="24"/>
    <n v="1804"/>
    <n v="2112"/>
    <n v="1387"/>
    <n v="1.300648882480173"/>
    <n v="1.5227108868060562"/>
    <n v="0.65672348484848486"/>
    <n v="23.999999999999996"/>
  </r>
  <r>
    <x v="0"/>
    <x v="0"/>
    <x v="6"/>
    <x v="0"/>
    <n v="90"/>
    <d v="2026-01-07T07:00:00"/>
    <d v="2026-01-08T07:00:00"/>
    <d v="1899-12-30T03:30:00"/>
    <d v="1899-12-30T00:50:00"/>
    <m/>
    <d v="1899-12-30T02:30:00"/>
    <n v="19.666666666666668"/>
    <n v="24"/>
    <n v="1770"/>
    <n v="2160"/>
    <n v="1475"/>
    <n v="1.2"/>
    <n v="1.464406779661017"/>
    <n v="0.68287037037037035"/>
    <n v="23.999999999999996"/>
  </r>
  <r>
    <x v="0"/>
    <x v="0"/>
    <x v="7"/>
    <x v="0"/>
    <n v="90"/>
    <d v="2026-01-08T07:00:00"/>
    <d v="2026-01-09T07:00:00"/>
    <d v="1899-12-30T03:30:00"/>
    <d v="1899-12-30T00:20:00"/>
    <m/>
    <d v="1899-12-30T02:00:00"/>
    <n v="20.166666666666668"/>
    <n v="24"/>
    <n v="1815"/>
    <n v="2160"/>
    <n v="1476"/>
    <n v="1.2296747967479675"/>
    <n v="1.4634146341463414"/>
    <n v="0.68333333333333335"/>
    <n v="23.999999999999996"/>
  </r>
  <r>
    <x v="0"/>
    <x v="0"/>
    <x v="8"/>
    <x v="0"/>
    <n v="80"/>
    <d v="2026-01-09T07:00:00"/>
    <d v="2026-01-10T07:00:00"/>
    <d v="1899-12-30T03:30:00"/>
    <m/>
    <d v="1899-12-30T00:30:00"/>
    <d v="1899-12-30T02:50:00"/>
    <n v="20.5"/>
    <n v="24"/>
    <n v="1640"/>
    <n v="1920"/>
    <n v="990"/>
    <n v="1.6565656565656566"/>
    <n v="1.9393939393939394"/>
    <n v="0.515625"/>
    <n v="23.999999999999996"/>
  </r>
  <r>
    <x v="0"/>
    <x v="0"/>
    <x v="9"/>
    <x v="0"/>
    <n v="86"/>
    <d v="2026-01-10T07:00:00"/>
    <d v="2026-01-11T07:00:00"/>
    <d v="1899-12-30T03:30:00"/>
    <m/>
    <d v="1899-12-30T01:00:00"/>
    <d v="1899-12-30T10:00:00"/>
    <n v="20.5"/>
    <n v="24"/>
    <n v="1763"/>
    <n v="2064"/>
    <n v="1266"/>
    <n v="1.3925750394944707"/>
    <n v="1.6303317535545023"/>
    <n v="0.61337209302325579"/>
    <n v="23.999999999999996"/>
  </r>
  <r>
    <x v="0"/>
    <x v="0"/>
    <x v="10"/>
    <x v="0"/>
    <n v="67"/>
    <d v="2026-01-11T07:00:00"/>
    <d v="2026-01-12T07:00:00"/>
    <d v="1899-12-30T03:30:00"/>
    <m/>
    <m/>
    <m/>
    <n v="20.5"/>
    <n v="24"/>
    <n v="1373.5"/>
    <n v="1608"/>
    <n v="914"/>
    <n v="1.5027352297592997"/>
    <n v="1.7592997811816193"/>
    <n v="0.56840796019900497"/>
    <n v="23.999999999999996"/>
  </r>
  <r>
    <x v="0"/>
    <x v="0"/>
    <x v="11"/>
    <x v="0"/>
    <n v="82"/>
    <d v="2026-01-12T07:00:00"/>
    <d v="2026-01-13T07:00:00"/>
    <d v="1899-12-30T03:30:00"/>
    <m/>
    <d v="1899-12-30T00:30:00"/>
    <d v="1899-12-30T05:00:00"/>
    <n v="20.5"/>
    <n v="24"/>
    <n v="1681"/>
    <n v="1968"/>
    <n v="1320"/>
    <n v="1.2734848484848484"/>
    <n v="1.490909090909091"/>
    <n v="0.6707317073170731"/>
    <n v="23.999999999999996"/>
  </r>
  <r>
    <x v="0"/>
    <x v="0"/>
    <x v="12"/>
    <x v="0"/>
    <n v="85"/>
    <d v="2026-01-13T07:00:00"/>
    <d v="2026-01-14T07:00:00"/>
    <d v="1899-12-30T03:30:00"/>
    <d v="1899-12-30T00:25:00"/>
    <d v="1899-12-30T01:10:00"/>
    <d v="1899-12-30T10:30:00"/>
    <n v="20.083333333333332"/>
    <n v="24"/>
    <n v="1707.0833333333333"/>
    <n v="2040"/>
    <n v="1225"/>
    <n v="1.3935374149659863"/>
    <n v="1.6653061224489796"/>
    <n v="0.60049019607843135"/>
    <n v="23.999999999999996"/>
  </r>
  <r>
    <x v="0"/>
    <x v="0"/>
    <x v="13"/>
    <x v="0"/>
    <n v="90"/>
    <d v="2026-01-14T07:00:00"/>
    <d v="2026-01-15T07:00:00"/>
    <d v="1899-12-30T03:30:00"/>
    <d v="1899-12-30T00:30:00"/>
    <d v="1899-12-30T00:40:00"/>
    <d v="1899-12-30T12:50:00"/>
    <n v="20"/>
    <n v="24"/>
    <n v="1800"/>
    <n v="2160"/>
    <n v="1207"/>
    <n v="1.4913007456503728"/>
    <n v="1.7895608947804473"/>
    <n v="0.55879629629629635"/>
    <n v="23.999999999999996"/>
  </r>
  <r>
    <x v="0"/>
    <x v="0"/>
    <x v="14"/>
    <x v="0"/>
    <n v="84"/>
    <d v="2026-01-15T07:00:00"/>
    <d v="2026-01-16T07:00:00"/>
    <d v="1899-12-30T03:30:00"/>
    <d v="1899-12-30T02:30:00"/>
    <d v="1899-12-30T00:50:00"/>
    <d v="1899-12-30T06:00:00"/>
    <n v="18"/>
    <n v="24"/>
    <n v="1512"/>
    <n v="2016"/>
    <n v="1464"/>
    <n v="1.0327868852459017"/>
    <n v="1.3770491803278688"/>
    <n v="0.72619047619047616"/>
    <n v="23.999999999999996"/>
  </r>
  <r>
    <x v="0"/>
    <x v="0"/>
    <x v="15"/>
    <x v="0"/>
    <n v="83"/>
    <d v="2026-01-16T07:00:00"/>
    <d v="2026-01-17T07:00:00"/>
    <d v="1899-12-30T03:30:00"/>
    <m/>
    <d v="1899-12-30T01:30:00"/>
    <m/>
    <n v="20.5"/>
    <n v="24"/>
    <n v="1701.5"/>
    <n v="1992"/>
    <n v="1472"/>
    <n v="1.1559103260869565"/>
    <n v="1.3532608695652173"/>
    <n v="0.73895582329317278"/>
    <n v="23.999999999999996"/>
  </r>
  <r>
    <x v="0"/>
    <x v="0"/>
    <x v="16"/>
    <x v="0"/>
    <n v="75"/>
    <d v="2026-01-17T07:00:00"/>
    <d v="2026-01-18T07:00:00"/>
    <d v="1899-12-30T03:30:00"/>
    <d v="1899-12-30T01:25:00"/>
    <m/>
    <m/>
    <n v="19.083333333333332"/>
    <n v="24"/>
    <n v="1431.25"/>
    <n v="1800"/>
    <n v="1455"/>
    <n v="0.98367697594501713"/>
    <n v="1.2371134020618557"/>
    <n v="0.80833333333333335"/>
    <n v="23.999999999999996"/>
  </r>
  <r>
    <x v="0"/>
    <x v="0"/>
    <x v="17"/>
    <x v="0"/>
    <n v="34"/>
    <d v="2026-01-18T00:00:00"/>
    <d v="2026-01-18T19:00:00"/>
    <d v="1899-12-30T01:45:00"/>
    <m/>
    <d v="1899-12-30T00:40:00"/>
    <m/>
    <n v="17.25"/>
    <n v="19"/>
    <n v="586.5"/>
    <n v="646"/>
    <n v="405"/>
    <n v="1.4481481481481482"/>
    <n v="1.5950617283950617"/>
    <n v="0.62693498452012386"/>
    <n v="11.999999999999998"/>
  </r>
  <r>
    <x v="0"/>
    <x v="0"/>
    <x v="18"/>
    <x v="0"/>
    <n v="78"/>
    <d v="2026-01-19T07:00:00"/>
    <d v="2026-01-20T07:00:00"/>
    <d v="1899-12-30T03:30:00"/>
    <d v="1899-12-30T02:40:00"/>
    <d v="1899-12-30T01:40:00"/>
    <m/>
    <n v="17.833333333333332"/>
    <n v="24"/>
    <n v="1391"/>
    <n v="1872"/>
    <n v="1379"/>
    <n v="1.0087019579405365"/>
    <n v="1.3575054387237129"/>
    <n v="0.73664529914529908"/>
    <n v="23.999999999999996"/>
  </r>
  <r>
    <x v="0"/>
    <x v="0"/>
    <x v="19"/>
    <x v="0"/>
    <n v="81"/>
    <d v="2026-01-20T07:00:00"/>
    <d v="2026-01-21T07:00:00"/>
    <d v="1899-12-30T03:30:00"/>
    <m/>
    <m/>
    <d v="1899-12-30T10:00:00"/>
    <n v="20.5"/>
    <n v="24"/>
    <n v="1660.5"/>
    <n v="1944"/>
    <n v="1643"/>
    <n v="1.0106512477175897"/>
    <n v="1.1832014607425441"/>
    <n v="0.84516460905349799"/>
    <n v="23.999999999999996"/>
  </r>
  <r>
    <x v="0"/>
    <x v="0"/>
    <x v="20"/>
    <x v="0"/>
    <n v="81"/>
    <d v="2026-01-21T07:00:00"/>
    <d v="2026-01-22T07:00:00"/>
    <d v="1899-12-30T03:30:00"/>
    <m/>
    <m/>
    <d v="1899-12-30T20:30:00"/>
    <n v="20.5"/>
    <n v="24"/>
    <n v="1660.5"/>
    <n v="1944"/>
    <n v="1346"/>
    <n v="1.2336552748885588"/>
    <n v="1.4442793462109955"/>
    <n v="0.6923868312757202"/>
    <n v="23.999999999999996"/>
  </r>
  <r>
    <x v="0"/>
    <x v="0"/>
    <x v="21"/>
    <x v="0"/>
    <n v="81"/>
    <d v="2026-01-22T07:00:00"/>
    <d v="2026-01-23T07:00:00"/>
    <d v="1899-12-30T03:30:00"/>
    <m/>
    <d v="1899-12-30T01:00:00"/>
    <d v="1899-12-30T08:30:00"/>
    <n v="20.5"/>
    <n v="24"/>
    <n v="1660.5"/>
    <n v="1944"/>
    <n v="1568"/>
    <n v="1.0589923469387754"/>
    <n v="1.239795918367347"/>
    <n v="0.80658436213991758"/>
    <n v="23.999999999999996"/>
  </r>
  <r>
    <x v="0"/>
    <x v="0"/>
    <x v="22"/>
    <x v="0"/>
    <n v="80"/>
    <d v="2026-01-23T07:00:00"/>
    <d v="2026-01-24T07:00:00"/>
    <d v="1899-12-30T03:30:00"/>
    <m/>
    <d v="1899-12-30T01:40:00"/>
    <d v="1899-12-30T01:50:00"/>
    <n v="20.5"/>
    <n v="24"/>
    <n v="1640"/>
    <n v="1920"/>
    <n v="1528"/>
    <n v="1.0732984293193717"/>
    <n v="1.256544502617801"/>
    <n v="0.79583333333333339"/>
    <n v="23.999999999999996"/>
  </r>
  <r>
    <x v="0"/>
    <x v="0"/>
    <x v="23"/>
    <x v="0"/>
    <n v="76"/>
    <d v="2026-01-24T07:00:00"/>
    <d v="2026-01-25T07:00:00"/>
    <d v="1899-12-30T03:30:00"/>
    <m/>
    <d v="1899-12-30T00:40:00"/>
    <m/>
    <n v="20.5"/>
    <n v="24"/>
    <n v="1558"/>
    <n v="1824"/>
    <n v="1472"/>
    <n v="1.0584239130434783"/>
    <n v="1.2391304347826086"/>
    <n v="0.80701754385964919"/>
    <n v="23.999999999999996"/>
  </r>
  <r>
    <x v="0"/>
    <x v="0"/>
    <x v="24"/>
    <x v="0"/>
    <n v="30"/>
    <d v="2026-01-25T00:00:00"/>
    <d v="2026-01-25T15:00:00"/>
    <d v="1899-12-30T01:30:00"/>
    <m/>
    <m/>
    <m/>
    <n v="13.5"/>
    <n v="15"/>
    <n v="405"/>
    <n v="450"/>
    <n v="268"/>
    <n v="1.5111940298507462"/>
    <n v="1.6791044776119404"/>
    <n v="0.5955555555555555"/>
    <n v="8"/>
  </r>
  <r>
    <x v="0"/>
    <x v="0"/>
    <x v="25"/>
    <x v="0"/>
    <n v="77"/>
    <d v="2026-01-26T07:00:00"/>
    <d v="2026-01-27T07:00:00"/>
    <d v="1899-12-30T03:30:00"/>
    <d v="1899-12-30T01:00:00"/>
    <m/>
    <d v="1899-12-30T16:15:00"/>
    <n v="19.5"/>
    <n v="24"/>
    <n v="1501.5"/>
    <n v="1848"/>
    <n v="1481"/>
    <n v="1.013841998649561"/>
    <n v="1.2478055367994598"/>
    <n v="0.80140692640692646"/>
    <n v="23.999999999999996"/>
  </r>
  <r>
    <x v="0"/>
    <x v="0"/>
    <x v="26"/>
    <x v="0"/>
    <n v="75"/>
    <d v="2026-01-27T07:00:00"/>
    <d v="2026-01-28T07:00:00"/>
    <d v="1899-12-30T03:30:00"/>
    <d v="1899-12-30T00:25:00"/>
    <d v="1899-12-30T02:20:00"/>
    <d v="1899-12-30T03:30:00"/>
    <n v="20.083333333333332"/>
    <n v="24"/>
    <n v="1506.25"/>
    <n v="1800"/>
    <n v="1309"/>
    <n v="1.1506875477463714"/>
    <n v="1.3750954927425516"/>
    <n v="0.72722222222222221"/>
    <n v="23.999999999999996"/>
  </r>
  <r>
    <x v="0"/>
    <x v="0"/>
    <x v="27"/>
    <x v="0"/>
    <n v="76"/>
    <d v="2026-01-28T07:00:00"/>
    <d v="2026-01-29T07:00:00"/>
    <d v="1899-12-30T03:30:00"/>
    <d v="1899-12-30T02:00:00"/>
    <d v="1899-12-30T01:00:00"/>
    <m/>
    <n v="18.5"/>
    <n v="24"/>
    <n v="1406"/>
    <n v="1824"/>
    <n v="1592"/>
    <n v="0.88316582914572861"/>
    <n v="1.1457286432160805"/>
    <n v="0.87280701754385959"/>
    <n v="23.999999999999996"/>
  </r>
  <r>
    <x v="0"/>
    <x v="0"/>
    <x v="28"/>
    <x v="0"/>
    <n v="80"/>
    <d v="2026-01-29T07:00:00"/>
    <d v="2026-01-30T07:00:00"/>
    <d v="1899-12-30T03:30:00"/>
    <m/>
    <d v="1899-12-30T01:10:00"/>
    <m/>
    <n v="20.5"/>
    <n v="24"/>
    <n v="1640"/>
    <n v="1920"/>
    <n v="1708"/>
    <n v="0.96018735362997654"/>
    <n v="1.1241217798594847"/>
    <n v="0.88958333333333339"/>
    <n v="23.999999999999996"/>
  </r>
  <r>
    <x v="0"/>
    <x v="0"/>
    <x v="29"/>
    <x v="0"/>
    <n v="75"/>
    <d v="2026-01-30T07:00:00"/>
    <d v="2026-01-31T07:00:00"/>
    <d v="1899-12-30T03:30:00"/>
    <m/>
    <d v="1899-12-30T01:35:00"/>
    <d v="1899-12-30T07:45:00"/>
    <n v="20.5"/>
    <n v="24"/>
    <n v="1537.5"/>
    <n v="1800"/>
    <n v="1518"/>
    <n v="1.0128458498023716"/>
    <n v="1.1857707509881423"/>
    <n v="0.84333333333333327"/>
    <n v="23.999999999999996"/>
  </r>
  <r>
    <x v="0"/>
    <x v="0"/>
    <x v="30"/>
    <x v="0"/>
    <n v="76"/>
    <d v="2026-01-31T07:00:00"/>
    <d v="2026-02-01T07:00:00"/>
    <d v="1899-12-30T03:30:00"/>
    <d v="1899-12-30T01:00:00"/>
    <d v="1899-12-30T00:30:00"/>
    <d v="1899-12-30T02:00:00"/>
    <n v="19.5"/>
    <n v="24"/>
    <n v="1482"/>
    <n v="1824"/>
    <n v="1203"/>
    <n v="1.231920199501247"/>
    <n v="1.5162094763092269"/>
    <n v="0.65953947368421051"/>
    <n v="23.999999999999996"/>
  </r>
  <r>
    <x v="1"/>
    <x v="0"/>
    <x v="31"/>
    <x v="0"/>
    <n v="27"/>
    <d v="2026-02-01T00:00:00"/>
    <d v="2026-02-01T17:00:00"/>
    <d v="1899-12-30T01:30:00"/>
    <m/>
    <m/>
    <m/>
    <n v="15.5"/>
    <n v="17"/>
    <n v="418.5"/>
    <n v="459"/>
    <n v="415"/>
    <n v="1.008433734939759"/>
    <n v="1.1060240963855421"/>
    <n v="0.9041394335511983"/>
    <n v="10"/>
  </r>
  <r>
    <x v="1"/>
    <x v="0"/>
    <x v="32"/>
    <x v="0"/>
    <n v="66"/>
    <d v="2026-02-02T07:00:00"/>
    <d v="2026-02-03T07:00:00"/>
    <d v="1899-12-30T03:30:00"/>
    <d v="1899-12-30T01:55:00"/>
    <d v="1899-12-30T01:00:00"/>
    <d v="1899-12-30T03:30:00"/>
    <n v="18.583333333333332"/>
    <n v="24"/>
    <n v="1226.5"/>
    <n v="1584"/>
    <n v="880"/>
    <n v="1.39375"/>
    <n v="1.8"/>
    <n v="0.55555555555555558"/>
    <n v="23.999999999999996"/>
  </r>
  <r>
    <x v="1"/>
    <x v="0"/>
    <x v="33"/>
    <x v="0"/>
    <n v="72"/>
    <d v="2026-02-03T07:00:00"/>
    <d v="2026-02-04T07:00:00"/>
    <d v="1899-12-30T03:30:00"/>
    <m/>
    <m/>
    <m/>
    <n v="20.5"/>
    <n v="24"/>
    <n v="1476"/>
    <n v="1728"/>
    <n v="1082"/>
    <n v="1.3641404805914972"/>
    <n v="1.5970425138632163"/>
    <n v="0.62615740740740744"/>
    <n v="23.999999999999996"/>
  </r>
  <r>
    <x v="1"/>
    <x v="0"/>
    <x v="34"/>
    <x v="0"/>
    <n v="73"/>
    <d v="2026-02-04T07:00:00"/>
    <d v="2026-02-05T07:00:00"/>
    <d v="1899-12-30T03:30:00"/>
    <m/>
    <m/>
    <d v="1899-12-30T10:00:00"/>
    <n v="20.5"/>
    <n v="24"/>
    <n v="1496.5"/>
    <n v="1752"/>
    <n v="1173"/>
    <n v="1.2757885763000854"/>
    <n v="1.4936061381074168"/>
    <n v="0.66952054794520555"/>
    <n v="23.999999999999996"/>
  </r>
  <r>
    <x v="1"/>
    <x v="0"/>
    <x v="35"/>
    <x v="0"/>
    <n v="73"/>
    <d v="2026-02-05T07:00:00"/>
    <d v="2026-02-06T07:00:00"/>
    <d v="1899-12-30T03:30:00"/>
    <m/>
    <m/>
    <d v="1899-12-30T03:00:00"/>
    <n v="20.5"/>
    <n v="24"/>
    <n v="1496.5"/>
    <n v="1752"/>
    <n v="1349"/>
    <n v="1.1093402520385471"/>
    <n v="1.2987398072646406"/>
    <n v="0.76997716894977164"/>
    <n v="23.999999999999996"/>
  </r>
  <r>
    <x v="0"/>
    <x v="1"/>
    <x v="0"/>
    <x v="1"/>
    <n v="24"/>
    <d v="2026-01-01T07:00:00"/>
    <d v="2026-01-01T19:00:00"/>
    <d v="1899-12-30T01:45:00"/>
    <m/>
    <m/>
    <m/>
    <n v="10.25"/>
    <n v="12"/>
    <n v="246"/>
    <n v="288"/>
    <n v="350"/>
    <n v="0.70285714285714285"/>
    <n v="0.82285714285714284"/>
    <n v="1.2152777777777779"/>
    <n v="11.999999999999998"/>
  </r>
  <r>
    <x v="0"/>
    <x v="1"/>
    <x v="0"/>
    <x v="2"/>
    <n v="5"/>
    <d v="2026-01-01T07:00:00"/>
    <d v="2026-01-01T19:00:00"/>
    <d v="1899-12-30T01:45:00"/>
    <m/>
    <m/>
    <m/>
    <n v="10.25"/>
    <n v="12"/>
    <n v="51.25"/>
    <n v="60"/>
    <n v="355"/>
    <n v="0.14436619718309859"/>
    <n v="0.16901408450704225"/>
    <n v="5.916666666666667"/>
    <n v="11.999999999999998"/>
  </r>
  <r>
    <x v="0"/>
    <x v="1"/>
    <x v="0"/>
    <x v="3"/>
    <n v="23"/>
    <d v="2026-01-01T07:00:00"/>
    <d v="2026-01-01T19:00:00"/>
    <d v="1899-12-30T01:45:00"/>
    <m/>
    <m/>
    <m/>
    <n v="10.25"/>
    <n v="12"/>
    <n v="235.75"/>
    <n v="276"/>
    <n v="362"/>
    <n v="0.65124309392265189"/>
    <n v="0.76243093922651939"/>
    <n v="1.3115942028985506"/>
    <n v="11.999999999999998"/>
  </r>
  <r>
    <x v="0"/>
    <x v="1"/>
    <x v="0"/>
    <x v="4"/>
    <n v="24"/>
    <d v="2026-01-01T07:00:00"/>
    <d v="2026-01-01T19:00:00"/>
    <d v="1899-12-30T01:45:00"/>
    <m/>
    <m/>
    <m/>
    <n v="10.25"/>
    <n v="12"/>
    <n v="246"/>
    <n v="288"/>
    <n v="254"/>
    <n v="0.96850393700787396"/>
    <n v="1.1338582677165354"/>
    <n v="0.88194444444444442"/>
    <n v="11.999999999999998"/>
  </r>
  <r>
    <x v="0"/>
    <x v="1"/>
    <x v="1"/>
    <x v="1"/>
    <n v="25"/>
    <d v="2026-01-02T07:00:00"/>
    <d v="2026-01-02T19:00:00"/>
    <d v="1899-12-30T01:45:00"/>
    <m/>
    <m/>
    <m/>
    <n v="10.25"/>
    <n v="12"/>
    <n v="256.25"/>
    <n v="300"/>
    <n v="452"/>
    <n v="0.56692477876106195"/>
    <n v="0.66371681415929207"/>
    <n v="1.5066666666666666"/>
    <n v="11.999999999999998"/>
  </r>
  <r>
    <x v="0"/>
    <x v="1"/>
    <x v="1"/>
    <x v="2"/>
    <n v="5"/>
    <d v="2026-01-02T07:00:00"/>
    <d v="2026-01-02T19:00:00"/>
    <d v="1899-12-30T01:45:00"/>
    <m/>
    <m/>
    <m/>
    <n v="10.25"/>
    <n v="12"/>
    <n v="51.25"/>
    <n v="60"/>
    <n v="384"/>
    <n v="0.13346354166666666"/>
    <n v="0.15625"/>
    <n v="6.4"/>
    <n v="11.999999999999998"/>
  </r>
  <r>
    <x v="0"/>
    <x v="1"/>
    <x v="1"/>
    <x v="3"/>
    <n v="22"/>
    <d v="2026-01-02T07:00:00"/>
    <d v="2026-01-02T19:00:00"/>
    <d v="1899-12-30T01:45:00"/>
    <m/>
    <m/>
    <m/>
    <n v="10.25"/>
    <n v="12"/>
    <n v="225.5"/>
    <n v="264"/>
    <n v="346"/>
    <n v="0.65173410404624277"/>
    <n v="0.76300578034682076"/>
    <n v="1.3106060606060608"/>
    <n v="11.999999999999998"/>
  </r>
  <r>
    <x v="0"/>
    <x v="1"/>
    <x v="1"/>
    <x v="4"/>
    <n v="25"/>
    <d v="2026-01-02T07:00:00"/>
    <d v="2026-01-02T19:00:00"/>
    <d v="1899-12-30T01:45:00"/>
    <m/>
    <m/>
    <m/>
    <n v="10.25"/>
    <n v="12"/>
    <n v="256.25"/>
    <n v="300"/>
    <n v="290"/>
    <n v="0.88362068965517238"/>
    <n v="1.0344827586206897"/>
    <n v="0.96666666666666656"/>
    <n v="11.999999999999998"/>
  </r>
  <r>
    <x v="0"/>
    <x v="1"/>
    <x v="2"/>
    <x v="2"/>
    <n v="5"/>
    <d v="2026-01-03T07:00:00"/>
    <d v="2026-01-03T19:00:00"/>
    <d v="1899-12-30T01:45:00"/>
    <m/>
    <m/>
    <m/>
    <n v="10.25"/>
    <n v="12"/>
    <n v="51.25"/>
    <n v="60"/>
    <n v="412"/>
    <n v="0.12439320388349515"/>
    <n v="0.14563106796116504"/>
    <n v="6.8666666666666671"/>
    <n v="11.999999999999998"/>
  </r>
  <r>
    <x v="0"/>
    <x v="1"/>
    <x v="2"/>
    <x v="3"/>
    <n v="23"/>
    <d v="2026-01-03T07:00:00"/>
    <d v="2026-01-03T21:00:00"/>
    <d v="1899-12-30T02:30:00"/>
    <d v="1899-12-30T02:54:00"/>
    <m/>
    <m/>
    <n v="8.6"/>
    <n v="14"/>
    <n v="197.79999999999998"/>
    <n v="322"/>
    <n v="348"/>
    <n v="0.56839080459770108"/>
    <n v="0.92528735632183912"/>
    <n v="1.0807453416149069"/>
    <n v="13.999999999999998"/>
  </r>
  <r>
    <x v="0"/>
    <x v="1"/>
    <x v="2"/>
    <x v="4"/>
    <n v="23"/>
    <d v="2026-01-03T07:00:00"/>
    <d v="2026-01-03T21:00:00"/>
    <d v="1899-12-30T02:30:00"/>
    <m/>
    <m/>
    <m/>
    <n v="11.5"/>
    <n v="14"/>
    <n v="264.5"/>
    <n v="322"/>
    <n v="340"/>
    <n v="0.77794117647058825"/>
    <n v="0.94705882352941173"/>
    <n v="1.0559006211180124"/>
    <n v="13.999999999999998"/>
  </r>
  <r>
    <x v="0"/>
    <x v="1"/>
    <x v="3"/>
    <x v="4"/>
    <n v="21"/>
    <d v="2026-01-04T07:00:00"/>
    <d v="2026-01-04T19:00:00"/>
    <d v="1899-12-30T01:45:00"/>
    <m/>
    <m/>
    <m/>
    <n v="10.25"/>
    <n v="12"/>
    <n v="215.25"/>
    <n v="252"/>
    <n v="225"/>
    <n v="0.95666666666666667"/>
    <n v="1.1200000000000001"/>
    <n v="0.89285714285714279"/>
    <n v="11.999999999999998"/>
  </r>
  <r>
    <x v="0"/>
    <x v="1"/>
    <x v="4"/>
    <x v="1"/>
    <n v="21"/>
    <d v="2026-01-05T07:00:00"/>
    <d v="2026-01-05T19:00:00"/>
    <d v="1899-12-30T01:45:00"/>
    <m/>
    <m/>
    <m/>
    <n v="10.25"/>
    <n v="12"/>
    <n v="215.25"/>
    <n v="252"/>
    <n v="508"/>
    <n v="0.42372047244094491"/>
    <n v="0.49606299212598426"/>
    <n v="2.0158730158730158"/>
    <n v="11.999999999999998"/>
  </r>
  <r>
    <x v="0"/>
    <x v="1"/>
    <x v="4"/>
    <x v="2"/>
    <n v="5"/>
    <d v="2026-01-05T07:00:00"/>
    <d v="2026-01-05T19:00:00"/>
    <d v="1899-12-30T01:45:00"/>
    <m/>
    <m/>
    <m/>
    <n v="10.25"/>
    <n v="12"/>
    <n v="51.25"/>
    <n v="60"/>
    <n v="407"/>
    <n v="0.12592137592137592"/>
    <n v="0.14742014742014742"/>
    <n v="6.7833333333333332"/>
    <n v="11.999999999999998"/>
  </r>
  <r>
    <x v="0"/>
    <x v="1"/>
    <x v="4"/>
    <x v="3"/>
    <n v="24"/>
    <d v="2026-01-05T07:00:00"/>
    <d v="2026-01-05T19:00:00"/>
    <d v="1899-12-30T01:45:00"/>
    <m/>
    <m/>
    <m/>
    <n v="10.25"/>
    <n v="12"/>
    <n v="246"/>
    <n v="288"/>
    <n v="279"/>
    <n v="0.88172043010752688"/>
    <n v="1.032258064516129"/>
    <n v="0.96875"/>
    <n v="11.999999999999998"/>
  </r>
  <r>
    <x v="0"/>
    <x v="1"/>
    <x v="4"/>
    <x v="4"/>
    <n v="23"/>
    <d v="2026-01-05T07:00:00"/>
    <d v="2026-01-05T19:00:00"/>
    <d v="1899-12-30T01:45:00"/>
    <d v="1899-12-30T03:45:00"/>
    <m/>
    <m/>
    <n v="6.5"/>
    <n v="12"/>
    <n v="149.5"/>
    <n v="276"/>
    <n v="183"/>
    <n v="0.81693989071038253"/>
    <n v="1.5081967213114753"/>
    <n v="0.66304347826086962"/>
    <n v="11.999999999999998"/>
  </r>
  <r>
    <x v="0"/>
    <x v="1"/>
    <x v="5"/>
    <x v="1"/>
    <n v="20"/>
    <d v="2026-01-06T07:00:00"/>
    <d v="2026-01-06T19:00:00"/>
    <d v="1899-12-30T01:45:00"/>
    <m/>
    <m/>
    <m/>
    <n v="10.25"/>
    <n v="12"/>
    <n v="205"/>
    <n v="240"/>
    <n v="490"/>
    <n v="0.41836734693877553"/>
    <n v="0.48979591836734693"/>
    <n v="2.0416666666666665"/>
    <n v="11.999999999999998"/>
  </r>
  <r>
    <x v="0"/>
    <x v="1"/>
    <x v="5"/>
    <x v="2"/>
    <n v="5"/>
    <d v="2026-01-06T07:00:00"/>
    <d v="2026-01-06T19:00:00"/>
    <d v="1899-12-30T01:45:00"/>
    <m/>
    <m/>
    <m/>
    <n v="10.25"/>
    <n v="12"/>
    <n v="51.25"/>
    <n v="60"/>
    <n v="461"/>
    <n v="0.11117136659436008"/>
    <n v="0.13015184381778741"/>
    <n v="7.6833333333333336"/>
    <n v="11.999999999999998"/>
  </r>
  <r>
    <x v="0"/>
    <x v="1"/>
    <x v="5"/>
    <x v="3"/>
    <n v="22"/>
    <d v="2026-01-06T07:00:00"/>
    <d v="2026-01-06T19:00:00"/>
    <d v="1899-12-30T01:45:00"/>
    <m/>
    <m/>
    <m/>
    <n v="10.25"/>
    <n v="12"/>
    <n v="225.5"/>
    <n v="264"/>
    <n v="500"/>
    <n v="0.45100000000000001"/>
    <n v="0.52800000000000002"/>
    <n v="1.8939393939393938"/>
    <n v="11.999999999999998"/>
  </r>
  <r>
    <x v="0"/>
    <x v="1"/>
    <x v="5"/>
    <x v="4"/>
    <n v="23"/>
    <d v="2026-01-06T07:00:00"/>
    <d v="2026-01-06T21:00:00"/>
    <d v="1899-12-30T02:30:00"/>
    <m/>
    <m/>
    <m/>
    <n v="11.5"/>
    <n v="14"/>
    <n v="264.5"/>
    <n v="322"/>
    <n v="581"/>
    <n v="0.45524956970740105"/>
    <n v="0.55421686746987953"/>
    <n v="1.8043478260869565"/>
    <n v="13.999999999999998"/>
  </r>
  <r>
    <x v="0"/>
    <x v="1"/>
    <x v="6"/>
    <x v="1"/>
    <n v="17"/>
    <d v="2026-01-07T07:00:00"/>
    <d v="2026-01-07T19:00:00"/>
    <d v="1899-12-30T01:45:00"/>
    <m/>
    <m/>
    <m/>
    <n v="10.25"/>
    <n v="12"/>
    <n v="174.25"/>
    <n v="204"/>
    <n v="520"/>
    <n v="0.33509615384615382"/>
    <n v="0.3923076923076923"/>
    <n v="2.5490196078431371"/>
    <n v="11.999999999999998"/>
  </r>
  <r>
    <x v="0"/>
    <x v="1"/>
    <x v="6"/>
    <x v="2"/>
    <n v="5"/>
    <d v="2026-01-07T07:00:00"/>
    <d v="2026-01-07T19:00:00"/>
    <d v="1899-12-30T01:45:00"/>
    <m/>
    <m/>
    <m/>
    <n v="10.25"/>
    <n v="12"/>
    <n v="51.25"/>
    <n v="60"/>
    <n v="468"/>
    <n v="0.10950854700854701"/>
    <n v="0.12820512820512819"/>
    <n v="7.8000000000000007"/>
    <n v="11.999999999999998"/>
  </r>
  <r>
    <x v="0"/>
    <x v="1"/>
    <x v="6"/>
    <x v="3"/>
    <n v="25"/>
    <d v="2026-01-07T07:00:00"/>
    <d v="2026-01-07T19:00:00"/>
    <d v="1899-12-30T01:45:00"/>
    <m/>
    <m/>
    <m/>
    <n v="10.25"/>
    <n v="12"/>
    <n v="256.25"/>
    <n v="300"/>
    <n v="500"/>
    <n v="0.51249999999999996"/>
    <n v="0.6"/>
    <n v="1.6666666666666667"/>
    <n v="11.999999999999998"/>
  </r>
  <r>
    <x v="0"/>
    <x v="1"/>
    <x v="6"/>
    <x v="4"/>
    <n v="21"/>
    <d v="2026-01-07T07:00:00"/>
    <d v="2026-01-07T19:00:00"/>
    <d v="1899-12-30T01:45:00"/>
    <m/>
    <m/>
    <m/>
    <n v="10.25"/>
    <n v="12"/>
    <n v="215.25"/>
    <n v="252"/>
    <n v="401"/>
    <n v="0.53678304239401498"/>
    <n v="0.62842892768079806"/>
    <n v="1.5912698412698412"/>
    <n v="11.999999999999998"/>
  </r>
  <r>
    <x v="0"/>
    <x v="1"/>
    <x v="7"/>
    <x v="1"/>
    <n v="17"/>
    <d v="2026-01-08T07:00:00"/>
    <d v="2026-01-08T19:00:00"/>
    <d v="1899-12-30T01:45:00"/>
    <m/>
    <m/>
    <m/>
    <n v="10.25"/>
    <n v="12"/>
    <n v="174.25"/>
    <n v="204"/>
    <n v="423"/>
    <n v="0.41193853427895982"/>
    <n v="0.48226950354609927"/>
    <n v="2.0735294117647061"/>
    <n v="11.999999999999998"/>
  </r>
  <r>
    <x v="0"/>
    <x v="1"/>
    <x v="7"/>
    <x v="2"/>
    <n v="5"/>
    <d v="2026-01-08T07:00:00"/>
    <d v="2026-01-08T19:00:00"/>
    <d v="1899-12-30T01:45:00"/>
    <m/>
    <m/>
    <m/>
    <n v="10.25"/>
    <n v="12"/>
    <n v="51.25"/>
    <n v="60"/>
    <n v="449"/>
    <n v="0.11414253897550111"/>
    <n v="0.133630289532294"/>
    <n v="7.4833333333333325"/>
    <n v="11.999999999999998"/>
  </r>
  <r>
    <x v="0"/>
    <x v="1"/>
    <x v="7"/>
    <x v="3"/>
    <n v="25"/>
    <d v="2026-01-08T07:00:00"/>
    <d v="2026-01-08T19:00:00"/>
    <d v="1899-12-30T01:45:00"/>
    <m/>
    <m/>
    <m/>
    <n v="10.25"/>
    <n v="12"/>
    <n v="256.25"/>
    <n v="300"/>
    <n v="511"/>
    <n v="0.50146771037181992"/>
    <n v="0.58708414872798431"/>
    <n v="1.7033333333333334"/>
    <n v="11.999999999999998"/>
  </r>
  <r>
    <x v="0"/>
    <x v="1"/>
    <x v="7"/>
    <x v="4"/>
    <n v="21"/>
    <d v="2026-01-08T07:00:00"/>
    <d v="2026-01-08T19:00:00"/>
    <d v="1899-12-30T01:45:00"/>
    <m/>
    <m/>
    <m/>
    <n v="10.25"/>
    <n v="12"/>
    <n v="215.25"/>
    <n v="252"/>
    <n v="430"/>
    <n v="0.50058139534883717"/>
    <n v="0.586046511627907"/>
    <n v="1.7063492063492063"/>
    <n v="11.999999999999998"/>
  </r>
  <r>
    <x v="0"/>
    <x v="1"/>
    <x v="8"/>
    <x v="1"/>
    <n v="16"/>
    <d v="2026-01-09T07:00:00"/>
    <d v="2026-01-09T19:00:00"/>
    <d v="1899-12-30T01:45:00"/>
    <m/>
    <m/>
    <m/>
    <n v="10.25"/>
    <n v="12"/>
    <n v="164"/>
    <n v="192"/>
    <n v="399"/>
    <n v="0.41102756892230574"/>
    <n v="0.48120300751879697"/>
    <n v="2.078125"/>
    <n v="11.999999999999998"/>
  </r>
  <r>
    <x v="0"/>
    <x v="1"/>
    <x v="8"/>
    <x v="2"/>
    <n v="5"/>
    <d v="2026-01-09T07:00:00"/>
    <d v="2026-01-09T19:00:00"/>
    <d v="1899-12-30T01:45:00"/>
    <m/>
    <m/>
    <m/>
    <n v="10.25"/>
    <n v="12"/>
    <n v="51.25"/>
    <n v="60"/>
    <n v="477"/>
    <n v="0.10744234800838574"/>
    <n v="0.12578616352201258"/>
    <n v="7.95"/>
    <n v="11.999999999999998"/>
  </r>
  <r>
    <x v="0"/>
    <x v="1"/>
    <x v="8"/>
    <x v="3"/>
    <n v="26"/>
    <d v="2026-01-09T07:00:00"/>
    <d v="2026-01-09T19:00:00"/>
    <d v="1899-12-30T01:45:00"/>
    <d v="1899-12-30T01:08:00"/>
    <m/>
    <m/>
    <n v="9.1166666666666671"/>
    <n v="12"/>
    <n v="237.03333333333336"/>
    <n v="312"/>
    <n v="339"/>
    <n v="0.69921337266470018"/>
    <n v="0.92035398230088494"/>
    <n v="1.0865384615384615"/>
    <n v="11.999999999999998"/>
  </r>
  <r>
    <x v="0"/>
    <x v="1"/>
    <x v="8"/>
    <x v="4"/>
    <n v="21"/>
    <d v="2026-01-09T07:00:00"/>
    <d v="2026-01-09T19:00:00"/>
    <d v="1899-12-30T01:45:00"/>
    <m/>
    <m/>
    <m/>
    <n v="10.25"/>
    <n v="12"/>
    <n v="215.25"/>
    <n v="252"/>
    <n v="263"/>
    <n v="0.8184410646387833"/>
    <n v="0.95817490494296575"/>
    <n v="1.0436507936507937"/>
    <n v="11.999999999999998"/>
  </r>
  <r>
    <x v="0"/>
    <x v="1"/>
    <x v="9"/>
    <x v="1"/>
    <n v="21"/>
    <d v="2026-01-10T07:00:00"/>
    <d v="2026-01-10T19:00:00"/>
    <d v="1899-12-30T01:45:00"/>
    <m/>
    <m/>
    <m/>
    <n v="10.25"/>
    <n v="12"/>
    <n v="215.25"/>
    <n v="252"/>
    <n v="448"/>
    <n v="0.48046875"/>
    <n v="0.5625"/>
    <n v="1.7777777777777777"/>
    <n v="11.999999999999998"/>
  </r>
  <r>
    <x v="0"/>
    <x v="1"/>
    <x v="9"/>
    <x v="2"/>
    <n v="5"/>
    <d v="2026-01-10T07:00:00"/>
    <d v="2026-01-10T19:00:00"/>
    <d v="1899-12-30T01:45:00"/>
    <m/>
    <m/>
    <m/>
    <n v="10.25"/>
    <n v="12"/>
    <n v="51.25"/>
    <n v="60"/>
    <n v="440"/>
    <n v="0.11647727272727272"/>
    <n v="0.13636363636363635"/>
    <n v="7.3333333333333339"/>
    <n v="11.999999999999998"/>
  </r>
  <r>
    <x v="0"/>
    <x v="1"/>
    <x v="9"/>
    <x v="3"/>
    <n v="22"/>
    <d v="2026-01-10T07:00:00"/>
    <d v="2026-01-10T19:00:00"/>
    <d v="1899-12-30T01:45:00"/>
    <d v="1899-12-30T02:26:00"/>
    <m/>
    <m/>
    <n v="7.8166666666666664"/>
    <n v="12"/>
    <n v="171.96666666666667"/>
    <n v="264"/>
    <n v="339"/>
    <n v="0.50727630285152414"/>
    <n v="0.77876106194690264"/>
    <n v="1.2840909090909092"/>
    <n v="11.999999999999998"/>
  </r>
  <r>
    <x v="0"/>
    <x v="1"/>
    <x v="9"/>
    <x v="4"/>
    <n v="22"/>
    <d v="2026-01-10T07:00:00"/>
    <d v="2026-01-10T19:00:00"/>
    <d v="1899-12-30T01:45:00"/>
    <d v="1899-12-30T02:20:00"/>
    <m/>
    <m/>
    <n v="7.916666666666667"/>
    <n v="12"/>
    <n v="174.16666666666669"/>
    <n v="264"/>
    <n v="240"/>
    <n v="0.72569444444444453"/>
    <n v="1.1000000000000001"/>
    <n v="0.90909090909090906"/>
    <n v="11.999999999999998"/>
  </r>
  <r>
    <x v="0"/>
    <x v="1"/>
    <x v="10"/>
    <x v="3"/>
    <n v="20"/>
    <d v="2026-01-11T13:00:00"/>
    <d v="2026-01-11T16:00:00"/>
    <d v="1899-12-30T00:10:00"/>
    <m/>
    <m/>
    <m/>
    <n v="2.8333333333333335"/>
    <n v="3"/>
    <n v="56.666666666666671"/>
    <n v="60"/>
    <n v="132"/>
    <n v="0.42929292929292934"/>
    <n v="0.45454545454545453"/>
    <n v="2.2000000000000002"/>
    <n v="3"/>
  </r>
  <r>
    <x v="0"/>
    <x v="1"/>
    <x v="11"/>
    <x v="1"/>
    <n v="19"/>
    <d v="2026-01-12T07:00:00"/>
    <d v="2026-01-12T10:00:00"/>
    <d v="1899-12-30T00:10:00"/>
    <m/>
    <m/>
    <m/>
    <n v="2.8333333333333335"/>
    <n v="3"/>
    <n v="53.833333333333336"/>
    <n v="57"/>
    <n v="85"/>
    <n v="0.63333333333333341"/>
    <n v="0.6705882352941176"/>
    <n v="1.4912280701754388"/>
    <n v="3"/>
  </r>
  <r>
    <x v="0"/>
    <x v="1"/>
    <x v="11"/>
    <x v="2"/>
    <n v="5"/>
    <d v="2026-01-12T07:00:00"/>
    <d v="2026-01-12T10:00:00"/>
    <d v="1899-12-30T00:10:00"/>
    <m/>
    <m/>
    <m/>
    <n v="2.8333333333333335"/>
    <n v="3"/>
    <n v="14.166666666666668"/>
    <n v="15"/>
    <n v="95"/>
    <n v="0.14912280701754388"/>
    <n v="0.15789473684210525"/>
    <n v="6.3333333333333339"/>
    <n v="3"/>
  </r>
  <r>
    <x v="0"/>
    <x v="1"/>
    <x v="11"/>
    <x v="3"/>
    <n v="24"/>
    <d v="2026-01-12T07:00:00"/>
    <d v="2026-01-12T19:00:00"/>
    <d v="1899-12-30T01:45:00"/>
    <m/>
    <m/>
    <m/>
    <n v="10.25"/>
    <n v="12"/>
    <n v="246"/>
    <n v="288"/>
    <n v="431"/>
    <n v="0.57076566125290018"/>
    <n v="0.6682134570765661"/>
    <n v="1.4965277777777779"/>
    <n v="11.999999999999998"/>
  </r>
  <r>
    <x v="0"/>
    <x v="1"/>
    <x v="11"/>
    <x v="4"/>
    <n v="20"/>
    <d v="2026-01-12T07:00:00"/>
    <d v="2026-01-12T21:00:00"/>
    <d v="1899-12-30T02:30:00"/>
    <m/>
    <m/>
    <m/>
    <n v="11.5"/>
    <n v="14"/>
    <n v="230"/>
    <n v="280"/>
    <n v="350"/>
    <n v="0.65714285714285714"/>
    <n v="0.8"/>
    <n v="1.25"/>
    <n v="13.999999999999998"/>
  </r>
  <r>
    <x v="0"/>
    <x v="1"/>
    <x v="12"/>
    <x v="1"/>
    <n v="20"/>
    <d v="2026-01-13T07:00:00"/>
    <d v="2026-01-13T19:00:00"/>
    <d v="1899-12-30T01:45:00"/>
    <m/>
    <m/>
    <m/>
    <n v="10.25"/>
    <n v="12"/>
    <n v="205"/>
    <n v="240"/>
    <n v="500"/>
    <n v="0.41"/>
    <n v="0.48"/>
    <n v="2.0833333333333335"/>
    <n v="11.999999999999998"/>
  </r>
  <r>
    <x v="0"/>
    <x v="1"/>
    <x v="12"/>
    <x v="2"/>
    <n v="5"/>
    <d v="2026-01-13T07:00:00"/>
    <d v="2026-01-13T19:00:00"/>
    <d v="1899-12-30T01:45:00"/>
    <m/>
    <m/>
    <m/>
    <n v="10.25"/>
    <n v="12"/>
    <n v="51.25"/>
    <n v="60"/>
    <n v="456"/>
    <n v="0.11239035087719298"/>
    <n v="0.13157894736842105"/>
    <n v="7.6000000000000005"/>
    <n v="11.999999999999998"/>
  </r>
  <r>
    <x v="0"/>
    <x v="1"/>
    <x v="12"/>
    <x v="3"/>
    <n v="22"/>
    <d v="2026-01-13T07:00:00"/>
    <d v="2026-01-13T19:00:00"/>
    <d v="1899-12-30T01:45:00"/>
    <d v="1899-12-30T01:08:00"/>
    <m/>
    <m/>
    <n v="9.1166666666666671"/>
    <n v="12"/>
    <n v="200.56666666666666"/>
    <n v="264"/>
    <n v="385"/>
    <n v="0.52095238095238094"/>
    <n v="0.68571428571428572"/>
    <n v="1.4583333333333333"/>
    <n v="11.999999999999998"/>
  </r>
  <r>
    <x v="0"/>
    <x v="1"/>
    <x v="12"/>
    <x v="4"/>
    <n v="20"/>
    <d v="2026-01-13T07:00:00"/>
    <d v="2026-01-13T21:00:00"/>
    <d v="1899-12-30T01:45:00"/>
    <m/>
    <m/>
    <m/>
    <n v="12.25"/>
    <n v="14"/>
    <n v="245"/>
    <n v="280"/>
    <n v="328"/>
    <n v="0.74695121951219512"/>
    <n v="0.85365853658536583"/>
    <n v="1.1714285714285715"/>
    <n v="13.999999999999998"/>
  </r>
  <r>
    <x v="0"/>
    <x v="1"/>
    <x v="13"/>
    <x v="1"/>
    <n v="21"/>
    <d v="2026-01-14T07:00:00"/>
    <d v="2026-01-14T19:00:00"/>
    <d v="1899-12-30T01:45:00"/>
    <m/>
    <m/>
    <m/>
    <n v="10.25"/>
    <n v="12"/>
    <n v="215.25"/>
    <n v="252"/>
    <n v="501"/>
    <n v="0.42964071856287422"/>
    <n v="0.50299401197604787"/>
    <n v="1.9880952380952381"/>
    <n v="11.999999999999998"/>
  </r>
  <r>
    <x v="0"/>
    <x v="1"/>
    <x v="13"/>
    <x v="2"/>
    <n v="5"/>
    <d v="2026-01-14T07:00:00"/>
    <d v="2026-01-14T19:00:00"/>
    <d v="1899-12-30T01:45:00"/>
    <m/>
    <m/>
    <m/>
    <n v="10.25"/>
    <n v="12"/>
    <n v="51.25"/>
    <n v="60"/>
    <n v="442"/>
    <n v="0.1159502262443439"/>
    <n v="0.13574660633484162"/>
    <n v="7.3666666666666671"/>
    <n v="11.999999999999998"/>
  </r>
  <r>
    <x v="0"/>
    <x v="1"/>
    <x v="13"/>
    <x v="3"/>
    <n v="24"/>
    <d v="2026-01-14T07:00:00"/>
    <d v="2026-01-14T19:00:00"/>
    <d v="1899-12-30T01:45:00"/>
    <d v="1899-12-30T02:03:00"/>
    <m/>
    <m/>
    <n v="8.1999999999999993"/>
    <n v="12"/>
    <n v="196.79999999999998"/>
    <n v="288"/>
    <n v="373"/>
    <n v="0.52761394101876669"/>
    <n v="0.77211796246648789"/>
    <n v="1.2951388888888891"/>
    <n v="11.999999999999998"/>
  </r>
  <r>
    <x v="0"/>
    <x v="1"/>
    <x v="13"/>
    <x v="4"/>
    <n v="24"/>
    <d v="2026-01-14T07:00:00"/>
    <d v="2026-01-14T21:00:00"/>
    <d v="1899-12-30T01:45:00"/>
    <m/>
    <m/>
    <m/>
    <n v="12.25"/>
    <n v="14"/>
    <n v="294"/>
    <n v="336"/>
    <n v="352"/>
    <n v="0.83522727272727271"/>
    <n v="0.95454545454545459"/>
    <n v="1.0476190476190477"/>
    <n v="13.999999999999998"/>
  </r>
  <r>
    <x v="0"/>
    <x v="1"/>
    <x v="14"/>
    <x v="1"/>
    <n v="20"/>
    <d v="2026-01-15T07:00:00"/>
    <d v="2026-01-15T19:00:00"/>
    <d v="1899-12-30T01:45:00"/>
    <m/>
    <m/>
    <m/>
    <n v="10.25"/>
    <n v="12"/>
    <n v="205"/>
    <n v="240"/>
    <n v="450"/>
    <n v="0.45555555555555555"/>
    <n v="0.53333333333333333"/>
    <n v="1.875"/>
    <n v="11.999999999999998"/>
  </r>
  <r>
    <x v="0"/>
    <x v="1"/>
    <x v="14"/>
    <x v="2"/>
    <n v="5"/>
    <d v="2026-01-15T07:00:00"/>
    <d v="2026-01-15T19:00:00"/>
    <d v="1899-12-30T01:45:00"/>
    <m/>
    <m/>
    <m/>
    <n v="10.25"/>
    <n v="12"/>
    <n v="51.25"/>
    <n v="60"/>
    <n v="462"/>
    <n v="0.11093073593073594"/>
    <n v="0.12987012987012986"/>
    <n v="7.7000000000000011"/>
    <n v="11.999999999999998"/>
  </r>
  <r>
    <x v="0"/>
    <x v="1"/>
    <x v="14"/>
    <x v="3"/>
    <n v="24"/>
    <d v="2026-01-15T07:00:00"/>
    <d v="2026-01-15T19:00:00"/>
    <d v="1899-12-30T01:45:00"/>
    <d v="1899-12-30T01:22:00"/>
    <m/>
    <m/>
    <n v="8.8833333333333329"/>
    <n v="12"/>
    <n v="213.2"/>
    <n v="288"/>
    <n v="338"/>
    <n v="0.63076923076923075"/>
    <n v="0.85207100591715978"/>
    <n v="1.1736111111111112"/>
    <n v="11.999999999999998"/>
  </r>
  <r>
    <x v="0"/>
    <x v="1"/>
    <x v="14"/>
    <x v="4"/>
    <n v="22"/>
    <d v="2026-01-15T07:00:00"/>
    <d v="2026-01-15T21:00:00"/>
    <d v="1899-12-30T01:45:00"/>
    <m/>
    <m/>
    <m/>
    <n v="12.25"/>
    <n v="14"/>
    <n v="269.5"/>
    <n v="308"/>
    <n v="372"/>
    <n v="0.72446236559139787"/>
    <n v="0.82795698924731187"/>
    <n v="1.2077922077922076"/>
    <n v="13.999999999999998"/>
  </r>
  <r>
    <x v="0"/>
    <x v="1"/>
    <x v="15"/>
    <x v="1"/>
    <n v="19"/>
    <d v="2026-01-16T07:00:00"/>
    <d v="2026-01-16T19:00:00"/>
    <d v="1899-12-30T01:45:00"/>
    <m/>
    <m/>
    <m/>
    <n v="10.25"/>
    <n v="12"/>
    <n v="194.75"/>
    <n v="228"/>
    <n v="402"/>
    <n v="0.48445273631840796"/>
    <n v="0.56716417910447758"/>
    <n v="1.7631578947368423"/>
    <n v="11.999999999999998"/>
  </r>
  <r>
    <x v="0"/>
    <x v="1"/>
    <x v="15"/>
    <x v="2"/>
    <n v="5"/>
    <d v="2026-01-16T07:00:00"/>
    <d v="2026-01-16T19:00:00"/>
    <d v="1899-12-30T01:45:00"/>
    <m/>
    <m/>
    <m/>
    <n v="10.25"/>
    <n v="12"/>
    <n v="51.25"/>
    <n v="60"/>
    <n v="421"/>
    <n v="0.12173396674584323"/>
    <n v="0.14251781472684086"/>
    <n v="7.0166666666666666"/>
    <n v="11.999999999999998"/>
  </r>
  <r>
    <x v="0"/>
    <x v="1"/>
    <x v="15"/>
    <x v="3"/>
    <n v="24"/>
    <d v="2026-01-16T07:00:00"/>
    <d v="2026-01-16T19:00:00"/>
    <d v="1899-12-30T01:45:00"/>
    <d v="1899-12-30T02:30:00"/>
    <m/>
    <m/>
    <n v="7.75"/>
    <n v="12"/>
    <n v="186"/>
    <n v="288"/>
    <n v="342"/>
    <n v="0.54385964912280704"/>
    <n v="0.84210526315789469"/>
    <n v="1.1875"/>
    <n v="11.999999999999998"/>
  </r>
  <r>
    <x v="0"/>
    <x v="1"/>
    <x v="15"/>
    <x v="4"/>
    <n v="23"/>
    <d v="2026-01-16T07:00:00"/>
    <d v="2026-01-16T21:00:00"/>
    <d v="1899-12-30T01:45:00"/>
    <d v="1899-12-30T03:30:00"/>
    <m/>
    <m/>
    <n v="8.75"/>
    <n v="14"/>
    <n v="201.25"/>
    <n v="322"/>
    <n v="297"/>
    <n v="0.67760942760942766"/>
    <n v="1.0841750841750841"/>
    <n v="0.92236024844720499"/>
    <n v="13.999999999999998"/>
  </r>
  <r>
    <x v="0"/>
    <x v="1"/>
    <x v="16"/>
    <x v="1"/>
    <n v="19"/>
    <d v="2026-01-17T07:00:00"/>
    <d v="2026-01-17T19:00:00"/>
    <d v="1899-12-30T01:45:00"/>
    <m/>
    <m/>
    <m/>
    <n v="10.25"/>
    <n v="12"/>
    <n v="194.75"/>
    <n v="228"/>
    <n v="355"/>
    <n v="0.54859154929577469"/>
    <n v="0.6422535211267606"/>
    <n v="1.557017543859649"/>
    <n v="11.999999999999998"/>
  </r>
  <r>
    <x v="0"/>
    <x v="1"/>
    <x v="16"/>
    <x v="2"/>
    <n v="5"/>
    <d v="2026-01-17T07:00:00"/>
    <d v="2026-01-17T19:00:00"/>
    <d v="1899-12-30T01:45:00"/>
    <m/>
    <m/>
    <m/>
    <n v="10.25"/>
    <n v="12"/>
    <n v="51.25"/>
    <n v="60"/>
    <n v="414"/>
    <n v="0.12379227053140096"/>
    <n v="0.14492753623188406"/>
    <n v="6.8999999999999995"/>
    <n v="11.999999999999998"/>
  </r>
  <r>
    <x v="0"/>
    <x v="1"/>
    <x v="16"/>
    <x v="3"/>
    <n v="23"/>
    <d v="2026-01-17T07:00:00"/>
    <d v="2026-01-17T19:00:00"/>
    <d v="1899-12-30T01:45:00"/>
    <d v="1899-12-30T00:45:00"/>
    <m/>
    <m/>
    <n v="9.5"/>
    <n v="12"/>
    <n v="218.5"/>
    <n v="276"/>
    <n v="394"/>
    <n v="0.55456852791878175"/>
    <n v="0.70050761421319796"/>
    <n v="1.4275362318840581"/>
    <n v="11.999999999999998"/>
  </r>
  <r>
    <x v="0"/>
    <x v="1"/>
    <x v="16"/>
    <x v="4"/>
    <n v="20"/>
    <d v="2026-01-17T07:00:00"/>
    <d v="2026-01-17T21:00:00"/>
    <d v="1899-12-30T01:45:00"/>
    <d v="1899-12-30T04:45:00"/>
    <m/>
    <m/>
    <n v="7.5"/>
    <n v="14"/>
    <n v="150"/>
    <n v="280"/>
    <n v="331"/>
    <n v="0.45317220543806647"/>
    <n v="0.84592145015105735"/>
    <n v="1.1821428571428572"/>
    <n v="13.999999999999998"/>
  </r>
  <r>
    <x v="0"/>
    <x v="1"/>
    <x v="17"/>
    <x v="4"/>
    <n v="24"/>
    <d v="2026-01-18T07:00:00"/>
    <d v="2026-01-18T17:00:00"/>
    <d v="1899-12-30T01:30:00"/>
    <m/>
    <m/>
    <m/>
    <n v="8.5"/>
    <n v="10"/>
    <n v="204"/>
    <n v="240"/>
    <n v="370"/>
    <n v="0.55135135135135138"/>
    <n v="0.64864864864864868"/>
    <n v="1.5416666666666665"/>
    <n v="10"/>
  </r>
  <r>
    <x v="0"/>
    <x v="1"/>
    <x v="18"/>
    <x v="1"/>
    <n v="16"/>
    <d v="2026-01-19T07:00:00"/>
    <d v="2026-01-19T19:00:00"/>
    <d v="1899-12-30T01:45:00"/>
    <m/>
    <m/>
    <m/>
    <n v="10.25"/>
    <n v="12"/>
    <n v="164"/>
    <n v="192"/>
    <n v="387"/>
    <n v="0.42377260981912146"/>
    <n v="0.49612403100775193"/>
    <n v="2.015625"/>
    <n v="11.999999999999998"/>
  </r>
  <r>
    <x v="0"/>
    <x v="1"/>
    <x v="18"/>
    <x v="2"/>
    <n v="5"/>
    <d v="2026-01-19T07:00:00"/>
    <d v="2026-01-19T19:00:00"/>
    <d v="1899-12-30T01:45:00"/>
    <m/>
    <m/>
    <m/>
    <n v="10.25"/>
    <n v="12"/>
    <n v="51.25"/>
    <n v="60"/>
    <n v="357"/>
    <n v="0.14355742296918766"/>
    <n v="0.16806722689075632"/>
    <n v="5.9499999999999993"/>
    <n v="11.999999999999998"/>
  </r>
  <r>
    <x v="0"/>
    <x v="1"/>
    <x v="18"/>
    <x v="3"/>
    <n v="24"/>
    <d v="2026-01-19T07:00:00"/>
    <d v="2026-01-19T19:00:00"/>
    <d v="1899-12-30T01:45:00"/>
    <d v="1899-12-30T01:43:00"/>
    <m/>
    <m/>
    <n v="8.5333333333333332"/>
    <n v="12"/>
    <n v="204.8"/>
    <n v="288"/>
    <n v="378"/>
    <n v="0.54179894179894184"/>
    <n v="0.76190476190476186"/>
    <n v="1.3125"/>
    <n v="11.999999999999998"/>
  </r>
  <r>
    <x v="0"/>
    <x v="1"/>
    <x v="18"/>
    <x v="4"/>
    <n v="22"/>
    <d v="2026-01-19T07:00:00"/>
    <d v="2026-01-19T19:00:00"/>
    <d v="1899-12-30T01:45:00"/>
    <m/>
    <m/>
    <m/>
    <n v="10.25"/>
    <n v="12"/>
    <n v="225.5"/>
    <n v="264"/>
    <n v="384"/>
    <n v="0.58723958333333337"/>
    <n v="0.6875"/>
    <n v="1.4545454545454546"/>
    <n v="11.999999999999998"/>
  </r>
  <r>
    <x v="0"/>
    <x v="1"/>
    <x v="19"/>
    <x v="1"/>
    <n v="19"/>
    <d v="2026-01-20T07:00:00"/>
    <d v="2026-01-20T19:00:00"/>
    <d v="1899-12-30T01:45:00"/>
    <m/>
    <m/>
    <m/>
    <n v="10.25"/>
    <n v="12"/>
    <n v="194.75"/>
    <n v="228"/>
    <n v="490"/>
    <n v="0.39744897959183673"/>
    <n v="0.46530612244897956"/>
    <n v="2.1491228070175441"/>
    <n v="11.999999999999998"/>
  </r>
  <r>
    <x v="0"/>
    <x v="1"/>
    <x v="19"/>
    <x v="2"/>
    <n v="5"/>
    <d v="2026-01-20T07:00:00"/>
    <d v="2026-01-20T19:00:00"/>
    <d v="1899-12-30T01:45:00"/>
    <m/>
    <m/>
    <m/>
    <n v="10.25"/>
    <n v="12"/>
    <n v="51.25"/>
    <n v="60"/>
    <n v="428"/>
    <n v="0.11974299065420561"/>
    <n v="0.14018691588785046"/>
    <n v="7.1333333333333337"/>
    <n v="11.999999999999998"/>
  </r>
  <r>
    <x v="0"/>
    <x v="1"/>
    <x v="19"/>
    <x v="3"/>
    <n v="23"/>
    <d v="2026-01-20T07:00:00"/>
    <d v="2026-01-20T19:00:00"/>
    <d v="1899-12-30T01:45:00"/>
    <d v="1899-12-30T00:40:00"/>
    <m/>
    <m/>
    <n v="9.5833333333333339"/>
    <n v="12"/>
    <n v="220.41666666666669"/>
    <n v="276"/>
    <n v="420"/>
    <n v="0.52480158730158732"/>
    <n v="0.65714285714285714"/>
    <n v="1.5217391304347827"/>
    <n v="11.999999999999998"/>
  </r>
  <r>
    <x v="0"/>
    <x v="1"/>
    <x v="19"/>
    <x v="4"/>
    <n v="24"/>
    <d v="2026-01-20T07:00:00"/>
    <d v="2026-01-20T21:00:00"/>
    <d v="1899-12-30T01:45:00"/>
    <m/>
    <m/>
    <m/>
    <n v="12.25"/>
    <n v="14"/>
    <n v="294"/>
    <n v="336"/>
    <n v="446"/>
    <n v="0.65919282511210764"/>
    <n v="0.75336322869955152"/>
    <n v="1.3273809523809526"/>
    <n v="13.999999999999998"/>
  </r>
  <r>
    <x v="0"/>
    <x v="1"/>
    <x v="20"/>
    <x v="1"/>
    <n v="19"/>
    <d v="2026-01-21T07:00:00"/>
    <d v="2026-01-21T19:00:00"/>
    <d v="1899-12-30T01:45:00"/>
    <m/>
    <m/>
    <m/>
    <n v="10.25"/>
    <n v="12"/>
    <n v="194.75"/>
    <n v="228"/>
    <n v="433"/>
    <n v="0.44976905311778292"/>
    <n v="0.52655889145496537"/>
    <n v="1.8991228070175439"/>
    <n v="11.999999999999998"/>
  </r>
  <r>
    <x v="0"/>
    <x v="1"/>
    <x v="20"/>
    <x v="2"/>
    <n v="5"/>
    <d v="2026-01-21T07:00:00"/>
    <d v="2026-01-21T19:00:00"/>
    <d v="1899-12-30T01:45:00"/>
    <m/>
    <m/>
    <m/>
    <n v="10.25"/>
    <n v="12"/>
    <n v="51.25"/>
    <n v="60"/>
    <n v="440"/>
    <n v="0.11647727272727272"/>
    <n v="0.13636363636363635"/>
    <n v="7.3333333333333339"/>
    <n v="11.999999999999998"/>
  </r>
  <r>
    <x v="0"/>
    <x v="1"/>
    <x v="20"/>
    <x v="3"/>
    <n v="25"/>
    <d v="2026-01-21T07:00:00"/>
    <d v="2026-01-21T19:00:00"/>
    <d v="1899-12-30T01:45:00"/>
    <d v="1899-12-30T03:01:00"/>
    <m/>
    <m/>
    <n v="7.2333333333333334"/>
    <n v="12"/>
    <n v="180.83333333333334"/>
    <n v="300"/>
    <n v="450"/>
    <n v="0.40185185185185185"/>
    <n v="0.66666666666666663"/>
    <n v="1.5"/>
    <n v="11.999999999999998"/>
  </r>
  <r>
    <x v="0"/>
    <x v="1"/>
    <x v="20"/>
    <x v="4"/>
    <n v="24"/>
    <d v="2026-01-21T07:00:00"/>
    <d v="2026-01-21T19:00:00"/>
    <d v="1899-12-30T01:45:00"/>
    <m/>
    <m/>
    <m/>
    <n v="10.25"/>
    <n v="12"/>
    <n v="246"/>
    <n v="288"/>
    <n v="500"/>
    <n v="0.49199999999999999"/>
    <n v="0.57599999999999996"/>
    <n v="1.7361111111111112"/>
    <n v="11.999999999999998"/>
  </r>
  <r>
    <x v="0"/>
    <x v="1"/>
    <x v="21"/>
    <x v="1"/>
    <n v="16"/>
    <d v="2026-01-22T07:00:00"/>
    <d v="2026-01-22T19:00:00"/>
    <d v="1899-12-30T01:45:00"/>
    <m/>
    <m/>
    <m/>
    <n v="10.25"/>
    <n v="12"/>
    <n v="164"/>
    <n v="192"/>
    <n v="381"/>
    <n v="0.43044619422572178"/>
    <n v="0.50393700787401574"/>
    <n v="1.984375"/>
    <n v="11.999999999999998"/>
  </r>
  <r>
    <x v="0"/>
    <x v="1"/>
    <x v="21"/>
    <x v="2"/>
    <n v="5"/>
    <d v="2026-01-22T07:00:00"/>
    <d v="2026-01-22T19:00:00"/>
    <d v="1899-12-30T01:45:00"/>
    <m/>
    <m/>
    <m/>
    <n v="10.25"/>
    <n v="12"/>
    <n v="51.25"/>
    <n v="60"/>
    <n v="440"/>
    <n v="0.11647727272727272"/>
    <n v="0.13636363636363635"/>
    <n v="7.3333333333333339"/>
    <n v="11.999999999999998"/>
  </r>
  <r>
    <x v="0"/>
    <x v="1"/>
    <x v="21"/>
    <x v="3"/>
    <n v="25"/>
    <d v="2026-01-22T07:00:00"/>
    <d v="2026-01-22T19:00:00"/>
    <d v="1899-12-30T01:45:00"/>
    <d v="1899-12-30T01:34:00"/>
    <m/>
    <m/>
    <n v="8.6833333333333336"/>
    <n v="12"/>
    <n v="217.08333333333334"/>
    <n v="300"/>
    <n v="375"/>
    <n v="0.5788888888888889"/>
    <n v="0.8"/>
    <n v="1.25"/>
    <n v="11.999999999999998"/>
  </r>
  <r>
    <x v="0"/>
    <x v="1"/>
    <x v="21"/>
    <x v="4"/>
    <n v="23"/>
    <d v="2026-01-22T07:00:00"/>
    <d v="2026-01-22T19:00:00"/>
    <d v="1899-12-30T01:45:00"/>
    <m/>
    <m/>
    <m/>
    <n v="10.25"/>
    <n v="12"/>
    <n v="235.75"/>
    <n v="276"/>
    <n v="374"/>
    <n v="0.63034759358288772"/>
    <n v="0.73796791443850263"/>
    <n v="1.355072463768116"/>
    <n v="11.999999999999998"/>
  </r>
  <r>
    <x v="0"/>
    <x v="1"/>
    <x v="22"/>
    <x v="1"/>
    <n v="17"/>
    <d v="2026-01-23T07:00:00"/>
    <d v="2026-01-23T19:00:00"/>
    <d v="1899-12-30T01:45:00"/>
    <m/>
    <m/>
    <m/>
    <n v="10.25"/>
    <n v="12"/>
    <n v="174.25"/>
    <n v="204"/>
    <n v="399"/>
    <n v="0.43671679197994989"/>
    <n v="0.51127819548872178"/>
    <n v="1.9558823529411766"/>
    <n v="11.999999999999998"/>
  </r>
  <r>
    <x v="0"/>
    <x v="1"/>
    <x v="22"/>
    <x v="2"/>
    <n v="5"/>
    <d v="2026-01-23T07:00:00"/>
    <d v="2026-01-23T19:00:00"/>
    <d v="1899-12-30T01:45:00"/>
    <m/>
    <m/>
    <m/>
    <n v="10.25"/>
    <n v="12"/>
    <n v="51.25"/>
    <n v="60"/>
    <n v="412"/>
    <n v="0.12439320388349515"/>
    <n v="0.14563106796116504"/>
    <n v="6.8666666666666671"/>
    <n v="11.999999999999998"/>
  </r>
  <r>
    <x v="0"/>
    <x v="1"/>
    <x v="22"/>
    <x v="3"/>
    <n v="24"/>
    <d v="2026-01-23T07:00:00"/>
    <d v="2026-01-23T19:00:00"/>
    <d v="1899-12-30T01:45:00"/>
    <d v="1899-12-30T02:16:00"/>
    <m/>
    <m/>
    <n v="7.9833333333333334"/>
    <n v="12"/>
    <n v="191.6"/>
    <n v="288"/>
    <n v="400"/>
    <n v="0.47899999999999998"/>
    <n v="0.72"/>
    <n v="1.3888888888888888"/>
    <n v="11.999999999999998"/>
  </r>
  <r>
    <x v="0"/>
    <x v="1"/>
    <x v="22"/>
    <x v="4"/>
    <n v="19"/>
    <d v="2026-01-23T07:00:00"/>
    <d v="2026-01-23T19:00:00"/>
    <d v="1899-12-30T01:45:00"/>
    <m/>
    <m/>
    <m/>
    <n v="10.25"/>
    <n v="12"/>
    <n v="194.75"/>
    <n v="228"/>
    <n v="398"/>
    <n v="0.48932160804020103"/>
    <n v="0.57286432160804024"/>
    <n v="1.7456140350877192"/>
    <n v="11.999999999999998"/>
  </r>
  <r>
    <x v="0"/>
    <x v="1"/>
    <x v="23"/>
    <x v="1"/>
    <n v="20"/>
    <d v="2026-01-24T07:00:00"/>
    <d v="2026-01-24T19:00:00"/>
    <d v="1899-12-30T01:45:00"/>
    <m/>
    <m/>
    <m/>
    <n v="10.25"/>
    <n v="12"/>
    <n v="205"/>
    <n v="240"/>
    <n v="424"/>
    <n v="0.48349056603773582"/>
    <n v="0.56603773584905659"/>
    <n v="1.7666666666666666"/>
    <n v="11.999999999999998"/>
  </r>
  <r>
    <x v="0"/>
    <x v="1"/>
    <x v="23"/>
    <x v="2"/>
    <n v="5"/>
    <d v="2026-01-24T07:00:00"/>
    <d v="2026-01-24T19:00:00"/>
    <d v="1899-12-30T01:45:00"/>
    <m/>
    <m/>
    <m/>
    <n v="10.25"/>
    <n v="12"/>
    <n v="51.25"/>
    <n v="60"/>
    <n v="417"/>
    <n v="0.12290167865707434"/>
    <n v="0.14388489208633093"/>
    <n v="6.95"/>
    <n v="11.999999999999998"/>
  </r>
  <r>
    <x v="0"/>
    <x v="1"/>
    <x v="23"/>
    <x v="3"/>
    <n v="23"/>
    <d v="2026-01-24T07:00:00"/>
    <d v="2026-01-24T19:00:00"/>
    <d v="1899-12-30T01:45:00"/>
    <d v="1899-12-30T00:34:00"/>
    <m/>
    <m/>
    <n v="9.6833333333333336"/>
    <n v="12"/>
    <n v="222.71666666666667"/>
    <n v="276"/>
    <n v="406"/>
    <n v="0.54856321839080457"/>
    <n v="0.67980295566502458"/>
    <n v="1.4710144927536233"/>
    <n v="11.999999999999998"/>
  </r>
  <r>
    <x v="0"/>
    <x v="1"/>
    <x v="23"/>
    <x v="4"/>
    <n v="20"/>
    <d v="2026-01-24T07:00:00"/>
    <d v="2026-01-24T19:00:00"/>
    <d v="1899-12-30T01:45:00"/>
    <m/>
    <m/>
    <m/>
    <n v="10.25"/>
    <n v="12"/>
    <n v="205"/>
    <n v="240"/>
    <n v="452"/>
    <n v="0.45353982300884954"/>
    <n v="0.53097345132743368"/>
    <n v="1.8833333333333331"/>
    <n v="11.999999999999998"/>
  </r>
  <r>
    <x v="0"/>
    <x v="1"/>
    <x v="25"/>
    <x v="1"/>
    <n v="17"/>
    <d v="2026-01-26T07:00:00"/>
    <d v="2026-01-26T19:00:00"/>
    <d v="1899-12-30T01:45:00"/>
    <m/>
    <m/>
    <m/>
    <n v="10.25"/>
    <n v="12"/>
    <n v="174.25"/>
    <n v="204"/>
    <n v="406"/>
    <n v="0.42918719211822659"/>
    <n v="0.50246305418719217"/>
    <n v="1.9901960784313724"/>
    <n v="11.999999999999998"/>
  </r>
  <r>
    <x v="0"/>
    <x v="1"/>
    <x v="25"/>
    <x v="2"/>
    <n v="5"/>
    <d v="2026-01-26T07:00:00"/>
    <d v="2026-01-26T19:00:00"/>
    <d v="1899-12-30T01:45:00"/>
    <d v="1899-12-30T02:40:00"/>
    <m/>
    <m/>
    <n v="7.5833333333333339"/>
    <n v="12"/>
    <n v="37.916666666666671"/>
    <n v="60"/>
    <n v="423"/>
    <n v="8.9637509850275812E-2"/>
    <n v="0.14184397163120568"/>
    <n v="7.05"/>
    <n v="11.999999999999998"/>
  </r>
  <r>
    <x v="0"/>
    <x v="1"/>
    <x v="25"/>
    <x v="3"/>
    <n v="22"/>
    <d v="2026-01-26T07:00:00"/>
    <d v="2026-01-26T19:00:00"/>
    <d v="1899-12-30T01:45:00"/>
    <d v="1899-12-30T01:00:00"/>
    <m/>
    <m/>
    <n v="9.25"/>
    <n v="12"/>
    <n v="203.5"/>
    <n v="264"/>
    <n v="404"/>
    <n v="0.50371287128712872"/>
    <n v="0.65346534653465349"/>
    <n v="1.5303030303030303"/>
    <n v="11.999999999999998"/>
  </r>
  <r>
    <x v="0"/>
    <x v="1"/>
    <x v="25"/>
    <x v="4"/>
    <n v="19"/>
    <d v="2026-01-26T07:00:00"/>
    <d v="2026-01-26T19:00:00"/>
    <d v="1899-12-30T01:45:00"/>
    <m/>
    <m/>
    <m/>
    <n v="10.25"/>
    <n v="12"/>
    <n v="194.75"/>
    <n v="228"/>
    <n v="304"/>
    <n v="0.640625"/>
    <n v="0.75"/>
    <n v="1.3333333333333333"/>
    <n v="11.999999999999998"/>
  </r>
  <r>
    <x v="0"/>
    <x v="1"/>
    <x v="26"/>
    <x v="1"/>
    <n v="19"/>
    <d v="2026-01-27T07:00:00"/>
    <d v="2026-01-27T19:00:00"/>
    <d v="1899-12-30T01:45:00"/>
    <m/>
    <m/>
    <m/>
    <n v="10.25"/>
    <n v="12"/>
    <n v="194.75"/>
    <n v="228"/>
    <n v="500"/>
    <n v="0.38950000000000001"/>
    <n v="0.45600000000000002"/>
    <n v="2.1929824561403506"/>
    <n v="11.999999999999998"/>
  </r>
  <r>
    <x v="0"/>
    <x v="1"/>
    <x v="26"/>
    <x v="2"/>
    <n v="5"/>
    <d v="2026-01-27T07:00:00"/>
    <d v="2026-01-27T19:00:00"/>
    <d v="1899-12-30T01:45:00"/>
    <m/>
    <m/>
    <m/>
    <n v="10.25"/>
    <n v="12"/>
    <n v="51.25"/>
    <n v="60"/>
    <n v="438"/>
    <n v="0.11700913242009132"/>
    <n v="0.13698630136986301"/>
    <n v="7.3000000000000007"/>
    <n v="11.999999999999998"/>
  </r>
  <r>
    <x v="0"/>
    <x v="1"/>
    <x v="26"/>
    <x v="3"/>
    <n v="22"/>
    <d v="2026-01-27T07:00:00"/>
    <d v="2026-01-27T19:00:00"/>
    <d v="1899-12-30T01:45:00"/>
    <m/>
    <m/>
    <m/>
    <n v="10.25"/>
    <n v="12"/>
    <n v="225.5"/>
    <n v="264"/>
    <n v="498"/>
    <n v="0.4528112449799197"/>
    <n v="0.53012048192771088"/>
    <n v="1.8863636363636362"/>
    <n v="11.999999999999998"/>
  </r>
  <r>
    <x v="0"/>
    <x v="1"/>
    <x v="26"/>
    <x v="4"/>
    <n v="19"/>
    <d v="2026-01-27T07:00:00"/>
    <d v="2026-01-27T19:00:00"/>
    <d v="1899-12-30T01:45:00"/>
    <d v="1899-12-30T00:45:00"/>
    <m/>
    <m/>
    <n v="9.5"/>
    <n v="12"/>
    <n v="180.5"/>
    <n v="228"/>
    <n v="572"/>
    <n v="0.31555944055944057"/>
    <n v="0.39860139860139859"/>
    <n v="2.5087719298245617"/>
    <n v="11.999999999999998"/>
  </r>
  <r>
    <x v="0"/>
    <x v="1"/>
    <x v="27"/>
    <x v="1"/>
    <n v="20"/>
    <d v="2026-01-28T07:00:00"/>
    <d v="2026-01-28T19:00:00"/>
    <d v="1899-12-30T01:45:00"/>
    <m/>
    <m/>
    <m/>
    <n v="10.25"/>
    <n v="12"/>
    <n v="205"/>
    <n v="240"/>
    <n v="500"/>
    <n v="0.41"/>
    <n v="0.48"/>
    <n v="2.0833333333333335"/>
    <n v="11.999999999999998"/>
  </r>
  <r>
    <x v="0"/>
    <x v="1"/>
    <x v="27"/>
    <x v="2"/>
    <n v="5"/>
    <d v="2026-01-28T07:00:00"/>
    <d v="2026-01-28T19:00:00"/>
    <d v="1899-12-30T01:45:00"/>
    <m/>
    <m/>
    <m/>
    <n v="10.25"/>
    <n v="12"/>
    <n v="51.25"/>
    <n v="60"/>
    <n v="508"/>
    <n v="0.10088582677165354"/>
    <n v="0.11811023622047244"/>
    <n v="8.4666666666666668"/>
    <n v="11.999999999999998"/>
  </r>
  <r>
    <x v="0"/>
    <x v="1"/>
    <x v="27"/>
    <x v="3"/>
    <n v="21"/>
    <d v="2026-01-28T07:00:00"/>
    <d v="2026-01-28T19:00:00"/>
    <d v="1899-12-30T01:45:00"/>
    <d v="1899-12-30T01:00:00"/>
    <m/>
    <m/>
    <n v="9.25"/>
    <n v="12"/>
    <n v="194.25"/>
    <n v="252"/>
    <n v="480"/>
    <n v="0.40468749999999998"/>
    <n v="0.52500000000000002"/>
    <n v="1.9047619047619047"/>
    <n v="11.999999999999998"/>
  </r>
  <r>
    <x v="0"/>
    <x v="1"/>
    <x v="27"/>
    <x v="4"/>
    <n v="19"/>
    <d v="2026-01-28T07:00:00"/>
    <d v="2026-01-28T19:00:00"/>
    <d v="1899-12-30T01:45:00"/>
    <m/>
    <m/>
    <m/>
    <n v="10.25"/>
    <n v="12"/>
    <n v="194.75"/>
    <n v="228"/>
    <n v="538"/>
    <n v="0.36198884758364314"/>
    <n v="0.42379182156133827"/>
    <n v="2.3596491228070176"/>
    <n v="11.999999999999998"/>
  </r>
  <r>
    <x v="0"/>
    <x v="1"/>
    <x v="28"/>
    <x v="1"/>
    <n v="19"/>
    <d v="2026-01-29T07:00:00"/>
    <d v="2026-01-29T19:00:00"/>
    <d v="1899-12-30T01:45:00"/>
    <m/>
    <m/>
    <m/>
    <n v="10.25"/>
    <n v="12"/>
    <n v="194.75"/>
    <n v="228"/>
    <n v="503"/>
    <n v="0.38717693836978129"/>
    <n v="0.45328031809145131"/>
    <n v="2.2061403508771931"/>
    <n v="11.999999999999998"/>
  </r>
  <r>
    <x v="0"/>
    <x v="1"/>
    <x v="28"/>
    <x v="2"/>
    <n v="5"/>
    <d v="2026-01-29T07:00:00"/>
    <d v="2026-01-29T19:00:00"/>
    <d v="1899-12-30T01:45:00"/>
    <m/>
    <m/>
    <m/>
    <n v="10.25"/>
    <n v="12"/>
    <n v="51.25"/>
    <n v="60"/>
    <n v="471"/>
    <n v="0.10881104033970276"/>
    <n v="0.12738853503184713"/>
    <n v="7.85"/>
    <n v="11.999999999999998"/>
  </r>
  <r>
    <x v="0"/>
    <x v="1"/>
    <x v="28"/>
    <x v="3"/>
    <n v="22"/>
    <d v="2026-01-29T07:00:00"/>
    <d v="2026-01-29T19:00:00"/>
    <d v="1899-12-30T01:45:00"/>
    <d v="1899-12-30T01:13:00"/>
    <m/>
    <m/>
    <n v="9.0333333333333332"/>
    <n v="12"/>
    <n v="198.73333333333332"/>
    <n v="264"/>
    <n v="487"/>
    <n v="0.40807665982203967"/>
    <n v="0.5420944558521561"/>
    <n v="1.8446969696969695"/>
    <n v="11.999999999999998"/>
  </r>
  <r>
    <x v="0"/>
    <x v="1"/>
    <x v="28"/>
    <x v="4"/>
    <n v="19"/>
    <d v="2026-01-29T07:00:00"/>
    <d v="2026-01-29T19:00:00"/>
    <d v="1899-12-30T01:45:00"/>
    <d v="1899-12-30T04:30:00"/>
    <m/>
    <m/>
    <n v="5.75"/>
    <n v="12"/>
    <n v="109.25"/>
    <n v="228"/>
    <n v="438"/>
    <n v="0.24942922374429224"/>
    <n v="0.52054794520547942"/>
    <n v="1.9210526315789476"/>
    <n v="11.999999999999998"/>
  </r>
  <r>
    <x v="0"/>
    <x v="1"/>
    <x v="29"/>
    <x v="1"/>
    <n v="17"/>
    <d v="2026-01-30T07:00:00"/>
    <d v="2026-01-30T19:00:00"/>
    <d v="1899-12-30T01:45:00"/>
    <m/>
    <m/>
    <m/>
    <n v="10.25"/>
    <n v="12"/>
    <n v="174.25"/>
    <n v="204"/>
    <n v="420"/>
    <n v="0.41488095238095241"/>
    <n v="0.48571428571428571"/>
    <n v="2.0588235294117649"/>
    <n v="11.999999999999998"/>
  </r>
  <r>
    <x v="0"/>
    <x v="1"/>
    <x v="29"/>
    <x v="2"/>
    <n v="5"/>
    <d v="2026-01-30T07:00:00"/>
    <d v="2026-01-30T19:00:00"/>
    <d v="1899-12-30T01:45:00"/>
    <m/>
    <m/>
    <m/>
    <n v="10.25"/>
    <n v="12"/>
    <n v="51.25"/>
    <n v="60"/>
    <n v="482"/>
    <n v="0.10632780082987552"/>
    <n v="0.12448132780082988"/>
    <n v="8.0333333333333332"/>
    <n v="11.999999999999998"/>
  </r>
  <r>
    <x v="0"/>
    <x v="1"/>
    <x v="29"/>
    <x v="3"/>
    <n v="21"/>
    <d v="2026-01-30T07:00:00"/>
    <d v="2026-01-30T19:00:00"/>
    <d v="1899-12-30T01:45:00"/>
    <m/>
    <m/>
    <m/>
    <n v="10.25"/>
    <n v="12"/>
    <n v="215.25"/>
    <n v="252"/>
    <n v="443"/>
    <n v="0.48589164785553046"/>
    <n v="0.56884875846501126"/>
    <n v="1.7579365079365079"/>
    <n v="11.999999999999998"/>
  </r>
  <r>
    <x v="0"/>
    <x v="1"/>
    <x v="29"/>
    <x v="4"/>
    <n v="19"/>
    <d v="2026-01-30T07:00:00"/>
    <d v="2026-01-30T17:00:00"/>
    <d v="1899-12-30T01:30:00"/>
    <m/>
    <m/>
    <m/>
    <n v="8.5"/>
    <n v="10"/>
    <n v="161.5"/>
    <n v="190"/>
    <n v="517"/>
    <n v="0.31237911025145065"/>
    <n v="0.36750483558994196"/>
    <n v="2.7210526315789476"/>
    <n v="10"/>
  </r>
  <r>
    <x v="0"/>
    <x v="1"/>
    <x v="30"/>
    <x v="1"/>
    <n v="19"/>
    <d v="2026-01-31T07:00:00"/>
    <d v="2026-01-31T19:00:00"/>
    <d v="1899-12-30T01:45:00"/>
    <m/>
    <m/>
    <m/>
    <n v="10.25"/>
    <n v="12"/>
    <n v="194.75"/>
    <n v="228"/>
    <n v="370"/>
    <n v="0.52635135135135136"/>
    <n v="0.61621621621621625"/>
    <n v="1.6228070175438596"/>
    <n v="11.999999999999998"/>
  </r>
  <r>
    <x v="0"/>
    <x v="1"/>
    <x v="30"/>
    <x v="2"/>
    <n v="5"/>
    <d v="2026-01-31T07:00:00"/>
    <d v="2026-01-31T19:00:00"/>
    <d v="1899-12-30T01:45:00"/>
    <m/>
    <m/>
    <m/>
    <n v="10.25"/>
    <n v="12"/>
    <n v="51.25"/>
    <n v="60"/>
    <n v="380"/>
    <n v="0.13486842105263158"/>
    <n v="0.15789473684210525"/>
    <n v="6.3333333333333339"/>
    <n v="11.999999999999998"/>
  </r>
  <r>
    <x v="0"/>
    <x v="1"/>
    <x v="30"/>
    <x v="3"/>
    <n v="20"/>
    <d v="2026-01-31T07:00:00"/>
    <d v="2026-01-31T19:00:00"/>
    <d v="1899-12-30T01:45:00"/>
    <m/>
    <m/>
    <m/>
    <n v="10.25"/>
    <n v="12"/>
    <n v="205"/>
    <n v="240"/>
    <n v="494"/>
    <n v="0.41497975708502022"/>
    <n v="0.48582995951417002"/>
    <n v="2.0583333333333336"/>
    <n v="11.999999999999998"/>
  </r>
  <r>
    <x v="0"/>
    <x v="1"/>
    <x v="30"/>
    <x v="4"/>
    <n v="17"/>
    <d v="2026-01-31T07:00:00"/>
    <d v="2026-01-31T19:00:00"/>
    <d v="1899-12-30T01:45:00"/>
    <d v="1899-12-30T04:30:00"/>
    <m/>
    <m/>
    <n v="5.75"/>
    <n v="12"/>
    <n v="97.75"/>
    <n v="204"/>
    <n v="377"/>
    <n v="0.25928381962864722"/>
    <n v="0.54111405835543769"/>
    <n v="1.8480392156862744"/>
    <n v="11.999999999999998"/>
  </r>
  <r>
    <x v="1"/>
    <x v="1"/>
    <x v="31"/>
    <x v="3"/>
    <n v="7"/>
    <d v="2026-02-01T07:00:00"/>
    <d v="2026-02-01T16:00:00"/>
    <d v="1899-12-30T01:30:00"/>
    <m/>
    <m/>
    <m/>
    <n v="7.5"/>
    <n v="9"/>
    <n v="52.5"/>
    <n v="63"/>
    <n v="154"/>
    <n v="0.34090909090909088"/>
    <n v="0.40909090909090912"/>
    <n v="2.4444444444444442"/>
    <n v="8.9999999999999982"/>
  </r>
  <r>
    <x v="1"/>
    <x v="1"/>
    <x v="31"/>
    <x v="4"/>
    <n v="14"/>
    <d v="2026-02-01T07:00:00"/>
    <d v="2026-02-01T17:00:00"/>
    <d v="1899-12-30T01:30:00"/>
    <m/>
    <m/>
    <m/>
    <n v="8.5"/>
    <n v="10"/>
    <n v="119"/>
    <n v="140"/>
    <n v="325"/>
    <n v="0.36615384615384616"/>
    <n v="0.43076923076923079"/>
    <n v="2.3214285714285712"/>
    <n v="10"/>
  </r>
  <r>
    <x v="1"/>
    <x v="1"/>
    <x v="32"/>
    <x v="1"/>
    <n v="17"/>
    <d v="2026-02-02T07:00:00"/>
    <d v="2026-02-02T19:00:00"/>
    <d v="1899-12-30T01:45:00"/>
    <m/>
    <m/>
    <m/>
    <n v="10.25"/>
    <n v="12"/>
    <n v="174.25"/>
    <n v="204"/>
    <n v="410"/>
    <n v="0.42499999999999999"/>
    <n v="0.4975609756097561"/>
    <n v="2.0098039215686274"/>
    <n v="11.999999999999998"/>
  </r>
  <r>
    <x v="1"/>
    <x v="1"/>
    <x v="32"/>
    <x v="2"/>
    <n v="5"/>
    <d v="2026-02-02T07:00:00"/>
    <d v="2026-02-02T19:00:00"/>
    <d v="1899-12-30T01:45:00"/>
    <m/>
    <m/>
    <m/>
    <n v="10.25"/>
    <n v="12"/>
    <n v="51.25"/>
    <n v="60"/>
    <n v="419"/>
    <n v="0.12231503579952267"/>
    <n v="0.14319809069212411"/>
    <n v="6.9833333333333334"/>
    <n v="11.999999999999998"/>
  </r>
  <r>
    <x v="1"/>
    <x v="1"/>
    <x v="32"/>
    <x v="3"/>
    <n v="17"/>
    <d v="2026-02-02T07:00:00"/>
    <d v="2026-02-02T19:00:00"/>
    <d v="1899-12-30T01:45:00"/>
    <m/>
    <m/>
    <m/>
    <n v="10.25"/>
    <n v="12"/>
    <n v="174.25"/>
    <n v="204"/>
    <n v="333"/>
    <n v="0.52327327327327322"/>
    <n v="0.61261261261261257"/>
    <n v="1.6323529411764708"/>
    <n v="11.999999999999998"/>
  </r>
  <r>
    <x v="1"/>
    <x v="1"/>
    <x v="32"/>
    <x v="4"/>
    <n v="15"/>
    <d v="2026-02-02T07:00:00"/>
    <d v="2026-02-02T19:00:00"/>
    <d v="1899-12-30T01:45:00"/>
    <m/>
    <m/>
    <m/>
    <n v="10.25"/>
    <n v="12"/>
    <n v="153.75"/>
    <n v="180"/>
    <n v="302"/>
    <n v="0.50910596026490063"/>
    <n v="0.59602649006622521"/>
    <n v="1.6777777777777776"/>
    <n v="11.999999999999998"/>
  </r>
  <r>
    <x v="1"/>
    <x v="1"/>
    <x v="33"/>
    <x v="1"/>
    <n v="18"/>
    <d v="2026-02-03T07:00:00"/>
    <d v="2026-02-03T19:00:00"/>
    <d v="1899-12-30T01:45:00"/>
    <m/>
    <m/>
    <m/>
    <n v="10.25"/>
    <n v="12"/>
    <n v="184.5"/>
    <n v="216"/>
    <n v="459"/>
    <n v="0.40196078431372551"/>
    <n v="0.47058823529411764"/>
    <n v="2.125"/>
    <n v="11.999999999999998"/>
  </r>
  <r>
    <x v="1"/>
    <x v="1"/>
    <x v="33"/>
    <x v="2"/>
    <n v="5"/>
    <d v="2026-02-03T07:00:00"/>
    <d v="2026-02-03T19:00:00"/>
    <d v="1899-12-30T01:45:00"/>
    <m/>
    <m/>
    <m/>
    <n v="10.25"/>
    <n v="12"/>
    <n v="51.25"/>
    <n v="60"/>
    <n v="401"/>
    <n v="0.12780548628428928"/>
    <n v="0.14962593516209477"/>
    <n v="6.6833333333333327"/>
    <n v="11.999999999999998"/>
  </r>
  <r>
    <x v="1"/>
    <x v="1"/>
    <x v="33"/>
    <x v="3"/>
    <n v="19"/>
    <d v="2026-02-03T07:00:00"/>
    <d v="2026-02-03T19:00:00"/>
    <d v="1899-12-30T01:45:00"/>
    <m/>
    <m/>
    <m/>
    <n v="10.25"/>
    <n v="12"/>
    <n v="194.75"/>
    <n v="228"/>
    <n v="390"/>
    <n v="0.49935897435897436"/>
    <n v="0.58461538461538465"/>
    <n v="1.7105263157894737"/>
    <n v="11.999999999999998"/>
  </r>
  <r>
    <x v="1"/>
    <x v="1"/>
    <x v="33"/>
    <x v="4"/>
    <n v="16"/>
    <d v="2026-02-03T07:00:00"/>
    <d v="2026-02-03T19:00:00"/>
    <d v="1899-12-30T01:45:00"/>
    <d v="1899-12-30T06:28:00"/>
    <m/>
    <m/>
    <n v="3.7833333333333332"/>
    <n v="12"/>
    <n v="60.533333333333331"/>
    <n v="192"/>
    <n v="75"/>
    <n v="0.80711111111111111"/>
    <n v="2.56"/>
    <n v="0.390625"/>
    <n v="11.999999999999998"/>
  </r>
  <r>
    <x v="1"/>
    <x v="1"/>
    <x v="34"/>
    <x v="1"/>
    <n v="15"/>
    <d v="2026-02-04T07:00:00"/>
    <d v="2026-02-04T19:00:00"/>
    <d v="1899-12-30T01:45:00"/>
    <m/>
    <m/>
    <m/>
    <n v="10.25"/>
    <n v="12"/>
    <n v="153.75"/>
    <n v="180"/>
    <n v="380"/>
    <n v="0.40460526315789475"/>
    <n v="0.47368421052631576"/>
    <n v="2.1111111111111112"/>
    <n v="11.999999999999998"/>
  </r>
  <r>
    <x v="1"/>
    <x v="1"/>
    <x v="34"/>
    <x v="2"/>
    <n v="4"/>
    <d v="2026-02-04T07:00:00"/>
    <d v="2026-02-04T19:00:00"/>
    <d v="1899-12-30T01:45:00"/>
    <m/>
    <m/>
    <m/>
    <n v="10.25"/>
    <n v="12"/>
    <n v="41"/>
    <n v="48"/>
    <n v="381"/>
    <n v="0.10761154855643044"/>
    <n v="0.12598425196850394"/>
    <n v="7.9375"/>
    <n v="11.999999999999998"/>
  </r>
  <r>
    <x v="1"/>
    <x v="1"/>
    <x v="34"/>
    <x v="3"/>
    <n v="20"/>
    <d v="2026-02-04T07:00:00"/>
    <d v="2026-02-04T19:00:00"/>
    <d v="1899-12-30T01:45:00"/>
    <d v="1899-12-30T01:17:00"/>
    <m/>
    <m/>
    <n v="8.9666666666666668"/>
    <n v="12"/>
    <n v="179.33333333333334"/>
    <n v="240"/>
    <n v="423"/>
    <n v="0.4239558707643814"/>
    <n v="0.56737588652482274"/>
    <n v="1.7625"/>
    <n v="11.999999999999998"/>
  </r>
  <r>
    <x v="1"/>
    <x v="1"/>
    <x v="34"/>
    <x v="4"/>
    <n v="15"/>
    <d v="2026-02-04T07:00:00"/>
    <d v="2026-02-04T21:00:00"/>
    <d v="1899-12-30T01:45:00"/>
    <m/>
    <m/>
    <m/>
    <n v="12.25"/>
    <n v="14"/>
    <n v="183.75"/>
    <n v="210"/>
    <n v="486"/>
    <n v="0.37808641975308643"/>
    <n v="0.43209876543209874"/>
    <n v="2.3142857142857145"/>
    <n v="13.999999999999998"/>
  </r>
  <r>
    <x v="1"/>
    <x v="1"/>
    <x v="35"/>
    <x v="1"/>
    <n v="18"/>
    <d v="2026-02-05T07:00:00"/>
    <d v="2026-02-05T19:00:00"/>
    <d v="1899-12-30T01:45:00"/>
    <m/>
    <m/>
    <m/>
    <n v="10.25"/>
    <n v="12"/>
    <n v="184.5"/>
    <n v="216"/>
    <n v="395"/>
    <n v="0.4670886075949367"/>
    <n v="0.54683544303797471"/>
    <n v="1.8287037037037037"/>
    <n v="11.999999999999998"/>
  </r>
  <r>
    <x v="1"/>
    <x v="1"/>
    <x v="35"/>
    <x v="2"/>
    <n v="5"/>
    <d v="2026-02-05T07:00:00"/>
    <d v="2026-02-05T19:00:00"/>
    <d v="1899-12-30T01:45:00"/>
    <m/>
    <m/>
    <m/>
    <n v="10.25"/>
    <n v="12"/>
    <n v="51.25"/>
    <n v="60"/>
    <n v="442"/>
    <n v="0.1159502262443439"/>
    <n v="0.13574660633484162"/>
    <n v="7.3666666666666671"/>
    <n v="11.999999999999998"/>
  </r>
  <r>
    <x v="1"/>
    <x v="1"/>
    <x v="35"/>
    <x v="3"/>
    <n v="20"/>
    <d v="2026-02-05T07:00:00"/>
    <d v="2026-02-05T19:00:00"/>
    <d v="1899-12-30T01:45:00"/>
    <m/>
    <m/>
    <m/>
    <n v="10.25"/>
    <n v="12"/>
    <n v="205"/>
    <n v="240"/>
    <n v="406"/>
    <n v="0.50492610837438423"/>
    <n v="0.59113300492610843"/>
    <n v="1.6916666666666664"/>
    <n v="11.999999999999998"/>
  </r>
  <r>
    <x v="1"/>
    <x v="1"/>
    <x v="35"/>
    <x v="4"/>
    <n v="0"/>
    <d v="2026-02-05T07:00:00"/>
    <d v="2026-02-05T21:00:00"/>
    <d v="1899-12-30T01:45:00"/>
    <m/>
    <m/>
    <m/>
    <n v="12.25"/>
    <n v="14"/>
    <n v="0"/>
    <n v="0"/>
    <n v="417"/>
    <n v="0"/>
    <n v="0"/>
    <e v="#NUM!"/>
    <n v="13.999999999999998"/>
  </r>
  <r>
    <x v="0"/>
    <x v="2"/>
    <x v="0"/>
    <x v="1"/>
    <n v="91"/>
    <d v="2026-01-01T07:00:00"/>
    <d v="2026-01-02T07:00:00"/>
    <d v="1899-12-30T03:30:00"/>
    <m/>
    <m/>
    <m/>
    <n v="20.5"/>
    <n v="24"/>
    <n v="1865.5"/>
    <n v="2184"/>
    <n v="1202"/>
    <n v="1.5519966722129783"/>
    <n v="1.8169717138103161"/>
    <n v="0.55036630036630041"/>
    <n v="24"/>
  </r>
  <r>
    <x v="0"/>
    <x v="2"/>
    <x v="0"/>
    <x v="2"/>
    <n v="12"/>
    <d v="2026-01-01T07:00:00"/>
    <d v="2026-01-02T07:00:00"/>
    <d v="1899-12-30T03:30:00"/>
    <d v="1899-12-30T03:30:00"/>
    <m/>
    <d v="1899-12-30T04:00:00"/>
    <n v="17"/>
    <n v="24"/>
    <n v="204"/>
    <n v="288"/>
    <n v="1109"/>
    <n v="0.18394950405770966"/>
    <n v="0.25969341749323716"/>
    <n v="3.8506944444444442"/>
    <n v="24"/>
  </r>
  <r>
    <x v="0"/>
    <x v="2"/>
    <x v="0"/>
    <x v="3"/>
    <n v="74"/>
    <d v="2026-01-01T07:00:00"/>
    <d v="2026-01-02T07:00:00"/>
    <d v="1899-12-30T03:30:00"/>
    <d v="1899-12-30T00:45:00"/>
    <m/>
    <m/>
    <n v="19.75"/>
    <n v="24"/>
    <n v="1461.5"/>
    <n v="1776"/>
    <n v="1055"/>
    <n v="1.385308056872038"/>
    <n v="1.6834123222748816"/>
    <n v="0.59403153153153154"/>
    <n v="24"/>
  </r>
  <r>
    <x v="0"/>
    <x v="2"/>
    <x v="0"/>
    <x v="4"/>
    <n v="67"/>
    <d v="2026-01-01T07:00:00"/>
    <d v="2026-01-02T07:00:00"/>
    <d v="1899-12-30T03:30:00"/>
    <m/>
    <m/>
    <m/>
    <n v="20.5"/>
    <n v="24"/>
    <n v="1373.5"/>
    <n v="1608"/>
    <n v="947"/>
    <n v="1.4503695881731784"/>
    <n v="1.6979936642027456"/>
    <n v="0.58893034825870649"/>
    <n v="24"/>
  </r>
  <r>
    <x v="0"/>
    <x v="2"/>
    <x v="1"/>
    <x v="1"/>
    <n v="57"/>
    <d v="2026-01-02T07:00:00"/>
    <d v="2026-01-02T19:00:00"/>
    <d v="1899-12-30T01:45:00"/>
    <m/>
    <m/>
    <d v="1899-12-30T00:30:00"/>
    <n v="10.25"/>
    <n v="12"/>
    <n v="584.25"/>
    <n v="684"/>
    <n v="1033"/>
    <n v="0.56558567279767669"/>
    <n v="0.66214908034849951"/>
    <n v="1.510233918128655"/>
    <n v="11.999999999999998"/>
  </r>
  <r>
    <x v="0"/>
    <x v="2"/>
    <x v="1"/>
    <x v="2"/>
    <n v="12"/>
    <d v="2026-01-02T07:00:00"/>
    <d v="2026-01-03T07:00:00"/>
    <d v="1899-12-30T03:30:00"/>
    <d v="1899-12-30T03:20:00"/>
    <m/>
    <d v="1899-12-30T08:10:00"/>
    <n v="17.166666666666668"/>
    <n v="24"/>
    <n v="206"/>
    <n v="288"/>
    <n v="881"/>
    <n v="0.23382519863791146"/>
    <n v="0.32690124858115777"/>
    <n v="3.0590277777777777"/>
    <n v="24"/>
  </r>
  <r>
    <x v="0"/>
    <x v="2"/>
    <x v="1"/>
    <x v="3"/>
    <n v="74"/>
    <d v="2026-01-02T07:00:00"/>
    <d v="2026-01-03T07:00:00"/>
    <d v="1899-12-30T03:30:00"/>
    <d v="1899-12-30T02:45:00"/>
    <m/>
    <m/>
    <n v="17.75"/>
    <n v="24"/>
    <n v="1313.5"/>
    <n v="1776"/>
    <n v="1033"/>
    <n v="1.2715392061955471"/>
    <n v="1.7192642787996129"/>
    <n v="0.58164414414414412"/>
    <n v="24"/>
  </r>
  <r>
    <x v="0"/>
    <x v="2"/>
    <x v="1"/>
    <x v="4"/>
    <n v="72"/>
    <d v="2026-01-02T07:00:00"/>
    <d v="2026-01-03T07:00:00"/>
    <d v="1899-12-30T03:30:00"/>
    <d v="1899-12-30T02:55:00"/>
    <m/>
    <m/>
    <n v="17.583333333333332"/>
    <n v="24"/>
    <n v="1266"/>
    <n v="1728"/>
    <n v="1002"/>
    <n v="1.2634730538922156"/>
    <n v="1.7245508982035929"/>
    <n v="0.57986111111111105"/>
    <n v="24"/>
  </r>
  <r>
    <x v="0"/>
    <x v="2"/>
    <x v="2"/>
    <x v="1"/>
    <n v="83"/>
    <d v="2026-01-03T07:00:00"/>
    <d v="2026-01-04T07:00:00"/>
    <d v="1899-12-30T03:30:00"/>
    <m/>
    <m/>
    <d v="1899-12-30T00:20:00"/>
    <n v="20.5"/>
    <n v="24"/>
    <n v="1701.5"/>
    <n v="1992"/>
    <n v="1015"/>
    <n v="1.6763546798029556"/>
    <n v="1.9625615763546798"/>
    <n v="0.50953815261044177"/>
    <n v="24"/>
  </r>
  <r>
    <x v="0"/>
    <x v="2"/>
    <x v="2"/>
    <x v="2"/>
    <n v="11"/>
    <d v="2026-01-03T07:00:00"/>
    <d v="2026-01-04T07:00:00"/>
    <d v="1899-12-30T03:30:00"/>
    <m/>
    <m/>
    <d v="1899-12-30T07:00:00"/>
    <n v="20.5"/>
    <n v="24"/>
    <n v="225.5"/>
    <n v="264"/>
    <n v="1040"/>
    <n v="0.21682692307692308"/>
    <n v="0.25384615384615383"/>
    <n v="3.9393939393939394"/>
    <n v="24"/>
  </r>
  <r>
    <x v="0"/>
    <x v="2"/>
    <x v="2"/>
    <x v="3"/>
    <n v="74"/>
    <d v="2026-01-03T07:00:00"/>
    <d v="2026-01-04T07:00:00"/>
    <d v="1899-12-30T03:30:00"/>
    <m/>
    <m/>
    <m/>
    <n v="20.5"/>
    <n v="24"/>
    <n v="1517"/>
    <n v="1776"/>
    <n v="1142"/>
    <n v="1.3283712784588442"/>
    <n v="1.5551663747810858"/>
    <n v="0.64301801801801806"/>
    <n v="24"/>
  </r>
  <r>
    <x v="0"/>
    <x v="2"/>
    <x v="2"/>
    <x v="4"/>
    <n v="68"/>
    <d v="2026-01-03T07:00:00"/>
    <d v="2026-01-04T07:00:00"/>
    <d v="1899-12-30T03:30:00"/>
    <d v="1899-12-30T02:20:00"/>
    <m/>
    <m/>
    <n v="18.166666666666668"/>
    <n v="24"/>
    <n v="1235.3333333333335"/>
    <n v="1632"/>
    <n v="1112"/>
    <n v="1.1109112709832136"/>
    <n v="1.4676258992805755"/>
    <n v="0.68137254901960786"/>
    <n v="24"/>
  </r>
  <r>
    <x v="0"/>
    <x v="2"/>
    <x v="3"/>
    <x v="1"/>
    <n v="34"/>
    <d v="2026-01-04T07:00:00"/>
    <d v="2026-01-04T19:00:00"/>
    <d v="1899-12-30T01:45:00"/>
    <m/>
    <m/>
    <m/>
    <n v="10.25"/>
    <n v="12"/>
    <n v="348.5"/>
    <n v="408"/>
    <n v="404"/>
    <n v="0.86262376237623761"/>
    <n v="1.0099009900990099"/>
    <n v="0.99019607843137258"/>
    <n v="11.999999999999998"/>
  </r>
  <r>
    <x v="0"/>
    <x v="2"/>
    <x v="3"/>
    <x v="2"/>
    <n v="6"/>
    <d v="2026-01-04T07:00:00"/>
    <d v="2026-01-04T19:00:00"/>
    <d v="1899-12-30T01:45:00"/>
    <m/>
    <m/>
    <d v="1899-12-30T02:40:00"/>
    <n v="10.25"/>
    <n v="12"/>
    <n v="61.5"/>
    <n v="72"/>
    <n v="335"/>
    <n v="0.18358208955223881"/>
    <n v="0.21492537313432836"/>
    <n v="4.6527777777777777"/>
    <n v="11.999999999999998"/>
  </r>
  <r>
    <x v="0"/>
    <x v="2"/>
    <x v="3"/>
    <x v="3"/>
    <n v="35"/>
    <d v="2026-01-04T07:00:00"/>
    <d v="2026-01-04T19:00:00"/>
    <d v="1899-12-30T01:45:00"/>
    <d v="1899-12-30T01:45:00"/>
    <m/>
    <m/>
    <n v="8.5"/>
    <n v="12"/>
    <n v="297.5"/>
    <n v="420"/>
    <n v="421"/>
    <n v="0.70665083135391926"/>
    <n v="0.99762470308788598"/>
    <n v="1.0023809523809524"/>
    <n v="11.999999999999998"/>
  </r>
  <r>
    <x v="0"/>
    <x v="2"/>
    <x v="3"/>
    <x v="4"/>
    <n v="34"/>
    <d v="2026-01-04T07:00:00"/>
    <d v="2026-01-04T19:00:00"/>
    <d v="1899-12-30T01:45:00"/>
    <m/>
    <m/>
    <m/>
    <n v="10.25"/>
    <n v="12"/>
    <n v="348.5"/>
    <n v="408"/>
    <n v="325"/>
    <n v="1.0723076923076924"/>
    <n v="1.2553846153846153"/>
    <n v="0.79656862745098045"/>
    <n v="11.999999999999998"/>
  </r>
  <r>
    <x v="0"/>
    <x v="2"/>
    <x v="4"/>
    <x v="1"/>
    <n v="94"/>
    <d v="2026-01-05T07:00:00"/>
    <d v="2026-01-06T07:00:00"/>
    <d v="1899-12-30T03:30:00"/>
    <m/>
    <m/>
    <m/>
    <n v="20.5"/>
    <n v="24"/>
    <n v="1927"/>
    <n v="2256"/>
    <n v="1137"/>
    <n v="1.6948109058927001"/>
    <n v="1.9841688654353562"/>
    <n v="0.50398936170212771"/>
    <n v="24"/>
  </r>
  <r>
    <x v="0"/>
    <x v="2"/>
    <x v="4"/>
    <x v="2"/>
    <n v="11"/>
    <d v="2026-01-05T07:00:00"/>
    <d v="2026-01-06T07:00:00"/>
    <d v="1899-12-30T03:30:00"/>
    <m/>
    <m/>
    <m/>
    <n v="20.5"/>
    <n v="24"/>
    <n v="225.5"/>
    <n v="264"/>
    <n v="1212"/>
    <n v="0.18605610561056105"/>
    <n v="0.21782178217821782"/>
    <n v="4.5909090909090908"/>
    <n v="24"/>
  </r>
  <r>
    <x v="0"/>
    <x v="2"/>
    <x v="4"/>
    <x v="3"/>
    <n v="76"/>
    <d v="2026-01-05T07:00:00"/>
    <d v="2026-01-06T07:00:00"/>
    <d v="1899-12-30T03:30:00"/>
    <d v="1899-12-30T04:20:00"/>
    <m/>
    <m/>
    <n v="16.166666666666668"/>
    <n v="24"/>
    <n v="1228.6666666666667"/>
    <n v="1824"/>
    <n v="1016"/>
    <n v="1.2093175853018374"/>
    <n v="1.795275590551181"/>
    <n v="0.55701754385964919"/>
    <n v="24"/>
  </r>
  <r>
    <x v="0"/>
    <x v="2"/>
    <x v="4"/>
    <x v="4"/>
    <n v="74"/>
    <d v="2026-01-05T07:00:00"/>
    <d v="2026-01-06T07:00:00"/>
    <d v="1899-12-30T03:30:00"/>
    <m/>
    <m/>
    <m/>
    <n v="20.5"/>
    <n v="24"/>
    <n v="1517"/>
    <n v="1776"/>
    <n v="1047"/>
    <n v="1.448901623686724"/>
    <n v="1.6962750716332378"/>
    <n v="0.58952702702702708"/>
    <n v="24"/>
  </r>
  <r>
    <x v="0"/>
    <x v="2"/>
    <x v="5"/>
    <x v="1"/>
    <n v="93"/>
    <d v="2026-01-06T07:00:00"/>
    <d v="2026-01-07T07:00:00"/>
    <d v="1899-12-30T03:30:00"/>
    <m/>
    <m/>
    <m/>
    <n v="20.5"/>
    <n v="24"/>
    <n v="1906.5"/>
    <n v="2232"/>
    <n v="1139"/>
    <n v="1.6738366988586479"/>
    <n v="1.9596136962247586"/>
    <n v="0.51030465949820791"/>
    <n v="24"/>
  </r>
  <r>
    <x v="0"/>
    <x v="2"/>
    <x v="5"/>
    <x v="2"/>
    <n v="12"/>
    <d v="2026-01-06T07:00:00"/>
    <d v="2026-01-07T07:00:00"/>
    <d v="1899-12-30T03:30:00"/>
    <d v="1899-12-30T01:00:00"/>
    <m/>
    <m/>
    <n v="19.5"/>
    <n v="24"/>
    <n v="234"/>
    <n v="288"/>
    <n v="1132"/>
    <n v="0.20671378091872791"/>
    <n v="0.25441696113074203"/>
    <n v="3.9305555555555558"/>
    <n v="24"/>
  </r>
  <r>
    <x v="0"/>
    <x v="2"/>
    <x v="5"/>
    <x v="3"/>
    <n v="79"/>
    <d v="2026-01-06T07:00:00"/>
    <d v="2026-01-07T07:00:00"/>
    <d v="1899-12-30T03:30:00"/>
    <d v="1899-12-30T01:40:00"/>
    <m/>
    <m/>
    <n v="18.833333333333332"/>
    <n v="24"/>
    <n v="1487.8333333333333"/>
    <n v="1896"/>
    <n v="1117"/>
    <n v="1.3319904506117577"/>
    <n v="1.6974037600716203"/>
    <n v="0.58913502109704641"/>
    <n v="24"/>
  </r>
  <r>
    <x v="0"/>
    <x v="2"/>
    <x v="5"/>
    <x v="4"/>
    <n v="82"/>
    <d v="2026-01-06T07:00:00"/>
    <d v="2026-01-07T07:00:00"/>
    <d v="1899-12-30T03:30:00"/>
    <m/>
    <m/>
    <d v="1899-12-30T01:20:00"/>
    <n v="20.5"/>
    <n v="24"/>
    <n v="1681"/>
    <n v="1968"/>
    <n v="1131"/>
    <n v="1.4862953138815207"/>
    <n v="1.7400530503978779"/>
    <n v="0.57469512195121952"/>
    <n v="24"/>
  </r>
  <r>
    <x v="0"/>
    <x v="2"/>
    <x v="6"/>
    <x v="1"/>
    <n v="92"/>
    <d v="2026-01-07T07:00:00"/>
    <d v="2026-01-08T07:00:00"/>
    <d v="1899-12-30T03:30:00"/>
    <m/>
    <m/>
    <m/>
    <n v="20.5"/>
    <n v="24"/>
    <n v="1886"/>
    <n v="2208"/>
    <n v="1138"/>
    <n v="1.6572934973637961"/>
    <n v="1.9402460456942003"/>
    <n v="0.51539855072463769"/>
    <n v="24"/>
  </r>
  <r>
    <x v="0"/>
    <x v="2"/>
    <x v="6"/>
    <x v="2"/>
    <n v="11"/>
    <d v="2026-01-07T07:00:00"/>
    <d v="2026-01-08T07:00:00"/>
    <d v="1899-12-30T03:30:00"/>
    <d v="1899-12-30T01:10:00"/>
    <m/>
    <m/>
    <n v="19.333333333333332"/>
    <n v="24"/>
    <n v="212.66666666666666"/>
    <n v="264"/>
    <n v="1132"/>
    <n v="0.18786808009422851"/>
    <n v="0.2332155477031802"/>
    <n v="4.2878787878787881"/>
    <n v="24"/>
  </r>
  <r>
    <x v="0"/>
    <x v="2"/>
    <x v="6"/>
    <x v="3"/>
    <n v="79"/>
    <d v="2026-01-07T07:00:00"/>
    <d v="2026-01-08T07:00:00"/>
    <d v="1899-12-30T03:30:00"/>
    <d v="1899-12-30T01:00:00"/>
    <m/>
    <m/>
    <n v="19.5"/>
    <n v="24"/>
    <n v="1540.5"/>
    <n v="1896"/>
    <n v="1126"/>
    <n v="1.3681172291296626"/>
    <n v="1.6838365896980463"/>
    <n v="0.59388185654008441"/>
    <n v="24"/>
  </r>
  <r>
    <x v="0"/>
    <x v="2"/>
    <x v="6"/>
    <x v="4"/>
    <n v="75"/>
    <d v="2026-01-07T07:00:00"/>
    <d v="2026-01-08T07:00:00"/>
    <d v="1899-12-30T03:30:00"/>
    <m/>
    <m/>
    <m/>
    <n v="20.5"/>
    <n v="24"/>
    <n v="1537.5"/>
    <n v="1800"/>
    <n v="1214"/>
    <n v="1.2664744645799011"/>
    <n v="1.4827018121911038"/>
    <n v="0.67444444444444451"/>
    <n v="24"/>
  </r>
  <r>
    <x v="0"/>
    <x v="2"/>
    <x v="7"/>
    <x v="1"/>
    <n v="93"/>
    <d v="2026-01-08T07:00:00"/>
    <d v="2026-01-09T07:00:00"/>
    <d v="1899-12-30T03:30:00"/>
    <m/>
    <m/>
    <m/>
    <n v="20.5"/>
    <n v="24"/>
    <n v="1906.5"/>
    <n v="2232"/>
    <n v="1055"/>
    <n v="1.8071090047393366"/>
    <n v="2.1156398104265404"/>
    <n v="0.47267025089605735"/>
    <n v="23"/>
  </r>
  <r>
    <x v="0"/>
    <x v="2"/>
    <x v="7"/>
    <x v="2"/>
    <n v="12"/>
    <d v="2026-01-08T07:00:00"/>
    <d v="2026-01-09T07:00:00"/>
    <d v="1899-12-30T03:30:00"/>
    <d v="1899-12-30T05:40:00"/>
    <m/>
    <m/>
    <n v="14.833333333333334"/>
    <n v="24"/>
    <n v="178"/>
    <n v="288"/>
    <n v="941"/>
    <n v="0.18916046758767269"/>
    <n v="0.30605738575982999"/>
    <n v="3.2673611111111107"/>
    <n v="23"/>
  </r>
  <r>
    <x v="0"/>
    <x v="2"/>
    <x v="7"/>
    <x v="3"/>
    <n v="76"/>
    <d v="2026-01-08T07:00:00"/>
    <d v="2026-01-09T07:00:00"/>
    <d v="1899-12-30T03:30:00"/>
    <d v="1899-12-30T04:20:00"/>
    <m/>
    <m/>
    <n v="16.166666666666668"/>
    <n v="24"/>
    <n v="1228.6666666666667"/>
    <n v="1824"/>
    <n v="864"/>
    <n v="1.4220679012345681"/>
    <n v="2.1111111111111112"/>
    <n v="0.47368421052631576"/>
    <n v="23"/>
  </r>
  <r>
    <x v="0"/>
    <x v="2"/>
    <x v="7"/>
    <x v="4"/>
    <n v="80"/>
    <d v="2026-01-08T07:00:00"/>
    <d v="2026-01-09T07:00:00"/>
    <d v="1899-12-30T03:15:00"/>
    <d v="1899-12-30T05:05:00"/>
    <m/>
    <m/>
    <n v="15.666666666666668"/>
    <n v="24"/>
    <n v="1253.3333333333335"/>
    <n v="1920"/>
    <n v="863"/>
    <n v="1.4522981846272693"/>
    <n v="2.2247972190034764"/>
    <n v="0.44947916666666665"/>
    <n v="22"/>
  </r>
  <r>
    <x v="0"/>
    <x v="2"/>
    <x v="8"/>
    <x v="1"/>
    <n v="93"/>
    <d v="2026-01-09T07:00:00"/>
    <d v="2026-01-10T07:00:00"/>
    <d v="1899-12-30T03:30:00"/>
    <m/>
    <m/>
    <m/>
    <n v="20.5"/>
    <n v="24"/>
    <n v="1906.5"/>
    <n v="2232"/>
    <n v="1137"/>
    <n v="1.6767810026385224"/>
    <n v="1.9630606860158311"/>
    <n v="0.50940860215053763"/>
    <n v="24"/>
  </r>
  <r>
    <x v="0"/>
    <x v="2"/>
    <x v="8"/>
    <x v="2"/>
    <n v="12"/>
    <d v="2026-01-09T07:00:00"/>
    <d v="2026-01-10T07:00:00"/>
    <d v="1899-12-30T03:30:00"/>
    <m/>
    <m/>
    <m/>
    <n v="20.5"/>
    <n v="24"/>
    <n v="246"/>
    <n v="288"/>
    <n v="1152"/>
    <n v="0.21354166666666666"/>
    <n v="0.25"/>
    <n v="4"/>
    <n v="24"/>
  </r>
  <r>
    <x v="0"/>
    <x v="2"/>
    <x v="8"/>
    <x v="3"/>
    <n v="73"/>
    <d v="2026-01-09T07:00:00"/>
    <d v="2026-01-10T07:00:00"/>
    <d v="1899-12-30T03:30:00"/>
    <d v="1899-12-30T01:10:00"/>
    <m/>
    <m/>
    <n v="19.333333333333332"/>
    <n v="24"/>
    <n v="1411.3333333333333"/>
    <n v="1752"/>
    <n v="1185"/>
    <n v="1.190998593530239"/>
    <n v="1.478481012658228"/>
    <n v="0.67636986301369861"/>
    <n v="24"/>
  </r>
  <r>
    <x v="0"/>
    <x v="2"/>
    <x v="8"/>
    <x v="4"/>
    <n v="82"/>
    <d v="2026-01-09T07:00:00"/>
    <d v="2026-01-10T07:00:00"/>
    <d v="1899-12-30T03:30:00"/>
    <d v="1899-12-30T00:40:00"/>
    <m/>
    <m/>
    <n v="19.833333333333332"/>
    <n v="24"/>
    <n v="1626.3333333333333"/>
    <n v="1968"/>
    <n v="1163"/>
    <n v="1.3983949555746631"/>
    <n v="1.6921754084264833"/>
    <n v="0.59095528455284552"/>
    <n v="24"/>
  </r>
  <r>
    <x v="0"/>
    <x v="2"/>
    <x v="9"/>
    <x v="1"/>
    <n v="62"/>
    <d v="2026-01-10T07:00:00"/>
    <d v="2026-01-11T07:00:00"/>
    <d v="1899-12-30T03:30:00"/>
    <m/>
    <m/>
    <m/>
    <n v="20.5"/>
    <n v="24"/>
    <n v="1271"/>
    <n v="1488"/>
    <n v="665"/>
    <n v="1.9112781954887219"/>
    <n v="2.2375939849624058"/>
    <n v="0.44690860215053768"/>
    <n v="24"/>
  </r>
  <r>
    <x v="0"/>
    <x v="2"/>
    <x v="9"/>
    <x v="2"/>
    <n v="11"/>
    <d v="2026-01-10T07:00:00"/>
    <d v="2026-01-11T07:00:00"/>
    <d v="1899-12-30T03:30:00"/>
    <m/>
    <d v="1899-12-30T01:00:00"/>
    <d v="1899-12-30T12:00:00"/>
    <n v="20.5"/>
    <n v="24"/>
    <n v="225.5"/>
    <n v="264"/>
    <n v="768"/>
    <n v="0.29361979166666669"/>
    <n v="0.34375"/>
    <n v="2.9090909090909092"/>
    <n v="24"/>
  </r>
  <r>
    <x v="0"/>
    <x v="2"/>
    <x v="9"/>
    <x v="3"/>
    <n v="72"/>
    <d v="2026-01-10T07:00:00"/>
    <d v="2026-01-11T07:00:00"/>
    <d v="1899-12-30T03:30:00"/>
    <d v="1899-12-30T02:00:00"/>
    <m/>
    <m/>
    <n v="18.5"/>
    <n v="24"/>
    <n v="1332"/>
    <n v="1728"/>
    <n v="997"/>
    <n v="1.3360080240722167"/>
    <n v="1.7331995987963891"/>
    <n v="0.57696759259259267"/>
    <n v="24"/>
  </r>
  <r>
    <x v="0"/>
    <x v="2"/>
    <x v="9"/>
    <x v="4"/>
    <n v="72"/>
    <d v="2026-01-10T07:00:00"/>
    <d v="2026-01-11T07:00:00"/>
    <d v="1899-12-30T03:30:00"/>
    <m/>
    <m/>
    <m/>
    <n v="20.5"/>
    <n v="24"/>
    <n v="1476"/>
    <n v="1728"/>
    <n v="1057"/>
    <n v="1.3964049195837276"/>
    <n v="1.6348155156102175"/>
    <n v="0.61168981481481488"/>
    <n v="24"/>
  </r>
  <r>
    <x v="0"/>
    <x v="2"/>
    <x v="10"/>
    <x v="1"/>
    <n v="72"/>
    <d v="2026-01-11T07:00:00"/>
    <d v="2026-01-12T07:00:00"/>
    <d v="1899-12-30T03:30:00"/>
    <m/>
    <m/>
    <m/>
    <n v="20.5"/>
    <n v="24"/>
    <n v="1476"/>
    <n v="1728"/>
    <n v="746"/>
    <n v="1.9785522788203753"/>
    <n v="2.316353887399464"/>
    <n v="0.43171296296296291"/>
    <n v="24"/>
  </r>
  <r>
    <x v="0"/>
    <x v="2"/>
    <x v="10"/>
    <x v="2"/>
    <n v="8"/>
    <d v="2026-01-11T07:00:00"/>
    <d v="2026-01-12T07:00:00"/>
    <d v="1899-12-30T03:30:00"/>
    <d v="1899-12-30T02:00:00"/>
    <m/>
    <d v="1899-12-30T20:00:00"/>
    <n v="18.5"/>
    <n v="24"/>
    <n v="148"/>
    <n v="192"/>
    <n v="727"/>
    <n v="0.20357634112792297"/>
    <n v="0.26409903713892707"/>
    <n v="3.7864583333333335"/>
    <n v="24"/>
  </r>
  <r>
    <x v="0"/>
    <x v="2"/>
    <x v="10"/>
    <x v="3"/>
    <n v="72"/>
    <d v="2026-01-11T07:00:00"/>
    <d v="2026-01-12T07:00:00"/>
    <d v="1899-12-30T03:30:00"/>
    <d v="1899-12-30T03:00:00"/>
    <m/>
    <d v="1899-12-30T15:00:00"/>
    <n v="17.5"/>
    <n v="24"/>
    <n v="1260"/>
    <n v="1728"/>
    <n v="732"/>
    <n v="1.721311475409836"/>
    <n v="2.360655737704918"/>
    <n v="0.4236111111111111"/>
    <n v="24"/>
  </r>
  <r>
    <x v="0"/>
    <x v="2"/>
    <x v="10"/>
    <x v="4"/>
    <n v="76"/>
    <d v="2026-01-11T07:00:00"/>
    <d v="2026-01-12T07:00:00"/>
    <d v="1899-12-30T03:30:00"/>
    <d v="1899-12-30T02:00:00"/>
    <m/>
    <m/>
    <n v="18.5"/>
    <n v="24"/>
    <n v="1406"/>
    <n v="1824"/>
    <n v="707"/>
    <n v="1.9886845827439887"/>
    <n v="2.5799151343705797"/>
    <n v="0.38760964912280704"/>
    <n v="24"/>
  </r>
  <r>
    <x v="0"/>
    <x v="2"/>
    <x v="11"/>
    <x v="1"/>
    <n v="91"/>
    <d v="2026-01-12T07:00:00"/>
    <d v="2026-01-13T07:00:00"/>
    <d v="1899-12-30T03:30:00"/>
    <d v="1899-12-30T01:15:00"/>
    <m/>
    <m/>
    <n v="19.25"/>
    <n v="24"/>
    <n v="1751.75"/>
    <n v="2184"/>
    <n v="1079"/>
    <n v="1.6234939759036144"/>
    <n v="2.0240963855421685"/>
    <n v="0.49404761904761907"/>
    <n v="24"/>
  </r>
  <r>
    <x v="0"/>
    <x v="2"/>
    <x v="11"/>
    <x v="2"/>
    <n v="13"/>
    <d v="2026-01-12T07:00:00"/>
    <d v="2026-01-13T07:00:00"/>
    <d v="1899-12-30T03:30:00"/>
    <d v="1899-12-30T00:45:00"/>
    <m/>
    <d v="1899-12-30T03:00:00"/>
    <n v="19.75"/>
    <n v="24"/>
    <n v="256.75"/>
    <n v="312"/>
    <n v="1185"/>
    <n v="0.21666666666666667"/>
    <n v="0.26329113924050634"/>
    <n v="3.7980769230769229"/>
    <n v="24"/>
  </r>
  <r>
    <x v="0"/>
    <x v="2"/>
    <x v="11"/>
    <x v="3"/>
    <n v="73"/>
    <d v="2026-01-12T07:00:00"/>
    <d v="2026-01-13T07:00:00"/>
    <d v="1899-12-30T03:30:00"/>
    <d v="1899-12-30T03:00:00"/>
    <m/>
    <m/>
    <n v="17.5"/>
    <n v="24"/>
    <n v="1277.5"/>
    <n v="1752"/>
    <n v="987"/>
    <n v="1.2943262411347518"/>
    <n v="1.7750759878419453"/>
    <n v="0.56335616438356162"/>
    <n v="24"/>
  </r>
  <r>
    <x v="0"/>
    <x v="2"/>
    <x v="11"/>
    <x v="4"/>
    <n v="78"/>
    <d v="2026-01-12T07:00:00"/>
    <d v="2026-01-13T07:00:00"/>
    <d v="1899-12-30T03:30:00"/>
    <d v="1899-12-30T00:30:00"/>
    <m/>
    <m/>
    <n v="20"/>
    <n v="24"/>
    <n v="1560"/>
    <n v="1872"/>
    <n v="943"/>
    <n v="1.6542948038176033"/>
    <n v="1.9851537645811241"/>
    <n v="0.50373931623931623"/>
    <n v="24"/>
  </r>
  <r>
    <x v="0"/>
    <x v="2"/>
    <x v="12"/>
    <x v="1"/>
    <n v="86"/>
    <d v="2026-01-13T07:00:00"/>
    <d v="2026-01-14T07:00:00"/>
    <d v="1899-12-30T03:30:00"/>
    <m/>
    <m/>
    <m/>
    <n v="20.5"/>
    <n v="24"/>
    <n v="1763"/>
    <n v="2064"/>
    <n v="1141"/>
    <n v="1.5451358457493427"/>
    <n v="1.8089395267309378"/>
    <n v="0.55281007751937983"/>
    <n v="24"/>
  </r>
  <r>
    <x v="0"/>
    <x v="2"/>
    <x v="12"/>
    <x v="2"/>
    <n v="12"/>
    <d v="2026-01-13T07:00:00"/>
    <d v="2026-01-14T07:00:00"/>
    <d v="1899-12-30T03:30:00"/>
    <d v="1899-12-30T02:40:00"/>
    <m/>
    <d v="1899-12-30T10:00:00"/>
    <n v="17.833333333333332"/>
    <n v="24"/>
    <n v="214"/>
    <n v="288"/>
    <n v="1016"/>
    <n v="0.21062992125984251"/>
    <n v="0.28346456692913385"/>
    <n v="3.5277777777777777"/>
    <n v="24"/>
  </r>
  <r>
    <x v="0"/>
    <x v="2"/>
    <x v="12"/>
    <x v="3"/>
    <n v="72"/>
    <d v="2026-01-13T07:00:00"/>
    <d v="2026-01-14T07:00:00"/>
    <d v="1899-12-30T03:30:00"/>
    <d v="1899-12-30T02:20:00"/>
    <m/>
    <m/>
    <n v="18.166666666666668"/>
    <n v="24"/>
    <n v="1308"/>
    <n v="1728"/>
    <n v="1025"/>
    <n v="1.2760975609756098"/>
    <n v="1.6858536585365853"/>
    <n v="0.59317129629629628"/>
    <n v="24"/>
  </r>
  <r>
    <x v="0"/>
    <x v="2"/>
    <x v="12"/>
    <x v="4"/>
    <n v="75"/>
    <d v="2026-01-13T07:00:00"/>
    <d v="2026-01-14T07:00:00"/>
    <d v="1899-12-30T03:30:00"/>
    <d v="1899-12-30T00:40:00"/>
    <m/>
    <d v="1899-12-30T02:00:00"/>
    <n v="19.833333333333332"/>
    <n v="24"/>
    <n v="1487.5"/>
    <n v="1800"/>
    <n v="1092"/>
    <n v="1.3621794871794872"/>
    <n v="1.6483516483516483"/>
    <n v="0.60666666666666669"/>
    <n v="24"/>
  </r>
  <r>
    <x v="0"/>
    <x v="2"/>
    <x v="13"/>
    <x v="1"/>
    <n v="89"/>
    <d v="2026-01-14T07:00:00"/>
    <d v="2026-01-15T07:00:00"/>
    <d v="1899-12-30T03:30:00"/>
    <d v="1899-12-30T00:30:00"/>
    <m/>
    <d v="1899-12-30T05:00:00"/>
    <n v="20"/>
    <n v="24"/>
    <n v="1780"/>
    <n v="2136"/>
    <n v="1025"/>
    <n v="1.7365853658536585"/>
    <n v="2.0839024390243903"/>
    <n v="0.47986891385767788"/>
    <n v="24"/>
  </r>
  <r>
    <x v="0"/>
    <x v="2"/>
    <x v="13"/>
    <x v="2"/>
    <n v="11"/>
    <d v="2026-01-14T07:00:00"/>
    <d v="2026-01-15T07:00:00"/>
    <d v="1899-12-30T03:30:00"/>
    <d v="1899-12-30T02:15:00"/>
    <d v="1899-12-30T01:00:00"/>
    <m/>
    <n v="18.25"/>
    <n v="24"/>
    <n v="200.75"/>
    <n v="264"/>
    <n v="1148"/>
    <n v="0.17486933797909407"/>
    <n v="0.22996515679442509"/>
    <n v="4.3484848484848486"/>
    <n v="24"/>
  </r>
  <r>
    <x v="0"/>
    <x v="2"/>
    <x v="13"/>
    <x v="3"/>
    <n v="72"/>
    <d v="2026-01-14T07:00:00"/>
    <d v="2026-01-15T07:00:00"/>
    <d v="1899-12-30T03:30:00"/>
    <d v="1899-12-30T02:50:00"/>
    <m/>
    <m/>
    <n v="17.666666666666668"/>
    <n v="24"/>
    <n v="1272"/>
    <n v="1728"/>
    <n v="1015"/>
    <n v="1.2532019704433497"/>
    <n v="1.7024630541871921"/>
    <n v="0.5873842592592593"/>
    <n v="24"/>
  </r>
  <r>
    <x v="0"/>
    <x v="2"/>
    <x v="13"/>
    <x v="4"/>
    <n v="76"/>
    <d v="2026-01-14T07:00:00"/>
    <d v="2026-01-15T07:00:00"/>
    <d v="1899-12-30T03:30:00"/>
    <m/>
    <m/>
    <m/>
    <n v="20.5"/>
    <n v="24"/>
    <n v="1558"/>
    <n v="1824"/>
    <n v="966"/>
    <n v="1.6128364389233953"/>
    <n v="1.8881987577639752"/>
    <n v="0.52960526315789469"/>
    <n v="24"/>
  </r>
  <r>
    <x v="0"/>
    <x v="2"/>
    <x v="14"/>
    <x v="1"/>
    <n v="88"/>
    <d v="2026-01-15T07:00:00"/>
    <d v="2026-01-16T07:00:00"/>
    <d v="1899-12-30T03:30:00"/>
    <m/>
    <m/>
    <d v="1899-12-30T03:00:00"/>
    <n v="20.5"/>
    <n v="24"/>
    <n v="1804"/>
    <n v="2112"/>
    <n v="1093"/>
    <n v="1.6505032021957915"/>
    <n v="1.9322964318389753"/>
    <n v="0.51751893939393945"/>
    <n v="24"/>
  </r>
  <r>
    <x v="0"/>
    <x v="2"/>
    <x v="14"/>
    <x v="2"/>
    <n v="12"/>
    <d v="2026-01-15T07:00:00"/>
    <d v="2026-01-16T07:00:00"/>
    <d v="1899-12-30T03:30:00"/>
    <d v="1899-12-30T01:30:00"/>
    <m/>
    <d v="1899-12-30T11:40:00"/>
    <n v="19"/>
    <n v="24"/>
    <n v="228"/>
    <n v="288"/>
    <n v="1078"/>
    <n v="0.21150278293135436"/>
    <n v="0.26716141001855287"/>
    <n v="3.7430555555555558"/>
    <n v="24"/>
  </r>
  <r>
    <x v="0"/>
    <x v="2"/>
    <x v="14"/>
    <x v="3"/>
    <n v="74"/>
    <d v="2026-01-15T07:00:00"/>
    <d v="2026-01-16T07:00:00"/>
    <d v="1899-12-30T03:30:00"/>
    <d v="1899-12-30T02:45:00"/>
    <m/>
    <m/>
    <n v="17.75"/>
    <n v="24"/>
    <n v="1313.5"/>
    <n v="1776"/>
    <n v="1046"/>
    <n v="1.255736137667304"/>
    <n v="1.6978967495219885"/>
    <n v="0.588963963963964"/>
    <n v="24"/>
  </r>
  <r>
    <x v="0"/>
    <x v="2"/>
    <x v="14"/>
    <x v="4"/>
    <n v="72"/>
    <d v="2026-01-15T07:00:00"/>
    <d v="2026-01-16T07:00:00"/>
    <d v="1899-12-30T03:30:00"/>
    <m/>
    <m/>
    <m/>
    <n v="20.5"/>
    <n v="24"/>
    <n v="1476"/>
    <n v="1728"/>
    <n v="1128"/>
    <n v="1.3085106382978724"/>
    <n v="1.5319148936170213"/>
    <n v="0.65277777777777779"/>
    <n v="24"/>
  </r>
  <r>
    <x v="0"/>
    <x v="2"/>
    <x v="15"/>
    <x v="1"/>
    <n v="87"/>
    <d v="2026-01-16T07:00:00"/>
    <d v="2026-01-17T07:00:00"/>
    <d v="1899-12-30T03:30:00"/>
    <m/>
    <m/>
    <m/>
    <n v="20.5"/>
    <n v="24"/>
    <n v="1783.5"/>
    <n v="2088"/>
    <n v="1097"/>
    <n v="1.6257976298997265"/>
    <n v="1.9033728350045578"/>
    <n v="0.52538314176245215"/>
    <n v="24"/>
  </r>
  <r>
    <x v="0"/>
    <x v="2"/>
    <x v="15"/>
    <x v="2"/>
    <n v="11"/>
    <d v="2026-01-16T07:00:00"/>
    <d v="2026-01-17T07:00:00"/>
    <d v="1899-12-30T03:30:00"/>
    <d v="1899-12-30T04:45:00"/>
    <m/>
    <d v="1899-12-30T10:00:00"/>
    <n v="15.75"/>
    <n v="24"/>
    <n v="173.25"/>
    <n v="264"/>
    <n v="968"/>
    <n v="0.17897727272727273"/>
    <n v="0.27272727272727271"/>
    <n v="3.666666666666667"/>
    <n v="24"/>
  </r>
  <r>
    <x v="0"/>
    <x v="2"/>
    <x v="15"/>
    <x v="3"/>
    <n v="74"/>
    <d v="2026-01-16T07:00:00"/>
    <d v="2026-01-17T07:00:00"/>
    <d v="1899-12-30T03:30:00"/>
    <d v="1899-12-30T03:30:00"/>
    <m/>
    <m/>
    <n v="17"/>
    <n v="24"/>
    <n v="1258"/>
    <n v="1776"/>
    <n v="986"/>
    <n v="1.2758620689655173"/>
    <n v="1.8012170385395538"/>
    <n v="0.55518018018018012"/>
    <n v="24"/>
  </r>
  <r>
    <x v="0"/>
    <x v="2"/>
    <x v="15"/>
    <x v="4"/>
    <n v="73"/>
    <d v="2026-01-16T07:00:00"/>
    <d v="2026-01-17T07:00:00"/>
    <d v="1899-12-30T03:30:00"/>
    <m/>
    <m/>
    <m/>
    <n v="20.5"/>
    <n v="24"/>
    <n v="1496.5"/>
    <n v="1752"/>
    <n v="1018"/>
    <n v="1.4700392927308448"/>
    <n v="1.7210216110019647"/>
    <n v="0.58105022831050224"/>
    <n v="24"/>
  </r>
  <r>
    <x v="0"/>
    <x v="2"/>
    <x v="16"/>
    <x v="1"/>
    <n v="87"/>
    <d v="2026-01-17T07:00:00"/>
    <d v="2026-01-18T07:00:00"/>
    <d v="1899-12-30T03:30:00"/>
    <m/>
    <m/>
    <d v="1899-12-30T04:20:00"/>
    <n v="20.5"/>
    <n v="24"/>
    <n v="1783.5"/>
    <n v="2088"/>
    <n v="994"/>
    <n v="1.7942655935613683"/>
    <n v="2.1006036217303823"/>
    <n v="0.47605363984674332"/>
    <n v="24"/>
  </r>
  <r>
    <x v="0"/>
    <x v="2"/>
    <x v="16"/>
    <x v="2"/>
    <n v="11"/>
    <d v="2026-01-17T07:00:00"/>
    <d v="2026-01-18T07:00:00"/>
    <d v="1899-12-30T03:30:00"/>
    <d v="1899-12-30T06:35:00"/>
    <m/>
    <d v="1899-12-30T06:00:00"/>
    <n v="13.916666666666668"/>
    <n v="24"/>
    <n v="153.08333333333334"/>
    <n v="264"/>
    <n v="816"/>
    <n v="0.18760212418300654"/>
    <n v="0.3235294117647059"/>
    <n v="3.0909090909090908"/>
    <n v="24"/>
  </r>
  <r>
    <x v="0"/>
    <x v="2"/>
    <x v="16"/>
    <x v="3"/>
    <n v="71"/>
    <d v="2026-01-17T07:00:00"/>
    <d v="2026-01-18T07:00:00"/>
    <d v="1899-12-30T03:30:00"/>
    <d v="1899-12-30T05:35:00"/>
    <m/>
    <m/>
    <n v="14.916666666666668"/>
    <n v="24"/>
    <n v="1059.0833333333335"/>
    <n v="1704"/>
    <n v="712"/>
    <n v="1.4874765917602999"/>
    <n v="2.393258426966292"/>
    <n v="0.4178403755868545"/>
    <n v="24"/>
  </r>
  <r>
    <x v="0"/>
    <x v="2"/>
    <x v="16"/>
    <x v="4"/>
    <n v="66"/>
    <d v="2026-01-17T07:00:00"/>
    <d v="2026-01-18T07:00:00"/>
    <d v="1899-12-30T03:30:00"/>
    <d v="1899-12-30T04:45:00"/>
    <m/>
    <m/>
    <n v="15.75"/>
    <n v="24"/>
    <n v="1039.5"/>
    <n v="1584"/>
    <n v="806"/>
    <n v="1.2897022332506203"/>
    <n v="1.9652605459057071"/>
    <n v="0.50883838383838387"/>
    <n v="24"/>
  </r>
  <r>
    <x v="0"/>
    <x v="2"/>
    <x v="17"/>
    <x v="1"/>
    <n v="33"/>
    <d v="2026-01-18T07:00:00"/>
    <d v="2026-01-18T17:00:00"/>
    <d v="1899-12-30T01:30:00"/>
    <m/>
    <m/>
    <m/>
    <n v="8.5"/>
    <n v="10"/>
    <n v="280.5"/>
    <n v="330"/>
    <n v="322"/>
    <n v="0.8711180124223602"/>
    <n v="1.0248447204968945"/>
    <n v="0.97575757575757571"/>
    <n v="10"/>
  </r>
  <r>
    <x v="0"/>
    <x v="2"/>
    <x v="17"/>
    <x v="2"/>
    <n v="6"/>
    <d v="2026-01-18T07:00:00"/>
    <d v="2026-01-18T17:00:00"/>
    <d v="1899-12-30T01:30:00"/>
    <d v="1899-12-30T02:10:00"/>
    <m/>
    <d v="1899-12-30T01:00:00"/>
    <n v="6.3333333333333339"/>
    <n v="10"/>
    <n v="38"/>
    <n v="60"/>
    <n v="364"/>
    <n v="0.1043956043956044"/>
    <n v="0.16483516483516483"/>
    <n v="6.0666666666666664"/>
    <n v="10"/>
  </r>
  <r>
    <x v="0"/>
    <x v="2"/>
    <x v="17"/>
    <x v="3"/>
    <n v="38"/>
    <d v="2026-01-18T07:00:00"/>
    <d v="2026-01-18T17:00:00"/>
    <d v="1899-12-30T01:30:00"/>
    <m/>
    <m/>
    <m/>
    <n v="8.5"/>
    <n v="10"/>
    <n v="323"/>
    <n v="380"/>
    <n v="364"/>
    <n v="0.88736263736263732"/>
    <n v="1.043956043956044"/>
    <n v="0.95789473684210524"/>
    <n v="10"/>
  </r>
  <r>
    <x v="0"/>
    <x v="2"/>
    <x v="17"/>
    <x v="4"/>
    <n v="34"/>
    <d v="2026-01-18T07:00:00"/>
    <d v="2026-01-18T17:00:00"/>
    <d v="1899-12-30T01:30:00"/>
    <m/>
    <m/>
    <m/>
    <n v="8.5"/>
    <n v="10"/>
    <n v="289"/>
    <n v="340"/>
    <n v="365"/>
    <n v="0.79178082191780819"/>
    <n v="0.93150684931506844"/>
    <n v="1.0735294117647058"/>
    <n v="10"/>
  </r>
  <r>
    <x v="0"/>
    <x v="2"/>
    <x v="18"/>
    <x v="1"/>
    <n v="86"/>
    <d v="2026-01-19T07:00:00"/>
    <d v="2026-01-20T07:00:00"/>
    <d v="1899-12-30T03:30:00"/>
    <m/>
    <m/>
    <m/>
    <n v="20.5"/>
    <n v="24"/>
    <n v="1763"/>
    <n v="2064"/>
    <n v="1033"/>
    <n v="1.7066795740561471"/>
    <n v="1.9980638915779283"/>
    <n v="0.50048449612403101"/>
    <n v="24"/>
  </r>
  <r>
    <x v="0"/>
    <x v="2"/>
    <x v="18"/>
    <x v="2"/>
    <n v="12"/>
    <d v="2026-01-19T07:00:00"/>
    <d v="2026-01-20T07:00:00"/>
    <d v="1899-12-30T03:30:00"/>
    <d v="1899-12-30T05:40:00"/>
    <m/>
    <d v="1899-12-30T08:00:00"/>
    <n v="14.833333333333334"/>
    <n v="24"/>
    <n v="178"/>
    <n v="288"/>
    <n v="1007"/>
    <n v="0.17676266137040714"/>
    <n v="0.28599801390268126"/>
    <n v="3.4965277777777772"/>
    <n v="24"/>
  </r>
  <r>
    <x v="0"/>
    <x v="2"/>
    <x v="18"/>
    <x v="3"/>
    <n v="71"/>
    <d v="2026-01-19T07:00:00"/>
    <d v="2026-01-20T07:00:00"/>
    <d v="1899-12-30T03:30:00"/>
    <d v="1899-12-30T02:15:00"/>
    <m/>
    <m/>
    <n v="18.25"/>
    <n v="24"/>
    <n v="1295.75"/>
    <n v="1704"/>
    <n v="1021"/>
    <n v="1.2690989226248777"/>
    <n v="1.6689520078354554"/>
    <n v="0.59917840375586862"/>
    <n v="24"/>
  </r>
  <r>
    <x v="0"/>
    <x v="2"/>
    <x v="18"/>
    <x v="4"/>
    <n v="73"/>
    <d v="2026-01-19T07:00:00"/>
    <d v="2026-01-20T07:00:00"/>
    <d v="1899-12-30T03:30:00"/>
    <d v="1899-12-30T01:25:00"/>
    <m/>
    <m/>
    <n v="19.083333333333332"/>
    <n v="24"/>
    <n v="1393.0833333333333"/>
    <n v="1752"/>
    <n v="983"/>
    <n v="1.4171753136656493"/>
    <n v="1.7822990844354019"/>
    <n v="0.5610730593607306"/>
    <n v="24"/>
  </r>
  <r>
    <x v="0"/>
    <x v="2"/>
    <x v="19"/>
    <x v="1"/>
    <n v="82"/>
    <d v="2026-01-20T07:00:00"/>
    <d v="2026-01-21T07:00:00"/>
    <d v="1899-12-30T03:30:00"/>
    <m/>
    <m/>
    <d v="1899-12-30T04:00:00"/>
    <n v="20.5"/>
    <n v="24"/>
    <n v="1681"/>
    <n v="1968"/>
    <n v="884"/>
    <n v="1.9015837104072397"/>
    <n v="2.2262443438914028"/>
    <n v="0.44918699186991867"/>
    <n v="24"/>
  </r>
  <r>
    <x v="0"/>
    <x v="2"/>
    <x v="19"/>
    <x v="2"/>
    <n v="11"/>
    <d v="2026-01-20T07:00:00"/>
    <d v="2026-01-21T07:00:00"/>
    <d v="1899-12-30T03:30:00"/>
    <d v="1899-12-30T04:35:00"/>
    <m/>
    <d v="1899-12-30T04:00:00"/>
    <n v="15.916666666666668"/>
    <n v="24"/>
    <n v="175.08333333333334"/>
    <n v="264"/>
    <n v="918"/>
    <n v="0.19072258533042849"/>
    <n v="0.28758169934640521"/>
    <n v="3.4772727272727275"/>
    <n v="24"/>
  </r>
  <r>
    <x v="0"/>
    <x v="2"/>
    <x v="19"/>
    <x v="3"/>
    <n v="71"/>
    <d v="2026-01-20T07:00:00"/>
    <d v="2026-01-21T07:00:00"/>
    <d v="1899-12-30T03:30:00"/>
    <d v="1899-12-30T01:25:00"/>
    <m/>
    <m/>
    <n v="19.083333333333332"/>
    <n v="24"/>
    <n v="1354.9166666666665"/>
    <n v="1704"/>
    <n v="1131"/>
    <n v="1.1979811376363099"/>
    <n v="1.506631299734748"/>
    <n v="0.66373239436619724"/>
    <n v="24"/>
  </r>
  <r>
    <x v="0"/>
    <x v="2"/>
    <x v="19"/>
    <x v="4"/>
    <n v="74"/>
    <d v="2026-01-20T07:00:00"/>
    <d v="2026-01-21T07:00:00"/>
    <d v="1899-12-30T03:30:00"/>
    <m/>
    <m/>
    <m/>
    <n v="20.5"/>
    <n v="24"/>
    <n v="1517"/>
    <n v="1776"/>
    <n v="1158"/>
    <n v="1.3100172711571676"/>
    <n v="1.5336787564766838"/>
    <n v="0.65202702702702708"/>
    <n v="24"/>
  </r>
  <r>
    <x v="0"/>
    <x v="2"/>
    <x v="20"/>
    <x v="1"/>
    <n v="88"/>
    <d v="2026-01-21T07:00:00"/>
    <d v="2026-01-22T07:00:00"/>
    <d v="1899-12-30T03:30:00"/>
    <m/>
    <m/>
    <m/>
    <n v="20.5"/>
    <n v="24"/>
    <n v="1804"/>
    <n v="2112"/>
    <n v="1104"/>
    <n v="1.6340579710144927"/>
    <n v="1.9130434782608696"/>
    <n v="0.52272727272727271"/>
    <n v="24"/>
  </r>
  <r>
    <x v="0"/>
    <x v="2"/>
    <x v="20"/>
    <x v="2"/>
    <n v="12"/>
    <d v="2026-01-21T07:00:00"/>
    <d v="2026-01-22T07:00:00"/>
    <d v="1899-12-30T03:30:00"/>
    <m/>
    <d v="1899-12-30T05:00:00"/>
    <m/>
    <n v="20.5"/>
    <n v="24"/>
    <n v="246"/>
    <n v="288"/>
    <n v="953"/>
    <n v="0.25813221406086045"/>
    <n v="0.30220356768100737"/>
    <n v="3.3090277777777777"/>
    <n v="24"/>
  </r>
  <r>
    <x v="0"/>
    <x v="2"/>
    <x v="20"/>
    <x v="3"/>
    <n v="74"/>
    <d v="2026-01-21T07:00:00"/>
    <d v="2026-01-22T07:00:00"/>
    <d v="1899-12-30T03:30:00"/>
    <d v="1899-12-30T02:20:00"/>
    <m/>
    <m/>
    <n v="18.166666666666668"/>
    <n v="24"/>
    <n v="1344.3333333333335"/>
    <n v="1776"/>
    <n v="1230"/>
    <n v="1.0929539295392956"/>
    <n v="1.4439024390243902"/>
    <n v="0.69256756756756754"/>
    <n v="24"/>
  </r>
  <r>
    <x v="0"/>
    <x v="2"/>
    <x v="20"/>
    <x v="4"/>
    <n v="71"/>
    <d v="2026-01-21T07:00:00"/>
    <d v="2026-01-22T07:00:00"/>
    <d v="1899-12-30T03:30:00"/>
    <m/>
    <m/>
    <m/>
    <n v="20.5"/>
    <n v="24"/>
    <n v="1455.5"/>
    <n v="1704"/>
    <n v="1218"/>
    <n v="1.194991789819376"/>
    <n v="1.3990147783251232"/>
    <n v="0.71478873239436613"/>
    <n v="24"/>
  </r>
  <r>
    <x v="0"/>
    <x v="2"/>
    <x v="21"/>
    <x v="1"/>
    <n v="76"/>
    <d v="2026-01-22T07:00:00"/>
    <d v="2026-01-23T07:00:00"/>
    <d v="1899-12-30T03:30:00"/>
    <m/>
    <m/>
    <m/>
    <n v="20.5"/>
    <n v="24"/>
    <n v="1558"/>
    <n v="1824"/>
    <n v="929"/>
    <n v="1.6770721205597416"/>
    <n v="1.9634015069967707"/>
    <n v="0.50932017543859653"/>
    <n v="24"/>
  </r>
  <r>
    <x v="0"/>
    <x v="2"/>
    <x v="21"/>
    <x v="2"/>
    <n v="12"/>
    <d v="2026-01-22T07:00:00"/>
    <d v="2026-01-23T07:00:00"/>
    <d v="1899-12-30T03:30:00"/>
    <d v="1899-12-30T02:00:00"/>
    <d v="1899-12-30T04:00:00"/>
    <d v="1899-12-30T10:00:00"/>
    <n v="18.5"/>
    <n v="24"/>
    <n v="222"/>
    <n v="288"/>
    <n v="985"/>
    <n v="0.22538071065989848"/>
    <n v="0.29238578680203048"/>
    <n v="3.4201388888888888"/>
    <n v="24"/>
  </r>
  <r>
    <x v="0"/>
    <x v="2"/>
    <x v="21"/>
    <x v="3"/>
    <n v="68"/>
    <d v="2026-01-22T07:00:00"/>
    <d v="2026-01-23T07:00:00"/>
    <d v="1899-12-30T03:30:00"/>
    <d v="1899-12-30T03:30:00"/>
    <m/>
    <m/>
    <n v="17"/>
    <n v="24"/>
    <n v="1156"/>
    <n v="1632"/>
    <n v="1009"/>
    <n v="1.1456888007928643"/>
    <n v="1.6174430128840436"/>
    <n v="0.61825980392156865"/>
    <n v="24"/>
  </r>
  <r>
    <x v="0"/>
    <x v="2"/>
    <x v="21"/>
    <x v="4"/>
    <n v="69"/>
    <d v="2026-01-22T07:00:00"/>
    <d v="2026-01-23T07:00:00"/>
    <d v="1899-12-30T03:30:00"/>
    <d v="1899-12-30T02:30:00"/>
    <m/>
    <d v="1899-12-30T02:25:00"/>
    <n v="18"/>
    <n v="24"/>
    <n v="1242"/>
    <n v="1656"/>
    <n v="1100"/>
    <n v="1.1290909090909091"/>
    <n v="1.5054545454545454"/>
    <n v="0.66425120772946866"/>
    <n v="24"/>
  </r>
  <r>
    <x v="0"/>
    <x v="2"/>
    <x v="22"/>
    <x v="1"/>
    <n v="87"/>
    <d v="2026-01-23T07:00:00"/>
    <d v="2026-01-24T07:00:00"/>
    <d v="1899-12-30T03:30:00"/>
    <m/>
    <m/>
    <m/>
    <n v="20.5"/>
    <n v="24"/>
    <n v="1783.5"/>
    <n v="2088"/>
    <n v="1080"/>
    <n v="1.6513888888888888"/>
    <n v="1.9333333333333333"/>
    <n v="0.51724137931034486"/>
    <n v="24"/>
  </r>
  <r>
    <x v="0"/>
    <x v="2"/>
    <x v="22"/>
    <x v="2"/>
    <n v="11"/>
    <d v="2026-01-23T07:00:00"/>
    <d v="2026-01-24T07:00:00"/>
    <d v="1899-12-30T03:30:00"/>
    <m/>
    <m/>
    <d v="1899-12-30T10:00:00"/>
    <n v="20.5"/>
    <n v="24"/>
    <n v="225.5"/>
    <n v="264"/>
    <n v="1055"/>
    <n v="0.21374407582938387"/>
    <n v="0.25023696682464452"/>
    <n v="3.9962121212121215"/>
    <n v="24"/>
  </r>
  <r>
    <x v="0"/>
    <x v="2"/>
    <x v="22"/>
    <x v="3"/>
    <n v="72"/>
    <d v="2026-01-23T07:00:00"/>
    <d v="2026-01-24T07:00:00"/>
    <d v="1899-12-30T03:30:00"/>
    <d v="1899-12-30T02:20:00"/>
    <m/>
    <m/>
    <n v="18.166666666666668"/>
    <n v="24"/>
    <n v="1308"/>
    <n v="1728"/>
    <n v="977"/>
    <n v="1.3387922210849539"/>
    <n v="1.7686796315250768"/>
    <n v="0.56539351851851849"/>
    <n v="24"/>
  </r>
  <r>
    <x v="0"/>
    <x v="2"/>
    <x v="22"/>
    <x v="4"/>
    <n v="72"/>
    <d v="2026-01-23T07:00:00"/>
    <d v="2026-01-24T07:00:00"/>
    <d v="1899-12-30T03:30:00"/>
    <m/>
    <m/>
    <m/>
    <n v="20.5"/>
    <n v="24"/>
    <n v="1476"/>
    <n v="1728"/>
    <n v="1068"/>
    <n v="1.3820224719101124"/>
    <n v="1.6179775280898876"/>
    <n v="0.61805555555555558"/>
    <n v="24"/>
  </r>
  <r>
    <x v="0"/>
    <x v="2"/>
    <x v="23"/>
    <x v="1"/>
    <n v="85"/>
    <d v="2026-01-24T07:00:00"/>
    <d v="2026-01-25T07:00:00"/>
    <d v="1899-12-30T03:30:00"/>
    <m/>
    <m/>
    <m/>
    <n v="20.5"/>
    <n v="24"/>
    <n v="1742.5"/>
    <n v="2040"/>
    <n v="999"/>
    <n v="1.7442442442442443"/>
    <n v="2.0420420420420422"/>
    <n v="0.48970588235294116"/>
    <n v="24"/>
  </r>
  <r>
    <x v="0"/>
    <x v="2"/>
    <x v="23"/>
    <x v="2"/>
    <n v="12"/>
    <d v="2026-01-24T07:00:00"/>
    <d v="2026-01-25T07:00:00"/>
    <d v="1899-12-30T03:30:00"/>
    <d v="1899-12-30T01:40:00"/>
    <m/>
    <d v="1899-12-30T13:00:00"/>
    <n v="18.833333333333332"/>
    <n v="24"/>
    <n v="226"/>
    <n v="288"/>
    <n v="1057"/>
    <n v="0.21381267738883633"/>
    <n v="0.27246925260170296"/>
    <n v="3.6701388888888884"/>
    <n v="24"/>
  </r>
  <r>
    <x v="0"/>
    <x v="2"/>
    <x v="23"/>
    <x v="3"/>
    <n v="70"/>
    <d v="2026-01-24T07:00:00"/>
    <d v="2026-01-25T07:00:00"/>
    <d v="1899-12-30T03:30:00"/>
    <m/>
    <m/>
    <m/>
    <n v="20.5"/>
    <n v="24"/>
    <n v="1435"/>
    <n v="1680"/>
    <n v="1102"/>
    <n v="1.3021778584392014"/>
    <n v="1.5245009074410163"/>
    <n v="0.65595238095238095"/>
    <n v="24"/>
  </r>
  <r>
    <x v="0"/>
    <x v="2"/>
    <x v="23"/>
    <x v="4"/>
    <n v="71"/>
    <d v="2026-01-24T07:00:00"/>
    <d v="2026-01-25T07:00:00"/>
    <d v="1899-12-30T03:30:00"/>
    <m/>
    <m/>
    <m/>
    <n v="20.5"/>
    <n v="24"/>
    <n v="1455.5"/>
    <n v="1704"/>
    <n v="1111"/>
    <n v="1.3100810081008101"/>
    <n v="1.5337533753375339"/>
    <n v="0.65199530516431925"/>
    <n v="24"/>
  </r>
  <r>
    <x v="0"/>
    <x v="2"/>
    <x v="24"/>
    <x v="2"/>
    <n v="1"/>
    <d v="2026-01-25T07:00:00"/>
    <d v="2026-01-25T17:00:00"/>
    <d v="1899-12-30T01:30:00"/>
    <m/>
    <m/>
    <m/>
    <n v="8.5"/>
    <n v="10"/>
    <n v="8.5"/>
    <n v="10"/>
    <n v="15"/>
    <n v="0.56666666666666665"/>
    <n v="0.66666666666666663"/>
    <n v="1.5"/>
    <n v="10"/>
  </r>
  <r>
    <x v="0"/>
    <x v="2"/>
    <x v="24"/>
    <x v="3"/>
    <n v="36"/>
    <d v="2026-01-25T07:00:00"/>
    <d v="2026-01-25T17:00:00"/>
    <d v="1899-12-30T01:30:00"/>
    <m/>
    <m/>
    <m/>
    <n v="8.5"/>
    <n v="10"/>
    <n v="306"/>
    <n v="360"/>
    <n v="252"/>
    <n v="1.2142857142857142"/>
    <n v="1.4285714285714286"/>
    <n v="0.7"/>
    <n v="10"/>
  </r>
  <r>
    <x v="0"/>
    <x v="2"/>
    <x v="24"/>
    <x v="4"/>
    <n v="37"/>
    <d v="2026-01-25T07:00:00"/>
    <d v="2026-01-25T17:00:00"/>
    <d v="1899-12-30T01:30:00"/>
    <m/>
    <m/>
    <d v="1899-12-30T01:00:00"/>
    <n v="8.5"/>
    <n v="10"/>
    <n v="314.5"/>
    <n v="370"/>
    <n v="336"/>
    <n v="0.93601190476190477"/>
    <n v="1.1011904761904763"/>
    <n v="0.90810810810810805"/>
    <n v="10"/>
  </r>
  <r>
    <x v="0"/>
    <x v="2"/>
    <x v="25"/>
    <x v="1"/>
    <n v="93"/>
    <d v="2026-01-26T07:00:00"/>
    <d v="2026-01-27T07:00:00"/>
    <d v="1899-12-30T03:30:00"/>
    <m/>
    <m/>
    <m/>
    <n v="20.5"/>
    <n v="24"/>
    <n v="1906.5"/>
    <n v="2232"/>
    <n v="759"/>
    <n v="2.5118577075098814"/>
    <n v="2.9407114624505928"/>
    <n v="0.34005376344086025"/>
    <n v="24"/>
  </r>
  <r>
    <x v="0"/>
    <x v="2"/>
    <x v="25"/>
    <x v="2"/>
    <n v="12"/>
    <d v="2026-01-26T07:00:00"/>
    <d v="2026-01-27T07:00:00"/>
    <d v="1899-12-30T03:30:00"/>
    <m/>
    <d v="1899-12-30T07:30:00"/>
    <d v="1899-12-30T09:00:00"/>
    <n v="20.5"/>
    <n v="24"/>
    <n v="246"/>
    <n v="288"/>
    <n v="911"/>
    <n v="0.27003293084522501"/>
    <n v="0.31613611416026344"/>
    <n v="3.1631944444444446"/>
    <n v="24"/>
  </r>
  <r>
    <x v="0"/>
    <x v="2"/>
    <x v="25"/>
    <x v="3"/>
    <n v="67"/>
    <d v="2026-01-26T07:00:00"/>
    <d v="2026-01-27T07:00:00"/>
    <d v="1899-12-30T03:30:00"/>
    <d v="1899-12-30T03:05:00"/>
    <m/>
    <m/>
    <n v="17.416666666666668"/>
    <n v="24"/>
    <n v="1166.9166666666667"/>
    <n v="1608"/>
    <n v="860"/>
    <n v="1.3568798449612405"/>
    <n v="1.8697674418604651"/>
    <n v="0.53482587064676623"/>
    <n v="24"/>
  </r>
  <r>
    <x v="0"/>
    <x v="2"/>
    <x v="25"/>
    <x v="4"/>
    <n v="71"/>
    <d v="2026-01-26T07:00:00"/>
    <d v="2026-01-27T07:00:00"/>
    <d v="1899-12-30T03:30:00"/>
    <d v="1899-12-30T01:00:00"/>
    <m/>
    <m/>
    <n v="19.5"/>
    <n v="24"/>
    <n v="1384.5"/>
    <n v="1704"/>
    <n v="810"/>
    <n v="1.7092592592592593"/>
    <n v="2.1037037037037036"/>
    <n v="0.47535211267605637"/>
    <n v="24"/>
  </r>
  <r>
    <x v="0"/>
    <x v="2"/>
    <x v="26"/>
    <x v="1"/>
    <n v="91"/>
    <d v="2026-01-27T07:00:00"/>
    <d v="2026-01-28T07:00:00"/>
    <d v="1899-12-30T03:30:00"/>
    <m/>
    <m/>
    <m/>
    <n v="20.5"/>
    <n v="24"/>
    <n v="1865.5"/>
    <n v="2184"/>
    <n v="1093"/>
    <n v="1.7067703568161026"/>
    <n v="1.9981701738334858"/>
    <n v="0.50045787545787546"/>
    <n v="24"/>
  </r>
  <r>
    <x v="0"/>
    <x v="2"/>
    <x v="26"/>
    <x v="2"/>
    <n v="13"/>
    <d v="2026-01-27T07:00:00"/>
    <d v="2026-01-28T07:00:00"/>
    <d v="1899-12-30T03:30:00"/>
    <d v="1899-12-30T02:00:00"/>
    <m/>
    <m/>
    <n v="18.5"/>
    <n v="24"/>
    <n v="240.5"/>
    <n v="312"/>
    <n v="1145"/>
    <n v="0.21004366812227074"/>
    <n v="0.27248908296943231"/>
    <n v="3.6698717948717952"/>
    <n v="24"/>
  </r>
  <r>
    <x v="0"/>
    <x v="2"/>
    <x v="26"/>
    <x v="3"/>
    <n v="72"/>
    <d v="2026-01-27T07:00:00"/>
    <d v="2026-01-28T07:00:00"/>
    <d v="1899-12-30T03:30:00"/>
    <d v="1899-12-30T01:40:00"/>
    <m/>
    <m/>
    <n v="18.833333333333332"/>
    <n v="24"/>
    <n v="1356"/>
    <n v="1728"/>
    <n v="995"/>
    <n v="1.3628140703517588"/>
    <n v="1.7366834170854271"/>
    <n v="0.57581018518518523"/>
    <n v="24"/>
  </r>
  <r>
    <x v="0"/>
    <x v="2"/>
    <x v="26"/>
    <x v="4"/>
    <n v="69"/>
    <d v="2026-01-27T07:00:00"/>
    <d v="2026-01-28T07:00:00"/>
    <d v="1899-12-30T03:30:00"/>
    <m/>
    <m/>
    <d v="1899-12-30T01:00:00"/>
    <n v="20.5"/>
    <n v="24"/>
    <n v="1414.5"/>
    <n v="1656"/>
    <n v="945"/>
    <n v="1.4968253968253968"/>
    <n v="1.7523809523809524"/>
    <n v="0.57065217391304346"/>
    <n v="24"/>
  </r>
  <r>
    <x v="0"/>
    <x v="2"/>
    <x v="27"/>
    <x v="1"/>
    <n v="88"/>
    <d v="2026-01-28T07:00:00"/>
    <d v="2026-01-29T07:00:00"/>
    <d v="1899-12-30T03:30:00"/>
    <m/>
    <m/>
    <d v="1899-12-30T06:15:00"/>
    <n v="20.5"/>
    <n v="24"/>
    <n v="1804"/>
    <n v="2112"/>
    <n v="906"/>
    <n v="1.9911699779249448"/>
    <n v="2.3311258278145695"/>
    <n v="0.42897727272727276"/>
    <n v="24"/>
  </r>
  <r>
    <x v="0"/>
    <x v="2"/>
    <x v="27"/>
    <x v="2"/>
    <n v="12"/>
    <d v="2026-01-28T07:00:00"/>
    <d v="2026-01-29T07:00:00"/>
    <d v="1899-12-30T03:30:00"/>
    <m/>
    <d v="1899-12-30T02:00:00"/>
    <d v="1899-12-30T04:00:00"/>
    <n v="20.5"/>
    <n v="24"/>
    <n v="246"/>
    <n v="288"/>
    <n v="1091"/>
    <n v="0.22548120989917506"/>
    <n v="0.26397800183318054"/>
    <n v="3.7881944444444446"/>
    <n v="24"/>
  </r>
  <r>
    <x v="0"/>
    <x v="2"/>
    <x v="27"/>
    <x v="3"/>
    <n v="73"/>
    <d v="2026-01-28T07:00:00"/>
    <d v="2026-01-29T07:00:00"/>
    <d v="1899-12-30T03:30:00"/>
    <d v="1899-12-30T02:00:00"/>
    <m/>
    <m/>
    <n v="18.5"/>
    <n v="24"/>
    <n v="1350.5"/>
    <n v="1752"/>
    <n v="1098"/>
    <n v="1.2299635701275045"/>
    <n v="1.5956284153005464"/>
    <n v="0.62671232876712324"/>
    <n v="24"/>
  </r>
  <r>
    <x v="0"/>
    <x v="2"/>
    <x v="27"/>
    <x v="4"/>
    <n v="72"/>
    <d v="2026-01-28T07:00:00"/>
    <d v="2026-01-29T07:00:00"/>
    <d v="1899-12-30T03:30:00"/>
    <m/>
    <m/>
    <m/>
    <n v="20.5"/>
    <n v="24"/>
    <n v="1476"/>
    <n v="1728"/>
    <n v="1170"/>
    <n v="1.2615384615384615"/>
    <n v="1.476923076923077"/>
    <n v="0.67708333333333326"/>
    <n v="24"/>
  </r>
  <r>
    <x v="0"/>
    <x v="2"/>
    <x v="28"/>
    <x v="1"/>
    <n v="88"/>
    <d v="2026-01-29T07:00:00"/>
    <d v="2026-01-30T07:00:00"/>
    <d v="1899-12-30T03:30:00"/>
    <m/>
    <m/>
    <d v="1899-12-30T00:15:00"/>
    <n v="20.5"/>
    <n v="24"/>
    <n v="1804"/>
    <n v="2112"/>
    <n v="1036"/>
    <n v="1.7413127413127414"/>
    <n v="2.0386100386100385"/>
    <n v="0.49053030303030304"/>
    <n v="24"/>
  </r>
  <r>
    <x v="0"/>
    <x v="2"/>
    <x v="28"/>
    <x v="2"/>
    <n v="12"/>
    <d v="2026-01-29T07:00:00"/>
    <d v="2026-01-30T07:00:00"/>
    <d v="1899-12-30T03:30:00"/>
    <m/>
    <m/>
    <d v="1899-12-30T11:00:00"/>
    <n v="20.5"/>
    <n v="24"/>
    <n v="246"/>
    <n v="288"/>
    <n v="1033"/>
    <n v="0.23814133591481124"/>
    <n v="0.27879961277831561"/>
    <n v="3.5868055555555554"/>
    <n v="24"/>
  </r>
  <r>
    <x v="0"/>
    <x v="2"/>
    <x v="28"/>
    <x v="3"/>
    <n v="73"/>
    <d v="2026-01-29T07:00:00"/>
    <d v="2026-01-30T07:00:00"/>
    <d v="1899-12-30T03:30:00"/>
    <d v="1899-12-30T01:35:00"/>
    <m/>
    <m/>
    <n v="18.916666666666668"/>
    <n v="24"/>
    <n v="1380.9166666666667"/>
    <n v="1752"/>
    <n v="1117"/>
    <n v="1.2362727544016712"/>
    <n v="1.5684870188003581"/>
    <n v="0.63755707762557079"/>
    <n v="24"/>
  </r>
  <r>
    <x v="0"/>
    <x v="2"/>
    <x v="28"/>
    <x v="4"/>
    <n v="69"/>
    <d v="2026-01-29T07:00:00"/>
    <d v="2026-01-30T07:00:00"/>
    <d v="1899-12-30T03:30:00"/>
    <m/>
    <m/>
    <m/>
    <n v="20.5"/>
    <n v="24"/>
    <n v="1414.5"/>
    <n v="1656"/>
    <n v="1059"/>
    <n v="1.3356940509915014"/>
    <n v="1.5637393767705383"/>
    <n v="0.63949275362318836"/>
    <n v="24"/>
  </r>
  <r>
    <x v="0"/>
    <x v="2"/>
    <x v="29"/>
    <x v="1"/>
    <n v="86"/>
    <d v="2026-01-30T07:00:00"/>
    <d v="2026-01-31T07:00:00"/>
    <d v="1899-12-30T03:30:00"/>
    <m/>
    <m/>
    <d v="1899-12-30T05:00:00"/>
    <n v="20.5"/>
    <n v="24"/>
    <n v="1763"/>
    <n v="2064"/>
    <n v="933"/>
    <n v="1.8896034297963558"/>
    <n v="2.212218649517685"/>
    <n v="0.4520348837209302"/>
    <n v="24"/>
  </r>
  <r>
    <x v="0"/>
    <x v="2"/>
    <x v="29"/>
    <x v="2"/>
    <n v="12"/>
    <d v="2026-01-30T07:00:00"/>
    <d v="2026-01-31T07:00:00"/>
    <d v="1899-12-30T03:30:00"/>
    <m/>
    <d v="1899-12-30T02:55:00"/>
    <d v="1899-12-30T08:00:00"/>
    <n v="20.5"/>
    <n v="24"/>
    <n v="246"/>
    <n v="288"/>
    <n v="939"/>
    <n v="0.26198083067092653"/>
    <n v="0.30670926517571884"/>
    <n v="3.260416666666667"/>
    <n v="24"/>
  </r>
  <r>
    <x v="0"/>
    <x v="2"/>
    <x v="29"/>
    <x v="3"/>
    <n v="74"/>
    <d v="2026-01-30T07:00:00"/>
    <d v="2026-01-31T07:00:00"/>
    <d v="1899-12-30T03:30:00"/>
    <d v="1899-12-30T01:45:00"/>
    <m/>
    <m/>
    <n v="18.75"/>
    <n v="24"/>
    <n v="1387.5"/>
    <n v="1776"/>
    <n v="995"/>
    <n v="1.3944723618090453"/>
    <n v="1.784924623115578"/>
    <n v="0.56024774774774777"/>
    <n v="24"/>
  </r>
  <r>
    <x v="0"/>
    <x v="2"/>
    <x v="29"/>
    <x v="4"/>
    <n v="70"/>
    <d v="2026-01-30T07:00:00"/>
    <d v="2026-01-31T07:00:00"/>
    <d v="1899-12-30T03:30:00"/>
    <m/>
    <m/>
    <d v="1899-12-30T02:00:00"/>
    <n v="20.5"/>
    <n v="24"/>
    <n v="1435"/>
    <n v="1680"/>
    <n v="1056"/>
    <n v="1.3589015151515151"/>
    <n v="1.5909090909090908"/>
    <n v="0.62857142857142856"/>
    <n v="24"/>
  </r>
  <r>
    <x v="0"/>
    <x v="2"/>
    <x v="30"/>
    <x v="1"/>
    <n v="82"/>
    <d v="2026-01-31T07:00:00"/>
    <d v="2026-02-01T07:00:00"/>
    <d v="1899-12-30T03:30:00"/>
    <d v="1899-12-30T00:50:00"/>
    <m/>
    <d v="1899-12-30T08:00:00"/>
    <n v="19.666666666666668"/>
    <n v="24"/>
    <n v="1612.6666666666667"/>
    <n v="1968"/>
    <n v="956"/>
    <n v="1.686889818688982"/>
    <n v="2.0585774058577404"/>
    <n v="0.4857723577235773"/>
    <n v="24"/>
  </r>
  <r>
    <x v="0"/>
    <x v="2"/>
    <x v="30"/>
    <x v="2"/>
    <n v="11"/>
    <d v="2026-01-31T07:00:00"/>
    <d v="2026-02-01T07:00:00"/>
    <d v="1899-12-30T03:30:00"/>
    <d v="1899-12-30T01:10:00"/>
    <d v="1899-12-30T01:10:00"/>
    <d v="1899-12-30T09:00:00"/>
    <n v="19.333333333333332"/>
    <n v="24"/>
    <n v="212.66666666666666"/>
    <n v="264"/>
    <n v="959"/>
    <n v="0.22175877650330203"/>
    <n v="0.27528675703858185"/>
    <n v="3.6325757575757578"/>
    <n v="24"/>
  </r>
  <r>
    <x v="0"/>
    <x v="2"/>
    <x v="30"/>
    <x v="3"/>
    <n v="68"/>
    <d v="2026-01-31T07:00:00"/>
    <d v="2026-02-01T07:00:00"/>
    <d v="1899-12-30T03:30:00"/>
    <d v="1899-12-30T02:00:00"/>
    <m/>
    <m/>
    <n v="18.5"/>
    <n v="24"/>
    <n v="1258"/>
    <n v="1632"/>
    <n v="983"/>
    <n v="1.2797558494404884"/>
    <n v="1.6602238046795523"/>
    <n v="0.60232843137254899"/>
    <n v="24"/>
  </r>
  <r>
    <x v="0"/>
    <x v="2"/>
    <x v="30"/>
    <x v="4"/>
    <n v="68"/>
    <d v="2026-01-31T07:00:00"/>
    <d v="2026-02-01T07:00:00"/>
    <d v="1899-12-30T03:30:00"/>
    <m/>
    <m/>
    <m/>
    <n v="20.5"/>
    <n v="24"/>
    <n v="1394"/>
    <n v="1632"/>
    <n v="978"/>
    <n v="1.425357873210634"/>
    <n v="1.6687116564417177"/>
    <n v="0.59926470588235292"/>
    <n v="24"/>
  </r>
  <r>
    <x v="1"/>
    <x v="2"/>
    <x v="31"/>
    <x v="1"/>
    <n v="29"/>
    <d v="2026-02-01T07:00:00"/>
    <d v="2026-02-01T17:00:00"/>
    <d v="1899-12-30T01:30:00"/>
    <m/>
    <m/>
    <d v="1899-12-30T02:00:00"/>
    <n v="8.5"/>
    <n v="10"/>
    <n v="246.5"/>
    <n v="290"/>
    <n v="217"/>
    <n v="1.1359447004608294"/>
    <n v="1.336405529953917"/>
    <n v="0.74827586206896557"/>
    <n v="10"/>
  </r>
  <r>
    <x v="1"/>
    <x v="2"/>
    <x v="31"/>
    <x v="2"/>
    <n v="3"/>
    <d v="2026-02-01T07:00:00"/>
    <d v="2026-02-01T17:00:00"/>
    <d v="1899-12-30T01:30:00"/>
    <m/>
    <m/>
    <m/>
    <n v="8.5"/>
    <n v="10"/>
    <n v="25.5"/>
    <n v="30"/>
    <n v="189"/>
    <n v="0.13492063492063491"/>
    <n v="0.15873015873015872"/>
    <n v="6.3000000000000007"/>
    <n v="10"/>
  </r>
  <r>
    <x v="1"/>
    <x v="2"/>
    <x v="31"/>
    <x v="3"/>
    <n v="33"/>
    <d v="2026-02-01T07:00:00"/>
    <d v="2026-02-01T17:00:00"/>
    <d v="1899-12-30T01:30:00"/>
    <m/>
    <m/>
    <m/>
    <n v="8.5"/>
    <n v="10"/>
    <n v="280.5"/>
    <n v="330"/>
    <n v="251"/>
    <n v="1.1175298804780875"/>
    <n v="1.3147410358565736"/>
    <n v="0.76060606060606062"/>
    <n v="10"/>
  </r>
  <r>
    <x v="1"/>
    <x v="2"/>
    <x v="31"/>
    <x v="4"/>
    <n v="26"/>
    <d v="2026-02-01T07:00:00"/>
    <d v="2026-02-01T17:00:00"/>
    <d v="1899-12-30T01:30:00"/>
    <m/>
    <m/>
    <m/>
    <n v="8.5"/>
    <n v="10"/>
    <n v="221"/>
    <n v="260"/>
    <n v="232"/>
    <n v="0.95258620689655171"/>
    <n v="1.1206896551724137"/>
    <n v="0.89230769230769236"/>
    <n v="10"/>
  </r>
  <r>
    <x v="1"/>
    <x v="2"/>
    <x v="32"/>
    <x v="1"/>
    <n v="66"/>
    <d v="2026-02-02T07:00:00"/>
    <d v="2026-02-03T07:00:00"/>
    <d v="1899-12-30T03:30:00"/>
    <m/>
    <m/>
    <m/>
    <n v="20.5"/>
    <n v="24"/>
    <n v="1353"/>
    <n v="1584"/>
    <n v="848"/>
    <n v="1.5955188679245282"/>
    <n v="1.8679245283018868"/>
    <n v="0.53535353535353536"/>
    <n v="24"/>
  </r>
  <r>
    <x v="1"/>
    <x v="2"/>
    <x v="32"/>
    <x v="2"/>
    <n v="10"/>
    <d v="2026-02-02T07:00:00"/>
    <d v="2026-02-03T07:00:00"/>
    <d v="1899-12-30T03:30:00"/>
    <m/>
    <m/>
    <d v="1899-12-30T09:00:00"/>
    <n v="20.5"/>
    <n v="24"/>
    <n v="205"/>
    <n v="240"/>
    <n v="785"/>
    <n v="0.26114649681528662"/>
    <n v="0.30573248407643311"/>
    <n v="3.2708333333333335"/>
    <n v="24"/>
  </r>
  <r>
    <x v="1"/>
    <x v="2"/>
    <x v="32"/>
    <x v="3"/>
    <n v="67"/>
    <d v="2026-02-02T07:00:00"/>
    <d v="2026-02-03T07:00:00"/>
    <d v="1899-12-30T03:30:00"/>
    <d v="1899-12-30T05:10:00"/>
    <m/>
    <d v="1899-12-30T01:30:00"/>
    <n v="15.333333333333334"/>
    <n v="24"/>
    <n v="1027.3333333333335"/>
    <n v="1608"/>
    <n v="807"/>
    <n v="1.2730276745146636"/>
    <n v="1.9925650557620818"/>
    <n v="0.50186567164179108"/>
    <n v="24"/>
  </r>
  <r>
    <x v="1"/>
    <x v="2"/>
    <x v="32"/>
    <x v="4"/>
    <n v="64"/>
    <d v="2026-02-02T07:00:00"/>
    <d v="2026-02-03T07:00:00"/>
    <d v="1899-12-30T03:30:00"/>
    <d v="1899-12-30T02:00:00"/>
    <m/>
    <m/>
    <n v="18.5"/>
    <n v="24"/>
    <n v="1184"/>
    <n v="1536"/>
    <n v="823"/>
    <n v="1.4386391251518833"/>
    <n v="1.8663426488456865"/>
    <n v="0.53580729166666663"/>
    <n v="24"/>
  </r>
  <r>
    <x v="1"/>
    <x v="2"/>
    <x v="33"/>
    <x v="1"/>
    <n v="86"/>
    <d v="2026-02-03T07:00:00"/>
    <d v="2026-02-04T07:00:00"/>
    <d v="1899-12-30T03:30:00"/>
    <m/>
    <m/>
    <d v="1899-12-30T04:00:00"/>
    <n v="20.5"/>
    <n v="24"/>
    <n v="1763"/>
    <n v="2064"/>
    <n v="926"/>
    <n v="1.9038876889848813"/>
    <n v="2.2289416846652266"/>
    <n v="0.4486434108527132"/>
    <n v="24"/>
  </r>
  <r>
    <x v="1"/>
    <x v="2"/>
    <x v="33"/>
    <x v="2"/>
    <n v="11"/>
    <d v="2026-02-03T07:00:00"/>
    <d v="2026-02-04T07:00:00"/>
    <d v="1899-12-30T03:30:00"/>
    <m/>
    <m/>
    <d v="1899-12-30T06:00:00"/>
    <n v="20.5"/>
    <n v="24"/>
    <n v="225.5"/>
    <n v="264"/>
    <n v="948"/>
    <n v="0.2378691983122363"/>
    <n v="0.27848101265822783"/>
    <n v="3.5909090909090913"/>
    <n v="24"/>
  </r>
  <r>
    <x v="1"/>
    <x v="2"/>
    <x v="33"/>
    <x v="3"/>
    <n v="69"/>
    <d v="2026-02-03T07:00:00"/>
    <d v="2026-02-04T07:00:00"/>
    <d v="1899-12-30T03:30:00"/>
    <d v="1899-12-30T01:00:00"/>
    <m/>
    <m/>
    <n v="19.5"/>
    <n v="24"/>
    <n v="1345.5"/>
    <n v="1656"/>
    <n v="1041"/>
    <n v="1.2925072046109509"/>
    <n v="1.5907780979827089"/>
    <n v="0.62862318840579712"/>
    <n v="24"/>
  </r>
  <r>
    <x v="1"/>
    <x v="2"/>
    <x v="33"/>
    <x v="4"/>
    <n v="68"/>
    <d v="2026-02-03T07:00:00"/>
    <d v="2026-02-04T07:00:00"/>
    <d v="1899-12-30T03:30:00"/>
    <m/>
    <m/>
    <d v="1899-12-30T02:00:00"/>
    <n v="20.5"/>
    <n v="24"/>
    <n v="1394"/>
    <n v="1632"/>
    <n v="973"/>
    <n v="1.4326824254881809"/>
    <n v="1.6772867420349435"/>
    <n v="0.59620098039215685"/>
    <n v="24"/>
  </r>
  <r>
    <x v="1"/>
    <x v="2"/>
    <x v="34"/>
    <x v="1"/>
    <n v="85"/>
    <d v="2026-02-04T07:00:00"/>
    <d v="2026-02-05T07:00:00"/>
    <d v="1899-12-30T03:30:00"/>
    <m/>
    <m/>
    <d v="1899-12-30T02:00:00"/>
    <n v="20.5"/>
    <n v="24"/>
    <n v="1742.5"/>
    <n v="2040"/>
    <n v="1029"/>
    <n v="1.6933916423712343"/>
    <n v="1.9825072886297377"/>
    <n v="0.50441176470588234"/>
    <n v="24"/>
  </r>
  <r>
    <x v="1"/>
    <x v="2"/>
    <x v="34"/>
    <x v="2"/>
    <n v="10"/>
    <d v="2026-02-04T07:00:00"/>
    <d v="2026-02-05T07:00:00"/>
    <d v="1899-12-30T03:30:00"/>
    <d v="1899-12-30T01:45:00"/>
    <m/>
    <d v="1899-12-30T06:00:00"/>
    <n v="18.75"/>
    <n v="24"/>
    <n v="187.5"/>
    <n v="240"/>
    <n v="1006"/>
    <n v="0.18638170974155069"/>
    <n v="0.23856858846918488"/>
    <n v="4.1916666666666664"/>
    <n v="24"/>
  </r>
  <r>
    <x v="1"/>
    <x v="2"/>
    <x v="34"/>
    <x v="3"/>
    <n v="68"/>
    <d v="2026-02-04T07:00:00"/>
    <d v="2026-02-05T07:00:00"/>
    <d v="1899-12-30T03:30:00"/>
    <d v="1899-12-30T02:40:00"/>
    <m/>
    <d v="1899-12-30T04:00:00"/>
    <n v="17.833333333333332"/>
    <n v="24"/>
    <n v="1212.6666666666665"/>
    <n v="1632"/>
    <n v="1050"/>
    <n v="1.1549206349206347"/>
    <n v="1.5542857142857143"/>
    <n v="0.64338235294117652"/>
    <n v="24"/>
  </r>
  <r>
    <x v="1"/>
    <x v="2"/>
    <x v="34"/>
    <x v="4"/>
    <n v="67"/>
    <d v="2026-02-04T07:00:00"/>
    <d v="2026-02-05T07:00:00"/>
    <d v="1899-12-30T03:30:00"/>
    <m/>
    <m/>
    <m/>
    <n v="20.5"/>
    <n v="24"/>
    <n v="1373.5"/>
    <n v="1608"/>
    <n v="1063"/>
    <n v="1.2920978363123237"/>
    <n v="1.5126999059266228"/>
    <n v="0.66106965174129351"/>
    <n v="24"/>
  </r>
  <r>
    <x v="1"/>
    <x v="2"/>
    <x v="35"/>
    <x v="1"/>
    <n v="64"/>
    <d v="2026-02-05T07:00:00"/>
    <d v="2026-02-06T07:00:00"/>
    <d v="1899-12-30T03:30:00"/>
    <m/>
    <m/>
    <m/>
    <n v="20.5"/>
    <n v="24"/>
    <n v="1312"/>
    <n v="1536"/>
    <n v="742"/>
    <n v="1.7681940700808625"/>
    <n v="2.0700808625336928"/>
    <n v="0.48307291666666663"/>
    <n v="24"/>
  </r>
  <r>
    <x v="1"/>
    <x v="2"/>
    <x v="35"/>
    <x v="2"/>
    <n v="10"/>
    <d v="2026-02-05T07:00:00"/>
    <d v="2026-02-06T07:00:00"/>
    <d v="1899-12-30T03:30:00"/>
    <m/>
    <d v="1899-12-30T01:30:00"/>
    <d v="1899-12-30T17:00:00"/>
    <n v="20.5"/>
    <n v="24"/>
    <n v="205"/>
    <n v="240"/>
    <n v="764"/>
    <n v="0.26832460732984292"/>
    <n v="0.31413612565445026"/>
    <n v="3.1833333333333336"/>
    <n v="24"/>
  </r>
  <r>
    <x v="1"/>
    <x v="2"/>
    <x v="35"/>
    <x v="3"/>
    <n v="67"/>
    <d v="2026-02-05T07:00:00"/>
    <d v="2026-02-06T07:00:00"/>
    <d v="1899-12-30T03:30:00"/>
    <d v="1899-12-30T02:40:00"/>
    <m/>
    <d v="1899-12-30T03:00:00"/>
    <n v="17.833333333333332"/>
    <n v="24"/>
    <n v="1194.8333333333333"/>
    <n v="1608"/>
    <n v="785"/>
    <n v="1.5220806794055202"/>
    <n v="2.0484076433121019"/>
    <n v="0.48818407960199006"/>
    <n v="24"/>
  </r>
  <r>
    <x v="1"/>
    <x v="2"/>
    <x v="35"/>
    <x v="4"/>
    <n v="67"/>
    <d v="2026-02-05T07:00:00"/>
    <d v="2026-02-06T07:00:00"/>
    <d v="1899-12-30T03:30:00"/>
    <d v="1899-12-30T01:30:00"/>
    <m/>
    <m/>
    <n v="19"/>
    <n v="24"/>
    <n v="1273"/>
    <n v="1608"/>
    <n v="917"/>
    <n v="1.3882224645583425"/>
    <n v="1.7535441657579063"/>
    <n v="0.57027363184079605"/>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A72CA-7139-47E2-9F34-5E967242B9F4}"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10" firstHeaderRow="0" firstDataRow="1" firstDataCol="1"/>
  <pivotFields count="20">
    <pivotField showAll="0">
      <items count="3">
        <item h="1" x="0"/>
        <item x="1"/>
        <item t="default"/>
      </items>
    </pivotField>
    <pivotField showAll="0"/>
    <pivotField axis="axisRow"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6">
        <item x="4"/>
        <item x="2"/>
        <item x="0"/>
        <item x="3"/>
        <item x="1"/>
        <item t="default"/>
      </items>
    </pivotField>
    <pivotField dataField="1" showAll="0"/>
    <pivotField numFmtId="22" showAll="0"/>
    <pivotField numFmtId="22" showAll="0"/>
    <pivotField numFmtId="168"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s>
  <rowFields count="1">
    <field x="2"/>
  </rowFields>
  <rowItems count="6">
    <i>
      <x v="31"/>
    </i>
    <i>
      <x v="32"/>
    </i>
    <i>
      <x v="33"/>
    </i>
    <i>
      <x v="34"/>
    </i>
    <i>
      <x v="35"/>
    </i>
    <i t="grand">
      <x/>
    </i>
  </rowItems>
  <colFields count="1">
    <field x="-2"/>
  </colFields>
  <colItems count="3">
    <i>
      <x/>
    </i>
    <i i="1">
      <x v="1"/>
    </i>
    <i i="2">
      <x v="2"/>
    </i>
  </colItems>
  <dataFields count="3">
    <dataField name="Sum of NHÂN LỰC" fld="4" baseField="0" baseItem="0"/>
    <dataField name="Sum of SẢN LƯỢNG OK (tính theo HT)" fld="15" baseField="0" baseItem="0"/>
    <dataField name="Sum of Time1" fld="19"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23" xr16:uid="{18A65D0C-3F8F-461B-B1D9-6D30EE3F4698}" autoFormatId="16" applyNumberFormats="0" applyBorderFormats="0" applyFontFormats="0" applyPatternFormats="0" applyAlignmentFormats="0" applyWidthHeightFormats="0">
  <queryTableRefresh nextId="21">
    <queryTableFields count="20">
      <queryTableField id="1" name="Ngày" tableColumnId="1"/>
      <queryTableField id="2" name="Tổ" tableColumnId="2"/>
      <queryTableField id="3" name="DayChuyen" tableColumnId="3"/>
      <queryTableField id="4" name="AppendAdon.Adon" tableColumnId="4"/>
      <queryTableField id="5" name="AppendAdon.Call" tableColumnId="5"/>
      <queryTableField id="6" name="AppendAdon.CO" tableColumnId="6"/>
      <queryTableField id="7" name="AppenNhanLuc.TongNhanLuc" tableColumnId="7"/>
      <queryTableField id="8" name="AppenNhanLuc.TongSL" tableColumnId="8"/>
      <queryTableField id="9" name="AppenNhanLuc.TongGioNghi" tableColumnId="9"/>
      <queryTableField id="10" name="NewGio.BatDau" tableColumnId="10"/>
      <queryTableField id="11" name="NewGio.KetThuc" tableColumnId="11"/>
      <queryTableField id="12" name="Giờ có mặt tại NM" tableColumnId="12"/>
      <queryTableField id="13" name="GioNghiNumber" tableColumnId="13"/>
      <queryTableField id="14" name="AdonNumber" tableColumnId="14"/>
      <queryTableField id="15" name="GIỜ SX" tableColumnId="15"/>
      <queryTableField id="16" name="GIỜ CÔNG THEO GIỜ SX" tableColumnId="16"/>
      <queryTableField id="17" name="GIỜ CÔNG THEO GIỜ CÓ MẶT" tableColumnId="17"/>
      <queryTableField id="18" name="GIỜ CÔNG CÓ ÍCH/SẢN PHẨM" tableColumnId="18"/>
      <queryTableField id="19" name="TỔNG GIỜ CÔNG / SẢN PHẨM" tableColumnId="19"/>
      <queryTableField id="20" name="UPPH"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24" xr16:uid="{BCB98E59-E698-4F23-87A9-982C645D1A47}" autoFormatId="16" applyNumberFormats="0" applyBorderFormats="0" applyFontFormats="0" applyPatternFormats="0" applyAlignmentFormats="0" applyWidthHeightFormats="0">
  <queryTableRefresh nextId="46">
    <queryTableFields count="20">
      <queryTableField id="19" name="Month" tableColumnId="19"/>
      <queryTableField id="22" name="DÂY CHUYỀN" tableColumnId="22"/>
      <queryTableField id="20" name="NGÀY SX" tableColumnId="20"/>
      <queryTableField id="21" name="TỔ SX" tableColumnId="21"/>
      <queryTableField id="23" name="NHÂN LỰC" tableColumnId="23"/>
      <queryTableField id="24" name="BẮT ĐẦU" tableColumnId="24"/>
      <queryTableField id="25" name="KẾT THÚC" tableColumnId="25"/>
      <queryTableField id="26" name="TỔNG GIỜ NGHỈ + ĂN TRƯA+ĂN CHIỀU+5S" tableColumnId="26"/>
      <queryTableField id="27" name="GIỜ ANDON" tableColumnId="27"/>
      <queryTableField id="28" name="GIỜ C.O" tableColumnId="28"/>
      <queryTableField id="29" name="GIỜ CALL" tableColumnId="29"/>
      <queryTableField id="13" name="GIỜ SX" tableColumnId="13"/>
      <queryTableField id="12" name="Giờ có mặt tại NM" tableColumnId="12"/>
      <queryTableField id="14" name="GIỜ CÔNG THEO GIỜ SX" tableColumnId="14"/>
      <queryTableField id="15" name="GIỜ CÔNG THEO GIỜ CÓ MẶT" tableColumnId="15"/>
      <queryTableField id="30" name="SẢN LƯỢNG OK (tính theo HT)" tableColumnId="30"/>
      <queryTableField id="16" name="GIỜ CÔNG CÓ ÍCH/SẢN PHẨM" tableColumnId="16"/>
      <queryTableField id="17" name="TỔNG GIỜ CÔNG / SẢN PHẨM" tableColumnId="17"/>
      <queryTableField id="18" name="UPPH" tableColumnId="18"/>
      <queryTableField id="45" name="Time1"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F4E3B3-E40A-406C-BA22-DD37D6E119FE}" sourceName="Month">
  <pivotTables>
    <pivotTable tabId="56" name="PivotTable1"/>
  </pivotTables>
  <data>
    <tabular pivotCacheId="86381657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Ổ_SX" xr10:uid="{191CBB96-2BE6-4F8B-A1CD-366A78763CF6}" sourceName="TỔ SX">
  <pivotTables>
    <pivotTable tabId="56" name="PivotTable1"/>
  </pivotTables>
  <data>
    <tabular pivotCacheId="863816575">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8B8D6BB-8D60-44B4-AA44-0B7F0CD2BC9B}" cache="Slicer_Month" caption="Month" columnCount="2" rowHeight="182880"/>
  <slicer name="TỔ SX" xr10:uid="{0B46A0E1-C276-45AB-AD68-42D73616EC6E}" cache="Slicer_TỔ_SX" caption="TỔ SX" columnCount="5" rowHeight="18288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F7889-B971-46FE-8610-A0EF91A31D8A}" name="Table1" displayName="Table1" ref="B3:AX75" totalsRowShown="0" headerRowDxfId="146" headerRowBorderDxfId="145" tableBorderDxfId="144">
  <autoFilter ref="B3:AX75" xr:uid="{537F7889-B971-46FE-8610-A0EF91A31D8A}"/>
  <tableColumns count="49">
    <tableColumn id="1" xr3:uid="{39736C00-CDE6-46EE-8DB8-6D2BA669C39C}" name="Ngày" dataDxfId="143"/>
    <tableColumn id="2" xr3:uid="{2C2A636F-E7AE-4956-B429-C3CB3F082D15}" name="Tháng" dataDxfId="142">
      <calculatedColumnFormula>IF($B4="","",MONTH(B4))</calculatedColumnFormula>
    </tableColumn>
    <tableColumn id="3" xr3:uid="{B9DD94CA-17B3-4188-9D95-853847E43315}" name="Tổ" dataDxfId="141">
      <calculatedColumnFormula>IF(B4="","","PUcanh")</calculatedColumnFormula>
    </tableColumn>
    <tableColumn id="4" xr3:uid="{0D576D59-B4AD-43F4-8578-EC1DE58A7A6F}" name="51CD" dataDxfId="140"/>
    <tableColumn id="5" xr3:uid="{CFC3F988-055F-4EB5-8DD4-E771B82840B6}" name="51DSU" dataDxfId="139"/>
    <tableColumn id="6" xr3:uid="{7FB4EBED-7E95-4663-8C09-9EB57F2E7844}" name="646" dataDxfId="138"/>
    <tableColumn id="7" xr3:uid="{F3571E48-3D5F-4736-AB8A-220DE05A75C9}" name="1.6" dataDxfId="137"/>
    <tableColumn id="8" xr3:uid="{17EABE1D-5F9D-4B89-883B-DA5F8A1DFE0A}" name="71CD" dataDxfId="136"/>
    <tableColumn id="9" xr3:uid="{C31415F9-CDDD-4AC4-9E10-159E819D005E}" name="71DSU" dataDxfId="135"/>
    <tableColumn id="10" xr3:uid="{975A629D-8865-4987-B576-CE5D27255E67}" name="91CD" dataDxfId="134"/>
    <tableColumn id="11" xr3:uid="{BAC996B4-6A98-4B43-8C4E-A73CA2C96FE7}" name="91DSU" dataDxfId="133"/>
    <tableColumn id="12" xr3:uid="{FBEAEC47-DE42-4233-952F-25F564ACF67F}" name="690" dataDxfId="132"/>
    <tableColumn id="13" xr3:uid="{D8EAF0B7-4E9D-43BB-BD74-FFF396BA0F5C}" name="3.2" dataDxfId="131"/>
    <tableColumn id="14" xr3:uid="{D093CC75-F50B-4228-9CB8-A1E5E7DC8A40}" name="125" dataDxfId="130"/>
    <tableColumn id="15" xr3:uid="{14E1B0C5-09F2-48DE-8ED9-013C30FE2D19}" name="120" dataDxfId="129"/>
    <tableColumn id="16" xr3:uid="{1FC25266-A665-4507-8AE5-A1A3163CEC48}" name="132" dataDxfId="128"/>
    <tableColumn id="17" xr3:uid="{F7BD953E-DB4A-42B2-9F24-EDEF9CA9E7DF}" name="126" dataDxfId="127"/>
    <tableColumn id="18" xr3:uid="{A4486D07-931C-4461-8092-4FD5AFB3FA2E}" name="152" dataDxfId="126"/>
    <tableColumn id="19" xr3:uid="{4DAE4A79-7C43-412D-9368-AE10EE064102}" name="147" dataDxfId="125"/>
    <tableColumn id="20" xr3:uid="{6F06B85B-CF7E-4D11-9F6C-9FFBCEFB04B6}" name="159" dataDxfId="124"/>
    <tableColumn id="21" xr3:uid="{59320ECA-E8D0-43A0-98CA-DE4C8E1C205A}" name="185" dataDxfId="123"/>
    <tableColumn id="22" xr3:uid="{B0248184-C384-4759-87BE-2E2DFF8A92CC}" name="185GB" dataDxfId="122"/>
    <tableColumn id="23" xr3:uid="{99652000-D05B-4F1B-8625-9B029A0AF530}" name="209" dataDxfId="121"/>
    <tableColumn id="24" xr3:uid="{2A9CBE67-4CF6-4C4A-90F7-9660646DFBF7}" name="209GB" dataDxfId="120"/>
    <tableColumn id="25" xr3:uid="{18BCEA8D-6EF8-4E0E-A46A-9AF31D1669C4}" name="286" dataDxfId="119"/>
    <tableColumn id="26" xr3:uid="{8898C8E6-81FB-4AFE-A3F9-EDDF30234151}" name="10.6" dataDxfId="118"/>
    <tableColumn id="27" xr3:uid="{5C43ACA8-0207-47E0-B594-81292E8AA62E}" name="U106" dataDxfId="117"/>
    <tableColumn id="28" xr3:uid="{247AF1FC-0FA2-4CAB-8620-113958B4492D}" name="U147" dataDxfId="116"/>
    <tableColumn id="29" xr3:uid="{EA17C0AA-D9FA-4C71-BBCB-DEF4F0C78ADC}" name="U208" dataDxfId="115"/>
    <tableColumn id="30" xr3:uid="{566B686E-43D5-4918-9203-6807936703B6}" name="SL" dataDxfId="114">
      <calculatedColumnFormula>SUM(E4:AD4)</calculatedColumnFormula>
    </tableColumn>
    <tableColumn id="31" xr3:uid="{A6A922E2-AB18-4AA2-B6B9-D04A5C39CCF2}" name="Nhân lực" dataDxfId="113"/>
    <tableColumn id="32" xr3:uid="{82D2EDE0-D808-48F4-A8F4-4632486CA190}" name="Bắt đầu" dataDxfId="112"/>
    <tableColumn id="33" xr3:uid="{E7E4A4BC-E9FE-4FA9-939C-A8605FF4C60A}" name="Kết thúc" dataDxfId="111"/>
    <tableColumn id="34" xr3:uid="{E5FEE18F-BD0D-4021-ACA4-C4A44C3E24E1}" name="Ăn trưa" dataDxfId="110">
      <calculatedColumnFormula array="1">_xlfn.IFS($AG4="","",$AP4&gt;=8,TIME(1,0,0),$AP4&lt;=5,"")</calculatedColumnFormula>
    </tableColumn>
    <tableColumn id="35" xr3:uid="{EC71A832-5048-45B3-A41D-5D0C6B37F080}" name="Ăn chiều" dataDxfId="109">
      <calculatedColumnFormula array="1">IFERROR(_xlfn.IFS($AG4="","",AND($AP4&gt;12,$AG4&lt;TIME(10,0,0)),TIME(1,0,0),AND($AP4=12,$AG4&gt;=TIME(10,0,0),$AG4&lt;TIME(19,0,0)),TIME(0,30,0),AND($AP4=12,$AG4&gt;=TIME(19,0,0)),""),"")</calculatedColumnFormula>
    </tableColumn>
    <tableColumn id="36" xr3:uid="{DCA4A925-41DC-43BE-BB02-5A2047269A8E}" name="Nghỉ ngắn" dataDxfId="108">
      <calculatedColumnFormula array="1">_xlfn.IFS($AG4="","",AND($AP4&lt;=12,$AP4&gt;10,$AJ4=""),TIME(0,35,0),OR(AND($AP4&lt;=10,$AP4&gt;5),$AJ4&lt;&gt;""),TIME(0,20,0),$AP4&gt;12,TIME(0,20,0),$AP4&lt;=5,TIME(0,10,0))</calculatedColumnFormula>
    </tableColumn>
    <tableColumn id="37" xr3:uid="{0DD3B0D6-43FC-4639-8B46-7ED0742C0434}" name="Giờ 5S" dataDxfId="107">
      <calculatedColumnFormula>IF($AG4&lt;&gt;"",TIME(0,10,0),"")</calculatedColumnFormula>
    </tableColumn>
    <tableColumn id="38" xr3:uid="{BA2492D3-E729-4460-ADD9-EAEFFAA6800B}" name="Adon" dataDxfId="106"/>
    <tableColumn id="39" xr3:uid="{13904BC1-054E-4771-8209-B27AC24234CA}" name="C.O" dataDxfId="105"/>
    <tableColumn id="40" xr3:uid="{6C78A628-89D3-46F8-9415-955578E4732E}" name="Call" dataDxfId="104"/>
    <tableColumn id="41" xr3:uid="{A48218CC-85C2-4E6D-BD97-694FA3A67F5E}" name="Time1" dataDxfId="103">
      <calculatedColumnFormula>IF($AG4="","",ABS($AH4-$AG4)*24)</calculatedColumnFormula>
    </tableColumn>
    <tableColumn id="42" xr3:uid="{831B1749-13CB-4EAC-9FDC-D9825AE7F9B9}" name="Time2" dataDxfId="102">
      <calculatedColumnFormula>IF($AG4="","",SUM($AI4:$AL4))</calculatedColumnFormula>
    </tableColumn>
    <tableColumn id="43" xr3:uid="{050EAF54-471C-4D9A-A840-3154DE10C8B8}" name="Hours1" dataDxfId="101">
      <calculatedColumnFormula>IF(OR($AF4="",$AP4=""),"",$AP4*$AF4)</calculatedColumnFormula>
    </tableColumn>
    <tableColumn id="44" xr3:uid="{02DF9DB4-8354-4FCA-9B30-683D791B9313}" name="Hours2" dataDxfId="100">
      <calculatedColumnFormula>IF(OR($AF4="",$AP4=""),"",($AP4-($AQ4+$AM4+$AN4)*24)*$AF4)</calculatedColumnFormula>
    </tableColumn>
    <tableColumn id="45" xr3:uid="{0726D3C4-126A-4E8D-9C7F-4FE2E6ACCB96}" name="Demand" dataDxfId="99"/>
    <tableColumn id="46" xr3:uid="{98C3E3EC-40F5-43D1-AEBF-0D47B86F28CF}" name="UPPH" dataDxfId="98"/>
    <tableColumn id="47" xr3:uid="{0ADACE54-C952-410D-83E7-85C9D4643E3E}" name="Khuôn" dataDxfId="97"/>
    <tableColumn id="48" xr3:uid="{310E5E09-DB73-4BCB-886C-CF1D400C696D}" name="Số khuôn thay" dataDxfId="96"/>
    <tableColumn id="49" xr3:uid="{6428C11B-A213-4D74-B3CA-D8B8424EA0F7}" name="Diễn giải" dataDxfId="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92E4DD-19B3-4396-8E55-C90208A9C8D1}" name="Table2" displayName="Table2" ref="A3:AL131" totalsRowShown="0" headerRowDxfId="94" headerRowBorderDxfId="93" tableBorderDxfId="92">
  <autoFilter ref="A3:AL131" xr:uid="{52365928-1232-4504-814F-4604107E6527}"/>
  <tableColumns count="38">
    <tableColumn id="1" xr3:uid="{ED0862EF-756C-4051-B9AE-23AF5B189217}" name="Ngày" dataDxfId="91"/>
    <tableColumn id="2" xr3:uid="{91A464A4-BF34-4DDF-88C7-F38DD0758581}" name="Tháng" dataDxfId="90">
      <calculatedColumnFormula>IF($A4="","",MONTH(A4))</calculatedColumnFormula>
    </tableColumn>
    <tableColumn id="3" xr3:uid="{AB2DE299-726A-4929-A3F5-9513F707971B}" name="Tổ" dataDxfId="89"/>
    <tableColumn id="4" xr3:uid="{3864AF00-79E4-409E-B2E0-F8B21E79927E}" name="51" dataDxfId="88"/>
    <tableColumn id="5" xr3:uid="{827B82A2-E5C8-4574-AD10-55814037FF88}" name="646" dataDxfId="87"/>
    <tableColumn id="6" xr3:uid="{4F909FFF-0E71-4CC1-B0FD-5351F3162575}" name="1.6" dataDxfId="86"/>
    <tableColumn id="7" xr3:uid="{448559B8-3962-4517-82E4-043D036F45D4}" name="71" dataDxfId="85"/>
    <tableColumn id="8" xr3:uid="{78A1032F-0512-462B-893E-B4CB98A8EDE4}" name="91" dataDxfId="84"/>
    <tableColumn id="9" xr3:uid="{96C05227-4451-4843-8680-1D8BF0C8D771}" name="690" dataDxfId="83"/>
    <tableColumn id="10" xr3:uid="{77A91E8E-C0DC-41BB-BB93-3D4FE8116D89}" name="3.2" dataDxfId="82"/>
    <tableColumn id="11" xr3:uid="{C1C31C93-BB0E-4A49-8760-B28106D754EC}" name="125" dataDxfId="81"/>
    <tableColumn id="12" xr3:uid="{9CC6F6B2-C932-4AB5-BAB9-4249EEBC26A0}" name="120" dataDxfId="80"/>
    <tableColumn id="13" xr3:uid="{7EA1745A-BFD1-404F-A17E-64C98CDBF1B6}" name="126" dataDxfId="79"/>
    <tableColumn id="14" xr3:uid="{5916C4C0-9125-4E85-A535-8BB273A829DA}" name="135" dataDxfId="78"/>
    <tableColumn id="15" xr3:uid="{722BEFC0-02EC-47C0-B454-51D4543EC87D}" name="209" dataDxfId="77"/>
    <tableColumn id="16" xr3:uid="{A890521C-59D6-4D92-ACBE-44DD767F2709}" name="U106" dataDxfId="76"/>
    <tableColumn id="17" xr3:uid="{5E4C3872-4A3F-4795-A0CB-8AF0C10124AF}" name="U147" dataDxfId="75"/>
    <tableColumn id="18" xr3:uid="{B9C7052A-DA0E-4585-BB85-20460B168CFB}" name="SL" dataDxfId="74">
      <calculatedColumnFormula>SUM(D4:Q4)</calculatedColumnFormula>
    </tableColumn>
    <tableColumn id="19" xr3:uid="{AEA0D705-BBFB-4409-BA0F-5F1028B6555D}" name="EAS" dataDxfId="73"/>
    <tableColumn id="20" xr3:uid="{9AA7588E-A742-45F5-B58D-D5A04F7F4B53}" name="Nhân lực" dataDxfId="72"/>
    <tableColumn id="21" xr3:uid="{4F752EF4-0DE7-45F2-B969-9554186D810C}" name="Bắt đầu" dataDxfId="71"/>
    <tableColumn id="22" xr3:uid="{9CA0BF11-CC6F-43CB-8E98-5A11259EAFB7}" name="Kết thúc" dataDxfId="70"/>
    <tableColumn id="23" xr3:uid="{06714B11-D664-452D-8E9D-6A343F13FEEF}" name="Ăn trưa" dataDxfId="69">
      <calculatedColumnFormula array="1">_xlfn.IFS($U4="","",$AD4&gt;=6,TIME(1,0,0),$AD4&lt;=5,"")</calculatedColumnFormula>
    </tableColumn>
    <tableColumn id="24" xr3:uid="{057297E0-87F2-4C4D-A405-3E147E4F4AC9}" name="Ăn chiều" dataDxfId="68"/>
    <tableColumn id="25" xr3:uid="{A28B079F-F8F0-46F2-8031-6979D2051230}" name="Nghỉ ngắn" dataDxfId="67">
      <calculatedColumnFormula array="1">_xlfn.IFS($U4="","",AND($AD4&lt;=12,$AD4&gt;10),TIME(0,35,0),AND($AD4&lt;=10,$AD4&gt;5),TIME(0,20,0),AND($AD4&gt;12,$X4&lt;&gt;""),TIME(0,20,0),AND($AD4&gt;12,$X4=""),TIME(0,35,0),AND($AD4&gt;3,$AD4&lt;=5),TIME(0,10,0),$AD4&lt;=3,"")</calculatedColumnFormula>
    </tableColumn>
    <tableColumn id="26" xr3:uid="{BA944978-7D60-4EA7-9951-67304A0A8B21}" name="Giờ 5S" dataDxfId="66">
      <calculatedColumnFormula>IF($U4&lt;&gt;"",TIME(0,10,0),"")</calculatedColumnFormula>
    </tableColumn>
    <tableColumn id="27" xr3:uid="{80B89C81-7F7E-4828-92D3-11C6C93E0CB3}" name="Adon" dataDxfId="65"/>
    <tableColumn id="28" xr3:uid="{F9D15675-E9C3-43D1-99D8-BFF1E0C72CAD}" name="C.O" dataDxfId="64"/>
    <tableColumn id="29" xr3:uid="{F85C2E88-E30E-4A62-8185-75350ABEBEB4}" name="Call" dataDxfId="63"/>
    <tableColumn id="30" xr3:uid="{BAB28E9C-1860-4EC3-B8BA-D3762CF33A60}" name="Time1" dataDxfId="62">
      <calculatedColumnFormula>IF($U4="","",MOD($V4-$U4,1)*24)</calculatedColumnFormula>
    </tableColumn>
    <tableColumn id="31" xr3:uid="{689D485D-E649-4689-BCE0-24F2D5A80E4B}" name="Time2" dataDxfId="61">
      <calculatedColumnFormula>IF($U4="","",SUM($W4:$Z4))</calculatedColumnFormula>
    </tableColumn>
    <tableColumn id="32" xr3:uid="{0C9F2AA1-2899-4AFC-AB39-E4DDBE27253D}" name="Hours1" dataDxfId="60">
      <calculatedColumnFormula>IF(OR($T4="",$AD4=""),"",$AD4*$T4)</calculatedColumnFormula>
    </tableColumn>
    <tableColumn id="33" xr3:uid="{F3639C71-30A7-4785-89FB-EF81A4C43A97}" name="Hours2" dataDxfId="59">
      <calculatedColumnFormula>IF(OR($T4="",$AD4=""),"",($AD4-($AE4+$AA4)*24)*$T4)</calculatedColumnFormula>
    </tableColumn>
    <tableColumn id="34" xr3:uid="{A1F590AE-5992-4BBE-AC55-1AB5EB203084}" name="Demand" dataDxfId="58">
      <calculatedColumnFormula>IF(OR($R4=0,$T4="",$AF4=""),"",$AF4/$R4)</calculatedColumnFormula>
    </tableColumn>
    <tableColumn id="35" xr3:uid="{E3924888-74E6-4B3C-8512-177313118E0D}" name="UPPH" dataDxfId="57"/>
    <tableColumn id="36" xr3:uid="{54E83923-7EFC-43D9-9536-098A9C922EAF}" name="Khuôn PU thân" dataDxfId="56"/>
    <tableColumn id="37" xr3:uid="{9105D32D-2156-4D2B-A3C3-C2AD4D7025DD}" name="Số khuôn thay" dataDxfId="55"/>
    <tableColumn id="38" xr3:uid="{030009F4-770B-43EC-8C76-AE016F4756A7}" name="Diễn giải" dataDxfId="5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3CF9DF-ED49-43A6-8760-2CB52C9B88B0}" name="Table3" displayName="Table3" ref="B3:AR274" totalsRowShown="0" headerRowDxfId="53" tableBorderDxfId="52">
  <autoFilter ref="B3:AR274" xr:uid="{E73CF9DF-ED49-43A6-8760-2CB52C9B88B0}"/>
  <tableColumns count="43">
    <tableColumn id="1" xr3:uid="{15B2997B-3C5A-48A5-A57D-527F18AFCEFB}" name="Ngày" dataDxfId="51"/>
    <tableColumn id="2" xr3:uid="{758F117D-208C-4A2D-A0BE-F7C9B9D36194}" name="Tháng" dataDxfId="50">
      <calculatedColumnFormula>IF($B4="","",MONTH(B4))</calculatedColumnFormula>
    </tableColumn>
    <tableColumn id="3" xr3:uid="{AA065EE7-7E1F-4827-B564-F39E19065107}" name="Tổ" dataDxfId="49"/>
    <tableColumn id="4" xr3:uid="{60F2A280-16C6-46BB-9422-CA85A1CC5F25}" name="125" dataDxfId="48"/>
    <tableColumn id="5" xr3:uid="{35105EE7-6D55-4A00-A0B5-5C9CAF320D85}" name="120" dataDxfId="47"/>
    <tableColumn id="6" xr3:uid="{5A17ADF5-09B0-4433-BAAD-E23A93A4FDE5}" name="132" dataDxfId="46"/>
    <tableColumn id="7" xr3:uid="{CD8E192B-92FF-46E2-BC78-A55A105B3CA9}" name="126" dataDxfId="45"/>
    <tableColumn id="8" xr3:uid="{AF5379FA-8101-4F5F-8FF6-58D431B76D1B}" name="152" dataDxfId="44"/>
    <tableColumn id="9" xr3:uid="{9371050D-487B-4320-A753-6BF2B04D1BE7}" name="147" dataDxfId="43"/>
    <tableColumn id="10" xr3:uid="{65A6D644-2ADB-4950-A1C7-E56A6AE07492}" name="135" dataDxfId="42"/>
    <tableColumn id="11" xr3:uid="{7E920EA3-7999-4830-A761-7F6EACF24F14}" name="159" dataDxfId="41"/>
    <tableColumn id="12" xr3:uid="{E56AA125-64F1-486A-93E9-BD10647BC26B}" name="185" dataDxfId="40"/>
    <tableColumn id="13" xr3:uid="{87AED327-E23B-499D-8301-55D1488A5A1E}" name="209" dataDxfId="39"/>
    <tableColumn id="14" xr3:uid="{A4CD4A03-CDD8-4678-A2EC-6691CBB036D5}" name="286" dataDxfId="38"/>
    <tableColumn id="15" xr3:uid="{583117FF-8DFB-4719-85E9-42B49D3AA272}" name="283" dataDxfId="37"/>
    <tableColumn id="16" xr3:uid="{283A8137-808D-4A93-8226-F691ECE0D408}" name="10.6" dataDxfId="36"/>
    <tableColumn id="17" xr3:uid="{D412E43D-1497-41AE-97D5-450E5B2F1D73}" name="195" dataDxfId="35"/>
    <tableColumn id="18" xr3:uid="{6CBB186B-6014-4F80-972B-24128F94BB17}" name="242" dataDxfId="34"/>
    <tableColumn id="19" xr3:uid="{5D5582E7-3A38-48FA-BF9B-F137AEB5CCEB}" name="280" dataDxfId="33"/>
    <tableColumn id="20" xr3:uid="{C09E8946-0019-4F64-A16B-8BB804B41DE3}" name="U106" dataDxfId="32"/>
    <tableColumn id="21" xr3:uid="{FCCB000B-B271-4829-94AB-9F8D9801A974}" name="U147" dataDxfId="31"/>
    <tableColumn id="22" xr3:uid="{BF531A4E-24B7-4555-9721-892B85CAAE0A}" name="U208" dataDxfId="30"/>
    <tableColumn id="23" xr3:uid="{A539B1D6-D105-4F1C-8537-0A334B4327DC}" name="SL" dataDxfId="29">
      <calculatedColumnFormula>SUM(E4:W4)</calculatedColumnFormula>
    </tableColumn>
    <tableColumn id="24" xr3:uid="{32669E52-FDC4-42A1-BFBD-0A8EC211E25D}" name="EAS" dataDxfId="28"/>
    <tableColumn id="25" xr3:uid="{2A38198E-35B7-47D4-B690-0122DC08D14F}" name="Nhân lực" dataDxfId="27"/>
    <tableColumn id="26" xr3:uid="{E2713D33-08B5-41C7-B0D5-6FDF459E6CE0}" name="Bắt đầu" dataDxfId="26"/>
    <tableColumn id="27" xr3:uid="{A730B14B-7040-4C92-9360-8EE46EF7F2A6}" name="Kết thúc" dataDxfId="25"/>
    <tableColumn id="28" xr3:uid="{0ECB04A8-4B60-4894-A19B-9C23B429233F}" name="Ăn trưa" dataDxfId="24">
      <calculatedColumnFormula array="1">_xlfn.IFS($AJ4="","",$AJ4&gt;=8,TIME(1,0,0),$AJ4&lt;=5,"")</calculatedColumnFormula>
    </tableColumn>
    <tableColumn id="29" xr3:uid="{4F497865-50DB-4A44-82AD-F553F1F574CD}" name="Ăn chiều" dataDxfId="23">
      <calculatedColumnFormula>IF(AND($AB4&gt;=TIME(21,0,0),$AJ4&gt;12),TIME(1,0,0),"")</calculatedColumnFormula>
    </tableColumn>
    <tableColumn id="30" xr3:uid="{93C9D4AA-3B5B-4E5D-8388-BFD11AADE435}" name="Nghỉ ngắn" dataDxfId="22">
      <calculatedColumnFormula array="1">_xlfn.IFS($AA4="","",AND($AJ4&lt;=12,$AJ4&gt;10),TIME(0,35,0),AND($AJ4&lt;=10,$AJ4&gt;5),TIME(0,20,0),$AJ4&gt;12,TIME(0,20,0),AND(AJ4&gt;3,$AJ4&lt;=5),TIME(0,10,0),$AJ4&lt;3,"")</calculatedColumnFormula>
    </tableColumn>
    <tableColumn id="31" xr3:uid="{63EBD771-CAA0-4242-A491-16598BD585A7}" name="Giờ 5S" dataDxfId="21">
      <calculatedColumnFormula>IF($AA4&lt;&gt;"",TIME(0,10,0),"")</calculatedColumnFormula>
    </tableColumn>
    <tableColumn id="32" xr3:uid="{F7D27566-C0AF-48F4-A371-E0D148038352}" name="Adon" dataDxfId="20"/>
    <tableColumn id="33" xr3:uid="{23731F39-9608-4E11-9D43-E6D2CB168143}" name="CO" dataDxfId="19"/>
    <tableColumn id="34" xr3:uid="{4B40BD6A-CB6B-4B88-AD3D-7CD1BF437786}" name="Call" dataDxfId="18"/>
    <tableColumn id="35" xr3:uid="{DF92D2E0-CC58-4A2C-937E-58BECD2CFB5C}" name="Time1" dataDxfId="17">
      <calculatedColumnFormula>IF($AA4="","",MOD($AB4-$AA4,1)*24)</calculatedColumnFormula>
    </tableColumn>
    <tableColumn id="36" xr3:uid="{E7474D9E-E3FA-424B-BCDF-FE0D816D4491}" name="Time2" dataDxfId="16">
      <calculatedColumnFormula>IF($AA4="","",SUM($AC4:$AF4))</calculatedColumnFormula>
    </tableColumn>
    <tableColumn id="37" xr3:uid="{B7CBE529-8D6A-4614-A855-6A1DE64A3955}" name="Hours1" dataDxfId="15">
      <calculatedColumnFormula>IF(OR($Z4="",$AJ4=""),"",$AJ4*$Z4)</calculatedColumnFormula>
    </tableColumn>
    <tableColumn id="38" xr3:uid="{EB1EF1AB-F2E6-4236-9F0A-DEABFAB1B053}" name="Hours2" dataDxfId="14">
      <calculatedColumnFormula>IF(OR($Z4="",$AJ4=""),"",($AJ4-($AK4+$AG4)*24)*$Z4)</calculatedColumnFormula>
    </tableColumn>
    <tableColumn id="39" xr3:uid="{172DF013-8216-4A73-AC6D-28BC09FAA0E7}" name="Demand" dataDxfId="13">
      <calculatedColumnFormula>IF(OR($X4=0,$Z4="",$AL4=""),"",$AL4/$X4)</calculatedColumnFormula>
    </tableColumn>
    <tableColumn id="40" xr3:uid="{442C57E3-64CB-4222-804C-3C680E1500B6}" name="UPPH" dataDxfId="12"/>
    <tableColumn id="41" xr3:uid="{8B013252-CAB0-4E55-B602-91941516EB88}" name="Khuôn PU thân" dataDxfId="11"/>
    <tableColumn id="42" xr3:uid="{850F98DE-556B-42BD-8F2D-E714D092AB08}" name="Số khuôn thay" dataDxfId="10"/>
    <tableColumn id="43" xr3:uid="{42006558-70B1-4CB9-B1D5-8FD4EC3A0D86}" name="Diễn giải"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6077FA-1D2C-40CC-86DC-A97EAA61C812}" name="Finish__2" displayName="Finish__2" ref="A1:T308" tableType="queryTable" totalsRowShown="0">
  <autoFilter ref="A1:T308" xr:uid="{606077FA-1D2C-40CC-86DC-A97EAA61C812}"/>
  <tableColumns count="20">
    <tableColumn id="1" xr3:uid="{F95B46E2-4840-4716-BBD2-16470F6CC739}" uniqueName="1" name="Ngày" queryTableFieldId="1" dataDxfId="8"/>
    <tableColumn id="2" xr3:uid="{6B55DE5E-E48D-433C-886E-D8251E25CE01}" uniqueName="2" name="Tổ" queryTableFieldId="2" dataDxfId="7"/>
    <tableColumn id="3" xr3:uid="{6B4A71EE-2338-4818-A437-7F845CCC0125}" uniqueName="3" name="DayChuyen" queryTableFieldId="3"/>
    <tableColumn id="4" xr3:uid="{E0430878-3C37-4E56-B038-B62B78A07EAA}" uniqueName="4" name="AppendAdon.Adon" queryTableFieldId="4" dataDxfId="6"/>
    <tableColumn id="5" xr3:uid="{CC185125-7BA6-4C13-AF46-5ABCCF44BA81}" uniqueName="5" name="AppendAdon.Call" queryTableFieldId="5" dataDxfId="5"/>
    <tableColumn id="6" xr3:uid="{86270BF2-42C4-40FB-ACBA-4DAF97D8D7C1}" uniqueName="6" name="AppendAdon.CO" queryTableFieldId="6" dataDxfId="4"/>
    <tableColumn id="7" xr3:uid="{877BB41A-3A36-4EFF-A315-FCC145A4F458}" uniqueName="7" name="AppenNhanLuc.TongNhanLuc" queryTableFieldId="7"/>
    <tableColumn id="8" xr3:uid="{A51CD46C-512B-4241-8EDA-48676D4D9082}" uniqueName="8" name="AppenNhanLuc.TongSL" queryTableFieldId="8"/>
    <tableColumn id="9" xr3:uid="{D4FFD733-59BD-4B00-BC55-2193A8AF1816}" uniqueName="9" name="AppenNhanLuc.TongGioNghi" queryTableFieldId="9" dataDxfId="3"/>
    <tableColumn id="10" xr3:uid="{803E71F6-5E8D-401E-A05E-75B814D98F38}" uniqueName="10" name="NewGio.BatDau" queryTableFieldId="10" dataDxfId="2"/>
    <tableColumn id="11" xr3:uid="{AA8DEEFE-47B8-41EB-A722-8988456C70F6}" uniqueName="11" name="NewGio.KetThuc" queryTableFieldId="11" dataDxfId="1"/>
    <tableColumn id="12" xr3:uid="{6CFF34BF-F795-471D-B254-E88250607FBC}" uniqueName="12" name="Giờ có mặt tại NM" queryTableFieldId="12"/>
    <tableColumn id="13" xr3:uid="{1FBA5138-FCC5-4BD9-9F4B-4EA204A75BB4}" uniqueName="13" name="GioNghiNumber" queryTableFieldId="13"/>
    <tableColumn id="14" xr3:uid="{B1569E79-7C3B-463E-8B9C-244E068756AF}" uniqueName="14" name="AdonNumber" queryTableFieldId="14"/>
    <tableColumn id="15" xr3:uid="{0E3C3F48-DBF9-4378-8ADF-0FDB24B8EB20}" uniqueName="15" name="GIỜ SX" queryTableFieldId="15"/>
    <tableColumn id="16" xr3:uid="{6FB03323-B589-4657-84FD-353E2E500EF7}" uniqueName="16" name="GIỜ CÔNG THEO GIỜ SX" queryTableFieldId="16"/>
    <tableColumn id="17" xr3:uid="{A4EB9A67-CC95-4A4B-AA7B-C1DA6D818FB0}" uniqueName="17" name="GIỜ CÔNG THEO GIỜ CÓ MẶT" queryTableFieldId="17"/>
    <tableColumn id="18" xr3:uid="{878AB140-36A8-420C-9B6B-85A170165BE8}" uniqueName="18" name="GIỜ CÔNG CÓ ÍCH/SẢN PHẨM" queryTableFieldId="18"/>
    <tableColumn id="19" xr3:uid="{876F4A7C-603B-4726-AAE5-E44E12E182C3}" uniqueName="19" name="TỔNG GIỜ CÔNG / SẢN PHẨM" queryTableFieldId="19"/>
    <tableColumn id="20" xr3:uid="{F25DE149-ECA5-4F65-A56A-583D7135C83A}" uniqueName="20" name="UPPH"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21A0AF2-64B6-417F-914A-B873F1CDEE89}" name="Finish" displayName="Finish" ref="A1:T308" tableType="queryTable" totalsRowShown="0">
  <autoFilter ref="A1:T308" xr:uid="{A21A0AF2-64B6-417F-914A-B873F1CDEE89}"/>
  <tableColumns count="20">
    <tableColumn id="19" xr3:uid="{CAEEEEA7-9988-4E0F-A1B6-A8A7A932051C}" uniqueName="19" name="Month" queryTableFieldId="19"/>
    <tableColumn id="22" xr3:uid="{1F45562D-04D2-4086-9365-A5FC6C1B35BB}" uniqueName="22" name="DÂY CHUYỀN" queryTableFieldId="22"/>
    <tableColumn id="20" xr3:uid="{FB450B75-1F26-4092-84B6-2827A50B8F86}" uniqueName="20" name="NGÀY SX" queryTableFieldId="20" dataDxfId="154"/>
    <tableColumn id="21" xr3:uid="{02239533-CF49-4B9D-B4BD-9FEF5E72738A}" uniqueName="21" name="TỔ SX" queryTableFieldId="21" dataDxfId="153"/>
    <tableColumn id="23" xr3:uid="{E9A403EF-0087-43A8-B3EE-4C318352DF8E}" uniqueName="23" name="NHÂN LỰC" queryTableFieldId="23"/>
    <tableColumn id="24" xr3:uid="{8CFC59B6-E31B-4F38-BA8F-813B831D5942}" uniqueName="24" name="BẮT ĐẦU" queryTableFieldId="24" dataDxfId="152"/>
    <tableColumn id="25" xr3:uid="{0B9E9AEB-CC6A-4C03-B8B6-E23673DB3E1D}" uniqueName="25" name="KẾT THÚC" queryTableFieldId="25" dataDxfId="151"/>
    <tableColumn id="26" xr3:uid="{53BDD219-0AED-488E-9DE7-443BF7EC4588}" uniqueName="26" name="TỔNG GIỜ NGHỈ + ĂN TRƯA+ĂN CHIỀU+5S" queryTableFieldId="26" dataDxfId="150"/>
    <tableColumn id="27" xr3:uid="{A0BE9835-FD22-419F-BD2E-7E34DDE19B6A}" uniqueName="27" name="GIỜ ANDON" queryTableFieldId="27" dataDxfId="149"/>
    <tableColumn id="28" xr3:uid="{38F35157-38E3-4442-B22F-D33B6525BDE2}" uniqueName="28" name="GIỜ C.O" queryTableFieldId="28" dataDxfId="148"/>
    <tableColumn id="29" xr3:uid="{6E3D6C72-4FA8-4B50-8E47-3CC8CB05DF26}" uniqueName="29" name="GIỜ CALL" queryTableFieldId="29" dataDxfId="147"/>
    <tableColumn id="13" xr3:uid="{0287AEBB-DEA3-4CD0-A484-3CD982E33425}" uniqueName="13" name="GIỜ SX" queryTableFieldId="13"/>
    <tableColumn id="12" xr3:uid="{1A853450-A5C2-4F5F-A6D0-72516B5FCEF3}" uniqueName="12" name="Giờ có mặt tại NM" queryTableFieldId="12"/>
    <tableColumn id="14" xr3:uid="{2622485E-AB81-44CD-B249-0663903FFE70}" uniqueName="14" name="GIỜ CÔNG THEO GIỜ SX" queryTableFieldId="14"/>
    <tableColumn id="15" xr3:uid="{84EA0AA4-7A7D-44CF-802F-4F7A4EB830A5}" uniqueName="15" name="GIỜ CÔNG THEO GIỜ CÓ MẶT" queryTableFieldId="15"/>
    <tableColumn id="30" xr3:uid="{FDA0BBDF-FF95-48DD-BBCF-9F35F163165F}" uniqueName="30" name="SẢN LƯỢNG OK (tính theo HT)" queryTableFieldId="30"/>
    <tableColumn id="16" xr3:uid="{66C01781-B529-4DEB-B4A2-1625F66E7FA5}" uniqueName="16" name="GIỜ CÔNG CÓ ÍCH/SẢN PHẨM" queryTableFieldId="16"/>
    <tableColumn id="17" xr3:uid="{82F9DD6D-A41F-4049-92C0-F0B89F675643}" uniqueName="17" name="TỔNG GIỜ CÔNG / SẢN PHẨM" queryTableFieldId="17"/>
    <tableColumn id="18" xr3:uid="{26452968-4977-4299-AA9B-668510B20623}" uniqueName="18" name="UPPH" queryTableFieldId="18"/>
    <tableColumn id="31" xr3:uid="{8621A18D-26EF-49A1-AD81-A9F68E29B0E3}" uniqueName="31" name="Time1" queryTableFieldId="4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9" row="2">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4E997FC-429E-4A15-B358-90221C5E59CA}">
  <we:reference id="wa200001584" version="2.8.1.5" store="en-US" storeType="OMEX"/>
  <we:alternateReferences>
    <we:reference id="WA200001584" version="2.8.1.5"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A07A7AAA-6C88-449F-A324-545C6BD7ABFE}">
  <we:reference id="WA200005502" version="1.0.0.12" store="Omex" storeType="OMEX"/>
  <we:alternateReferences>
    <we:reference id="WA200005502" version="1.0.0.12" store="WA200005502" storeType="OMEX"/>
  </we:alternateReferences>
  <we:properties>
    <we:property name="docId" value="&quot;LWJK2ZM8m_Z9A3KTuWil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CDF5-4BF1-449F-9CFE-B3B010339589}">
  <sheetPr>
    <tabColor rgb="FF00B050"/>
  </sheetPr>
  <dimension ref="B1:BA75"/>
  <sheetViews>
    <sheetView zoomScale="70" zoomScaleNormal="70" workbookViewId="0">
      <pane xSplit="4" ySplit="3" topLeftCell="E4" activePane="bottomRight" state="frozen"/>
      <selection activeCell="K18" sqref="K18"/>
      <selection pane="topRight" activeCell="K18" sqref="K18"/>
      <selection pane="bottomLeft" activeCell="K18" sqref="K18"/>
      <selection pane="bottomRight" activeCell="N8" sqref="N8"/>
    </sheetView>
  </sheetViews>
  <sheetFormatPr defaultRowHeight="15" customHeight="1" x14ac:dyDescent="0.3"/>
  <cols>
    <col min="1" max="1" width="4.5546875" customWidth="1"/>
    <col min="2" max="2" width="9.33203125" customWidth="1"/>
    <col min="3" max="3" width="8.109375" customWidth="1"/>
    <col min="4" max="4" width="9.109375" style="15" customWidth="1"/>
    <col min="5" max="5" width="10.88671875" customWidth="1"/>
    <col min="6" max="6" width="13.5546875" customWidth="1"/>
    <col min="7" max="8" width="15.33203125" customWidth="1"/>
    <col min="9" max="9" width="13.109375" customWidth="1"/>
    <col min="10" max="10" width="10.21875" customWidth="1"/>
    <col min="11" max="11" width="14.21875" customWidth="1"/>
    <col min="12" max="12" width="12.5546875" customWidth="1"/>
    <col min="13" max="13" width="12.88671875" customWidth="1"/>
    <col min="14" max="14" width="12.44140625" customWidth="1"/>
    <col min="15" max="15" width="13.6640625" customWidth="1"/>
    <col min="16" max="16" width="11.21875" customWidth="1"/>
    <col min="17" max="17" width="12" customWidth="1"/>
    <col min="18" max="18" width="11.21875" customWidth="1"/>
    <col min="19" max="19" width="9.88671875" customWidth="1"/>
    <col min="20" max="20" width="9.5546875" customWidth="1"/>
    <col min="21" max="22" width="8" customWidth="1"/>
    <col min="23" max="23" width="8.77734375" customWidth="1"/>
    <col min="24" max="24" width="8" customWidth="1"/>
    <col min="25" max="25" width="8.77734375" customWidth="1"/>
    <col min="26" max="27" width="8" customWidth="1"/>
    <col min="28" max="28" width="10.88671875" customWidth="1"/>
    <col min="29" max="29" width="11.21875" customWidth="1"/>
    <col min="30" max="30" width="10.21875" customWidth="1"/>
    <col min="31" max="31" width="8.88671875" customWidth="1"/>
    <col min="32" max="32" width="10.6640625" style="32" customWidth="1"/>
    <col min="33" max="33" width="14.21875" customWidth="1"/>
    <col min="34" max="34" width="12.33203125" customWidth="1"/>
    <col min="35" max="35" width="14.5546875" customWidth="1"/>
    <col min="36" max="36" width="10.44140625" customWidth="1"/>
    <col min="37" max="37" width="13.77734375" customWidth="1"/>
    <col min="38" max="38" width="11.33203125" customWidth="1"/>
    <col min="39" max="41" width="9" customWidth="1"/>
    <col min="42" max="42" width="12.6640625" customWidth="1"/>
    <col min="43" max="43" width="15.5546875" customWidth="1"/>
    <col min="44" max="44" width="9.21875" customWidth="1"/>
    <col min="45" max="46" width="14.109375" customWidth="1"/>
    <col min="47" max="47" width="9" customWidth="1"/>
    <col min="48" max="48" width="13" style="17" bestFit="1" customWidth="1"/>
    <col min="49" max="49" width="17.109375" customWidth="1"/>
    <col min="50" max="50" width="65.5546875" customWidth="1"/>
    <col min="52" max="52" width="13.88671875" bestFit="1" customWidth="1"/>
    <col min="53" max="53" width="11.33203125" bestFit="1" customWidth="1"/>
    <col min="54" max="54" width="13" bestFit="1" customWidth="1"/>
    <col min="55" max="61" width="4" bestFit="1" customWidth="1"/>
    <col min="62" max="62" width="4" customWidth="1"/>
    <col min="63" max="71" width="4" bestFit="1" customWidth="1"/>
    <col min="72" max="72" width="11.44140625" bestFit="1" customWidth="1"/>
  </cols>
  <sheetData>
    <row r="1" spans="2:53" ht="15" customHeight="1" x14ac:dyDescent="0.3">
      <c r="AF1"/>
    </row>
    <row r="2" spans="2:53" ht="27.6" customHeight="1" x14ac:dyDescent="0.3">
      <c r="E2" s="26">
        <f t="shared" ref="E2:AF2" si="0">SUBTOTAL(9,E4:E961)</f>
        <v>582</v>
      </c>
      <c r="F2" s="26">
        <f t="shared" si="0"/>
        <v>2078</v>
      </c>
      <c r="G2" s="26">
        <f t="shared" si="0"/>
        <v>384</v>
      </c>
      <c r="H2" s="26">
        <f t="shared" si="0"/>
        <v>3208</v>
      </c>
      <c r="I2" s="26">
        <f t="shared" si="0"/>
        <v>364</v>
      </c>
      <c r="J2" s="26">
        <f t="shared" si="0"/>
        <v>1296</v>
      </c>
      <c r="K2" s="26">
        <f t="shared" si="0"/>
        <v>1533</v>
      </c>
      <c r="L2" s="26">
        <f t="shared" si="0"/>
        <v>1109</v>
      </c>
      <c r="M2" s="26">
        <f t="shared" si="0"/>
        <v>418</v>
      </c>
      <c r="N2" s="26">
        <f t="shared" si="0"/>
        <v>2809</v>
      </c>
      <c r="O2" s="26">
        <f t="shared" si="0"/>
        <v>7490.5</v>
      </c>
      <c r="P2" s="26">
        <f t="shared" si="0"/>
        <v>1558</v>
      </c>
      <c r="Q2" s="26">
        <f t="shared" si="0"/>
        <v>604</v>
      </c>
      <c r="R2" s="26">
        <f t="shared" si="0"/>
        <v>113.5</v>
      </c>
      <c r="S2" s="26">
        <f t="shared" si="0"/>
        <v>861</v>
      </c>
      <c r="T2" s="26">
        <f t="shared" si="0"/>
        <v>1579</v>
      </c>
      <c r="U2" s="26">
        <f t="shared" si="0"/>
        <v>151</v>
      </c>
      <c r="V2" s="26">
        <f t="shared" si="0"/>
        <v>179</v>
      </c>
      <c r="W2" s="26">
        <f t="shared" si="0"/>
        <v>7</v>
      </c>
      <c r="X2" s="26">
        <f t="shared" si="0"/>
        <v>2</v>
      </c>
      <c r="Y2" s="26">
        <f t="shared" si="0"/>
        <v>7</v>
      </c>
      <c r="Z2" s="26">
        <f t="shared" si="0"/>
        <v>463.5</v>
      </c>
      <c r="AA2" s="26">
        <f t="shared" si="0"/>
        <v>17425</v>
      </c>
      <c r="AB2" s="26">
        <f t="shared" si="0"/>
        <v>774</v>
      </c>
      <c r="AC2" s="26">
        <f t="shared" si="0"/>
        <v>967</v>
      </c>
      <c r="AD2" s="26">
        <f t="shared" si="0"/>
        <v>254</v>
      </c>
      <c r="AE2" s="26">
        <f t="shared" si="0"/>
        <v>46216.5</v>
      </c>
      <c r="AF2" s="27">
        <f t="shared" si="0"/>
        <v>2737</v>
      </c>
      <c r="AI2" s="40" t="s">
        <v>0</v>
      </c>
      <c r="AJ2" s="40" t="s">
        <v>0</v>
      </c>
      <c r="AK2" s="40" t="s">
        <v>0</v>
      </c>
      <c r="AL2" s="40" t="s">
        <v>0</v>
      </c>
      <c r="AM2" s="28">
        <f>(SUBTOTAL(9,AM4:AM961))*24</f>
        <v>16.666666666666664</v>
      </c>
      <c r="AN2" s="28">
        <f>(SUBTOTAL(9,AN4:AN961))*24</f>
        <v>23.833333333333332</v>
      </c>
      <c r="AO2" s="28">
        <f>(SUBTOTAL(9,AO4:AO961))*24</f>
        <v>160.91666666666663</v>
      </c>
      <c r="AP2" s="28">
        <f>SUBTOTAL(9,AP4:AP961)</f>
        <v>821.99999999999989</v>
      </c>
      <c r="AQ2" s="28">
        <f>(SUBTOTAL(9,AQ4:AQ961))*24</f>
        <v>120.25</v>
      </c>
      <c r="AR2" s="28">
        <f>SUBTOTAL(9,AR4:AR961)</f>
        <v>32669.999999999996</v>
      </c>
      <c r="AS2" s="28">
        <f>SUBTOTAL(9,AS4:AS961)</f>
        <v>26276.583333333328</v>
      </c>
      <c r="AT2" s="29">
        <f>SUBTOTAL(1,AT4:AT961)</f>
        <v>0.72820099798907134</v>
      </c>
      <c r="AU2" s="29"/>
      <c r="AW2" s="26" t="e">
        <f>SUBTOTAL(3,#REF!)</f>
        <v>#REF!</v>
      </c>
    </row>
    <row r="3" spans="2:53" ht="14.4" x14ac:dyDescent="0.3">
      <c r="B3" s="80" t="s">
        <v>1</v>
      </c>
      <c r="C3" s="81" t="s">
        <v>2</v>
      </c>
      <c r="D3" s="81" t="s">
        <v>3</v>
      </c>
      <c r="E3" s="81" t="s">
        <v>28</v>
      </c>
      <c r="F3" s="81" t="s">
        <v>29</v>
      </c>
      <c r="G3" s="81" t="s">
        <v>393</v>
      </c>
      <c r="H3" s="81" t="s">
        <v>4</v>
      </c>
      <c r="I3" s="81" t="s">
        <v>30</v>
      </c>
      <c r="J3" s="81" t="s">
        <v>31</v>
      </c>
      <c r="K3" s="81" t="s">
        <v>32</v>
      </c>
      <c r="L3" s="81" t="s">
        <v>33</v>
      </c>
      <c r="M3" s="81" t="s">
        <v>394</v>
      </c>
      <c r="N3" s="81" t="s">
        <v>5</v>
      </c>
      <c r="O3" s="81" t="s">
        <v>162</v>
      </c>
      <c r="P3" s="81" t="s">
        <v>163</v>
      </c>
      <c r="Q3" s="81" t="s">
        <v>164</v>
      </c>
      <c r="R3" s="81" t="s">
        <v>165</v>
      </c>
      <c r="S3" s="81" t="s">
        <v>166</v>
      </c>
      <c r="T3" s="81" t="s">
        <v>167</v>
      </c>
      <c r="U3" s="81" t="s">
        <v>168</v>
      </c>
      <c r="V3" s="81" t="s">
        <v>169</v>
      </c>
      <c r="W3" s="81" t="s">
        <v>34</v>
      </c>
      <c r="X3" s="81" t="s">
        <v>170</v>
      </c>
      <c r="Y3" s="81" t="s">
        <v>35</v>
      </c>
      <c r="Z3" s="81" t="s">
        <v>171</v>
      </c>
      <c r="AA3" s="81" t="s">
        <v>36</v>
      </c>
      <c r="AB3" s="81" t="s">
        <v>6</v>
      </c>
      <c r="AC3" s="81" t="s">
        <v>7</v>
      </c>
      <c r="AD3" s="81" t="s">
        <v>37</v>
      </c>
      <c r="AE3" s="81" t="s">
        <v>8</v>
      </c>
      <c r="AF3" s="81" t="s">
        <v>10</v>
      </c>
      <c r="AG3" s="81" t="s">
        <v>11</v>
      </c>
      <c r="AH3" s="81" t="s">
        <v>12</v>
      </c>
      <c r="AI3" s="81" t="s">
        <v>13</v>
      </c>
      <c r="AJ3" s="81" t="s">
        <v>14</v>
      </c>
      <c r="AK3" s="81" t="s">
        <v>15</v>
      </c>
      <c r="AL3" s="81" t="s">
        <v>16</v>
      </c>
      <c r="AM3" s="81" t="s">
        <v>17</v>
      </c>
      <c r="AN3" s="81" t="s">
        <v>38</v>
      </c>
      <c r="AO3" s="81" t="s">
        <v>18</v>
      </c>
      <c r="AP3" s="81" t="s">
        <v>19</v>
      </c>
      <c r="AQ3" s="81" t="s">
        <v>20</v>
      </c>
      <c r="AR3" s="81" t="s">
        <v>21</v>
      </c>
      <c r="AS3" s="81" t="s">
        <v>22</v>
      </c>
      <c r="AT3" s="81" t="s">
        <v>23</v>
      </c>
      <c r="AU3" s="81" t="s">
        <v>24</v>
      </c>
      <c r="AV3" s="81" t="s">
        <v>39</v>
      </c>
      <c r="AW3" s="81" t="s">
        <v>26</v>
      </c>
      <c r="AX3" s="82" t="s">
        <v>27</v>
      </c>
      <c r="BA3" s="1"/>
    </row>
    <row r="4" spans="2:53" ht="15" customHeight="1" x14ac:dyDescent="0.3">
      <c r="B4" s="77">
        <v>46023</v>
      </c>
      <c r="C4" s="21">
        <f t="shared" ref="C4:C72" si="1">IF($B4="","",MONTH(B4))</f>
        <v>1</v>
      </c>
      <c r="D4" s="18" t="str">
        <f t="shared" ref="D4:D72" si="2">IF(B4="","","PUcanh")</f>
        <v>PUcanh</v>
      </c>
      <c r="E4" s="14"/>
      <c r="F4" s="14"/>
      <c r="G4" s="14"/>
      <c r="H4" s="14">
        <v>47</v>
      </c>
      <c r="I4" s="14"/>
      <c r="J4" s="14"/>
      <c r="K4" s="14"/>
      <c r="L4" s="14"/>
      <c r="M4" s="14"/>
      <c r="N4" s="14">
        <v>50</v>
      </c>
      <c r="O4" s="14">
        <v>299</v>
      </c>
      <c r="P4" s="14"/>
      <c r="Q4" s="14">
        <v>52</v>
      </c>
      <c r="R4" s="14"/>
      <c r="S4" s="14">
        <v>14</v>
      </c>
      <c r="T4" s="14">
        <v>8</v>
      </c>
      <c r="U4" s="14"/>
      <c r="V4" s="14"/>
      <c r="W4" s="14"/>
      <c r="X4" s="14"/>
      <c r="Y4" s="14"/>
      <c r="Z4" s="14"/>
      <c r="AA4" s="14">
        <f>236+2/1</f>
        <v>238</v>
      </c>
      <c r="AB4" s="14"/>
      <c r="AC4" s="14">
        <v>31</v>
      </c>
      <c r="AD4" s="14"/>
      <c r="AE4" s="22">
        <f t="shared" ref="AE4:AE35" si="3">SUM(E4:AD4)</f>
        <v>739</v>
      </c>
      <c r="AF4" s="31">
        <f>31+11+12</f>
        <v>54</v>
      </c>
      <c r="AG4" s="23">
        <v>0.29166666666666669</v>
      </c>
      <c r="AH4" s="23">
        <v>0.79166666666666663</v>
      </c>
      <c r="AI4" s="23" cm="1">
        <f t="array" ref="AI4">_xlfn.IFS($AG4="","",$AP4&gt;=8,TIME(1,0,0),$AP4&lt;=5,"")</f>
        <v>4.1666666666666664E-2</v>
      </c>
      <c r="AJ4" s="23" t="str" cm="1">
        <f t="array" ref="AJ4">IFERROR(_xlfn.IFS($AG4="","",AND($AP4&gt;12,$AG4&lt;TIME(10,0,0)),TIME(1,0,0),AND($AP4=12,$AG4&gt;=TIME(10,0,0),$AG4&lt;TIME(19,0,0)),TIME(0,30,0),AND($AP4=12,$AG4&gt;=TIME(19,0,0)),""),"")</f>
        <v/>
      </c>
      <c r="AK4" s="23" cm="1">
        <f t="array" ref="AK4">_xlfn.IFS($AG4="","",AND($AP4&lt;=12,$AP4&gt;10,$AJ4=""),TIME(0,35,0),OR(AND($AP4&lt;=10,$AP4&gt;5),$AJ4&lt;&gt;""),TIME(0,20,0),$AP4&gt;12,TIME(0,20,0),$AP4&lt;=5,TIME(0,10,0))</f>
        <v>2.4305555555555556E-2</v>
      </c>
      <c r="AL4" s="23">
        <f t="shared" ref="AL4:AL72" si="4">IF($AG4&lt;&gt;"",TIME(0,10,0),"")</f>
        <v>6.9444444444444441E-3</v>
      </c>
      <c r="AM4" s="23"/>
      <c r="AN4" s="23"/>
      <c r="AO4" s="23">
        <v>4.1666666666666664E-2</v>
      </c>
      <c r="AP4" s="24">
        <f t="shared" ref="AP4:AP35" si="5">IF($AG4="","",ABS($AH4-$AG4)*24)</f>
        <v>11.999999999999998</v>
      </c>
      <c r="AQ4" s="23">
        <f t="shared" ref="AQ4:AQ35" si="6">IF($AG4="","",SUM($AI4:$AL4))</f>
        <v>7.2916666666666671E-2</v>
      </c>
      <c r="AR4" s="25">
        <f t="shared" ref="AR4:AR35" si="7">IF(OR($AF4="",$AP4=""),"",$AP4*$AF4)</f>
        <v>647.99999999999989</v>
      </c>
      <c r="AS4" s="25">
        <f t="shared" ref="AS4:AS35" si="8">IF(OR($AF4="",$AP4=""),"",($AP4-($AQ4+$AM4+$AN4)*24)*$AF4)</f>
        <v>553.49999999999989</v>
      </c>
      <c r="AT4" s="16">
        <f>IF(OR($AE4=0,$AF4="",$AR4=""),"",SUM($AR4:$AR5)/SUM($AE4:$AE5))</f>
        <v>0.74461136512083592</v>
      </c>
      <c r="AU4" s="16">
        <f t="shared" ref="AU4:AU59" si="9">IF(AT4="","",1/AT4)</f>
        <v>1.3429824561403512</v>
      </c>
      <c r="AV4" s="14"/>
      <c r="AW4" s="30"/>
      <c r="AX4" s="79" t="s">
        <v>40</v>
      </c>
    </row>
    <row r="5" spans="2:53" ht="15" customHeight="1" x14ac:dyDescent="0.3">
      <c r="B5" s="77">
        <v>46023</v>
      </c>
      <c r="C5" s="21">
        <f t="shared" si="1"/>
        <v>1</v>
      </c>
      <c r="D5" s="18" t="str">
        <f t="shared" si="2"/>
        <v>PUcanh</v>
      </c>
      <c r="E5" s="14"/>
      <c r="F5" s="14"/>
      <c r="G5" s="14"/>
      <c r="H5" s="14">
        <v>94</v>
      </c>
      <c r="I5" s="14">
        <v>49</v>
      </c>
      <c r="J5" s="14"/>
      <c r="K5" s="14">
        <v>45</v>
      </c>
      <c r="L5" s="14"/>
      <c r="M5" s="14"/>
      <c r="N5" s="14">
        <v>113</v>
      </c>
      <c r="O5" s="14">
        <v>173</v>
      </c>
      <c r="P5" s="14"/>
      <c r="Q5" s="14">
        <v>14</v>
      </c>
      <c r="R5" s="14"/>
      <c r="S5" s="14">
        <v>47</v>
      </c>
      <c r="T5" s="14"/>
      <c r="U5" s="14"/>
      <c r="V5" s="14"/>
      <c r="W5" s="14"/>
      <c r="X5" s="14"/>
      <c r="Y5" s="14"/>
      <c r="Z5" s="14"/>
      <c r="AA5" s="14">
        <v>223</v>
      </c>
      <c r="AB5" s="14">
        <v>24</v>
      </c>
      <c r="AC5" s="14"/>
      <c r="AD5" s="14">
        <v>10</v>
      </c>
      <c r="AE5" s="22">
        <f t="shared" si="3"/>
        <v>792</v>
      </c>
      <c r="AF5" s="31">
        <f>25+3+13</f>
        <v>41</v>
      </c>
      <c r="AG5" s="23">
        <v>0.79166666666666663</v>
      </c>
      <c r="AH5" s="23">
        <v>0.29166666666666669</v>
      </c>
      <c r="AI5" s="23" cm="1">
        <f t="array" ref="AI5">_xlfn.IFS($AG5="","",$AP5&gt;=8,TIME(1,0,0),$AP5&lt;=5,"")</f>
        <v>4.1666666666666664E-2</v>
      </c>
      <c r="AJ5" s="23" t="str" cm="1">
        <f t="array" ref="AJ5">IFERROR(_xlfn.IFS($AG5="","",AND($AP5&gt;12,$AG5&lt;TIME(10,0,0)),TIME(1,0,0),AND($AP5=12,$AG5&gt;=TIME(10,0,0),$AG5&lt;TIME(19,0,0)),TIME(0,30,0),AND($AP5=12,$AG5&gt;=TIME(19,0,0)),""),"")</f>
        <v/>
      </c>
      <c r="AK5" s="23" cm="1">
        <f t="array" ref="AK5">_xlfn.IFS($AG5="","",AND($AP5&lt;=12,$AP5&gt;10,$AJ5=""),TIME(0,35,0),OR(AND($AP5&lt;=10,$AP5&gt;5),$AJ5&lt;&gt;""),TIME(0,20,0),$AP5&gt;12,TIME(0,20,0),$AP5&lt;=5,TIME(0,10,0))</f>
        <v>2.4305555555555556E-2</v>
      </c>
      <c r="AL5" s="23">
        <f t="shared" si="4"/>
        <v>6.9444444444444441E-3</v>
      </c>
      <c r="AM5" s="23"/>
      <c r="AN5" s="23"/>
      <c r="AO5" s="23">
        <v>4.1666666666666664E-2</v>
      </c>
      <c r="AP5" s="24">
        <f t="shared" si="5"/>
        <v>11.999999999999998</v>
      </c>
      <c r="AQ5" s="23">
        <f t="shared" si="6"/>
        <v>7.2916666666666671E-2</v>
      </c>
      <c r="AR5" s="25">
        <f t="shared" si="7"/>
        <v>491.99999999999994</v>
      </c>
      <c r="AS5" s="25">
        <f t="shared" si="8"/>
        <v>420.24999999999994</v>
      </c>
      <c r="AT5" s="16"/>
      <c r="AU5" s="16" t="str">
        <f t="shared" si="9"/>
        <v/>
      </c>
      <c r="AV5" s="14"/>
      <c r="AW5" s="30"/>
      <c r="AX5" s="79" t="s">
        <v>41</v>
      </c>
    </row>
    <row r="6" spans="2:53" ht="15" customHeight="1" x14ac:dyDescent="0.3">
      <c r="B6" s="78">
        <v>46024</v>
      </c>
      <c r="C6" s="21">
        <f t="shared" si="1"/>
        <v>1</v>
      </c>
      <c r="D6" s="18" t="str">
        <f t="shared" si="2"/>
        <v>PUcanh</v>
      </c>
      <c r="E6" s="14">
        <v>4</v>
      </c>
      <c r="F6" s="14"/>
      <c r="G6" s="14"/>
      <c r="H6" s="14">
        <v>88</v>
      </c>
      <c r="I6" s="14">
        <v>25</v>
      </c>
      <c r="J6" s="14"/>
      <c r="K6" s="14">
        <v>55</v>
      </c>
      <c r="L6" s="14">
        <v>12</v>
      </c>
      <c r="M6" s="14"/>
      <c r="N6" s="14">
        <v>46</v>
      </c>
      <c r="O6" s="14">
        <v>150</v>
      </c>
      <c r="P6" s="14"/>
      <c r="Q6" s="14"/>
      <c r="R6" s="14">
        <f>5/2</f>
        <v>2.5</v>
      </c>
      <c r="S6" s="14">
        <v>49</v>
      </c>
      <c r="T6" s="14">
        <v>38</v>
      </c>
      <c r="U6" s="14"/>
      <c r="V6" s="14"/>
      <c r="W6" s="14"/>
      <c r="X6" s="14"/>
      <c r="Y6" s="14"/>
      <c r="Z6" s="14"/>
      <c r="AA6" s="14">
        <v>231</v>
      </c>
      <c r="AB6" s="14">
        <v>6</v>
      </c>
      <c r="AC6" s="14"/>
      <c r="AD6" s="14"/>
      <c r="AE6" s="22">
        <f t="shared" si="3"/>
        <v>706.5</v>
      </c>
      <c r="AF6" s="31">
        <f>20+11+11+5</f>
        <v>47</v>
      </c>
      <c r="AG6" s="23">
        <v>0.29166666666666669</v>
      </c>
      <c r="AH6" s="23">
        <v>0.79166666666666663</v>
      </c>
      <c r="AI6" s="23" cm="1">
        <f t="array" ref="AI6">_xlfn.IFS($AG6="","",$AP6&gt;=8,TIME(1,0,0),$AP6&lt;=5,"")</f>
        <v>4.1666666666666664E-2</v>
      </c>
      <c r="AJ6" s="23" t="str" cm="1">
        <f t="array" ref="AJ6">IFERROR(_xlfn.IFS($AG6="","",AND($AP6&gt;12,$AG6&lt;TIME(10,0,0)),TIME(1,0,0),AND($AP6=12,$AG6&gt;=TIME(10,0,0),$AG6&lt;TIME(19,0,0)),TIME(0,30,0),AND($AP6=12,$AG6&gt;=TIME(19,0,0)),""),"")</f>
        <v/>
      </c>
      <c r="AK6" s="23" cm="1">
        <f t="array" ref="AK6">_xlfn.IFS($AG6="","",AND($AP6&lt;=12,$AP6&gt;10,$AJ6=""),TIME(0,35,0),OR(AND($AP6&lt;=10,$AP6&gt;5),$AJ6&lt;&gt;""),TIME(0,20,0),$AP6&gt;12,TIME(0,20,0),$AP6&lt;=5,TIME(0,10,0))</f>
        <v>2.4305555555555556E-2</v>
      </c>
      <c r="AL6" s="23">
        <f t="shared" si="4"/>
        <v>6.9444444444444441E-3</v>
      </c>
      <c r="AM6" s="23"/>
      <c r="AN6" s="23">
        <v>3.125E-2</v>
      </c>
      <c r="AO6" s="30"/>
      <c r="AP6" s="24">
        <f t="shared" si="5"/>
        <v>11.999999999999998</v>
      </c>
      <c r="AQ6" s="23">
        <f t="shared" si="6"/>
        <v>7.2916666666666671E-2</v>
      </c>
      <c r="AR6" s="25">
        <f t="shared" si="7"/>
        <v>563.99999999999989</v>
      </c>
      <c r="AS6" s="25">
        <f t="shared" si="8"/>
        <v>446.49999999999994</v>
      </c>
      <c r="AT6" s="16">
        <f>IF(OR($AE6=0,$AF6="",$AR6=""),"",SUM($AR6:$AR7)/SUM($AE6:$AE7))</f>
        <v>0.79515496971856059</v>
      </c>
      <c r="AU6" s="16">
        <f t="shared" si="9"/>
        <v>1.2576164874551974</v>
      </c>
      <c r="AV6" s="14"/>
      <c r="AW6" s="30"/>
      <c r="AX6" s="79" t="s">
        <v>42</v>
      </c>
    </row>
    <row r="7" spans="2:53" ht="15" customHeight="1" x14ac:dyDescent="0.3">
      <c r="B7" s="78">
        <v>46024</v>
      </c>
      <c r="C7" s="21">
        <f t="shared" si="1"/>
        <v>1</v>
      </c>
      <c r="D7" s="18" t="str">
        <f t="shared" si="2"/>
        <v>PUcanh</v>
      </c>
      <c r="E7" s="14">
        <v>37</v>
      </c>
      <c r="F7" s="14"/>
      <c r="G7" s="14"/>
      <c r="H7" s="14">
        <v>38</v>
      </c>
      <c r="I7" s="14">
        <v>13</v>
      </c>
      <c r="J7" s="14"/>
      <c r="K7" s="14">
        <v>53</v>
      </c>
      <c r="L7" s="14"/>
      <c r="M7" s="14"/>
      <c r="N7" s="14">
        <v>96</v>
      </c>
      <c r="O7" s="14">
        <v>115</v>
      </c>
      <c r="P7" s="14"/>
      <c r="Q7" s="14"/>
      <c r="R7" s="14"/>
      <c r="S7" s="14">
        <v>56</v>
      </c>
      <c r="T7" s="14">
        <v>9</v>
      </c>
      <c r="U7" s="14"/>
      <c r="V7" s="14"/>
      <c r="W7" s="14"/>
      <c r="X7" s="14"/>
      <c r="Y7" s="14"/>
      <c r="Z7" s="14"/>
      <c r="AA7" s="14">
        <v>280</v>
      </c>
      <c r="AB7" s="14"/>
      <c r="AC7" s="14"/>
      <c r="AD7" s="14"/>
      <c r="AE7" s="22">
        <f t="shared" si="3"/>
        <v>697</v>
      </c>
      <c r="AF7" s="31">
        <f>25+3+12+6</f>
        <v>46</v>
      </c>
      <c r="AG7" s="23">
        <v>0.79166666666666663</v>
      </c>
      <c r="AH7" s="23">
        <v>0.29166666666666669</v>
      </c>
      <c r="AI7" s="23" cm="1">
        <f t="array" ref="AI7">_xlfn.IFS($AG7="","",$AP7&gt;=8,TIME(1,0,0),$AP7&lt;=5,"")</f>
        <v>4.1666666666666664E-2</v>
      </c>
      <c r="AJ7" s="23" t="str" cm="1">
        <f t="array" ref="AJ7">IFERROR(_xlfn.IFS($AG7="","",AND($AP7&gt;12,$AG7&lt;TIME(10,0,0)),TIME(1,0,0),AND($AP7=12,$AG7&gt;=TIME(10,0,0),$AG7&lt;TIME(19,0,0)),TIME(0,30,0),AND($AP7=12,$AG7&gt;=TIME(19,0,0)),""),"")</f>
        <v/>
      </c>
      <c r="AK7" s="23" cm="1">
        <f t="array" ref="AK7">_xlfn.IFS($AG7="","",AND($AP7&lt;=12,$AP7&gt;10,$AJ7=""),TIME(0,35,0),OR(AND($AP7&lt;=10,$AP7&gt;5),$AJ7&lt;&gt;""),TIME(0,20,0),$AP7&gt;12,TIME(0,20,0),$AP7&lt;=5,TIME(0,10,0))</f>
        <v>2.4305555555555556E-2</v>
      </c>
      <c r="AL7" s="23">
        <f t="shared" si="4"/>
        <v>6.9444444444444441E-3</v>
      </c>
      <c r="AM7" s="23">
        <v>1.3888888888888888E-2</v>
      </c>
      <c r="AN7" s="23"/>
      <c r="AO7" s="23">
        <v>0.10416666666666667</v>
      </c>
      <c r="AP7" s="24">
        <f t="shared" si="5"/>
        <v>11.999999999999998</v>
      </c>
      <c r="AQ7" s="23">
        <f t="shared" si="6"/>
        <v>7.2916666666666671E-2</v>
      </c>
      <c r="AR7" s="25">
        <f t="shared" si="7"/>
        <v>551.99999999999989</v>
      </c>
      <c r="AS7" s="25">
        <f t="shared" si="8"/>
        <v>456.16666666666657</v>
      </c>
      <c r="AT7" s="16"/>
      <c r="AU7" s="16" t="str">
        <f t="shared" si="9"/>
        <v/>
      </c>
      <c r="AV7" s="14"/>
      <c r="AW7" s="30"/>
      <c r="AX7" s="79" t="s">
        <v>43</v>
      </c>
    </row>
    <row r="8" spans="2:53" ht="15" customHeight="1" x14ac:dyDescent="0.3">
      <c r="B8" s="77">
        <v>46025</v>
      </c>
      <c r="C8" s="21">
        <f t="shared" si="1"/>
        <v>1</v>
      </c>
      <c r="D8" s="18" t="str">
        <f t="shared" si="2"/>
        <v>PUcanh</v>
      </c>
      <c r="E8" s="14">
        <v>50</v>
      </c>
      <c r="F8" s="14"/>
      <c r="G8" s="14"/>
      <c r="H8" s="14">
        <v>86</v>
      </c>
      <c r="I8" s="14">
        <v>54</v>
      </c>
      <c r="J8" s="14"/>
      <c r="K8" s="14">
        <v>84</v>
      </c>
      <c r="L8" s="14"/>
      <c r="M8" s="14"/>
      <c r="N8" s="14"/>
      <c r="O8" s="14">
        <f>212+99/2</f>
        <v>261.5</v>
      </c>
      <c r="P8" s="14"/>
      <c r="Q8" s="14"/>
      <c r="R8" s="14"/>
      <c r="S8" s="14">
        <v>43</v>
      </c>
      <c r="T8" s="14">
        <v>61</v>
      </c>
      <c r="U8" s="14"/>
      <c r="V8" s="14"/>
      <c r="W8" s="14">
        <v>6</v>
      </c>
      <c r="X8" s="14"/>
      <c r="Y8" s="14">
        <f>6+2/2</f>
        <v>7</v>
      </c>
      <c r="Z8" s="14"/>
      <c r="AA8" s="14">
        <f>229+9/2</f>
        <v>233.5</v>
      </c>
      <c r="AB8" s="14"/>
      <c r="AC8" s="14"/>
      <c r="AD8" s="14"/>
      <c r="AE8" s="22">
        <f t="shared" si="3"/>
        <v>886</v>
      </c>
      <c r="AF8" s="31">
        <f>20+12+10</f>
        <v>42</v>
      </c>
      <c r="AG8" s="23">
        <v>0.29166666666666669</v>
      </c>
      <c r="AH8" s="23">
        <v>0.79166666666666663</v>
      </c>
      <c r="AI8" s="23" cm="1">
        <f t="array" ref="AI8">_xlfn.IFS($AG8="","",$AP8&gt;=8,TIME(1,0,0),$AP8&lt;=5,"")</f>
        <v>4.1666666666666664E-2</v>
      </c>
      <c r="AJ8" s="23" t="str" cm="1">
        <f t="array" ref="AJ8">IFERROR(_xlfn.IFS($AG8="","",AND($AP8&gt;12,$AG8&lt;TIME(10,0,0)),TIME(1,0,0),AND($AP8=12,$AG8&gt;=TIME(10,0,0),$AG8&lt;TIME(19,0,0)),TIME(0,30,0),AND($AP8=12,$AG8&gt;=TIME(19,0,0)),""),"")</f>
        <v/>
      </c>
      <c r="AK8" s="23" cm="1">
        <f t="array" ref="AK8">_xlfn.IFS($AG8="","",AND($AP8&lt;=12,$AP8&gt;10,$AJ8=""),TIME(0,35,0),OR(AND($AP8&lt;=10,$AP8&gt;5),$AJ8&lt;&gt;""),TIME(0,20,0),$AP8&gt;12,TIME(0,20,0),$AP8&lt;=5,TIME(0,10,0))</f>
        <v>2.4305555555555556E-2</v>
      </c>
      <c r="AL8" s="23">
        <f t="shared" si="4"/>
        <v>6.9444444444444441E-3</v>
      </c>
      <c r="AM8" s="23"/>
      <c r="AN8" s="23"/>
      <c r="AO8" s="23">
        <v>3.125E-2</v>
      </c>
      <c r="AP8" s="24">
        <f t="shared" si="5"/>
        <v>11.999999999999998</v>
      </c>
      <c r="AQ8" s="23">
        <f t="shared" si="6"/>
        <v>7.2916666666666671E-2</v>
      </c>
      <c r="AR8" s="25">
        <f t="shared" si="7"/>
        <v>503.99999999999994</v>
      </c>
      <c r="AS8" s="25">
        <f t="shared" si="8"/>
        <v>430.49999999999994</v>
      </c>
      <c r="AT8" s="16">
        <f>IF(OR($AE8=0,$AF8="",$AR8=""),"",SUM($AR8:$AR9)/SUM($AE8:$AE9))</f>
        <v>0.56478791400348627</v>
      </c>
      <c r="AU8" s="16">
        <f t="shared" si="9"/>
        <v>1.770576131687243</v>
      </c>
      <c r="AV8" s="14"/>
      <c r="AW8" s="30"/>
      <c r="AX8" s="79" t="s">
        <v>44</v>
      </c>
    </row>
    <row r="9" spans="2:53" ht="15" customHeight="1" x14ac:dyDescent="0.3">
      <c r="B9" s="77">
        <v>46025</v>
      </c>
      <c r="C9" s="21">
        <f t="shared" si="1"/>
        <v>1</v>
      </c>
      <c r="D9" s="18" t="str">
        <f t="shared" si="2"/>
        <v>PUcanh</v>
      </c>
      <c r="E9" s="14">
        <v>50</v>
      </c>
      <c r="F9" s="14"/>
      <c r="G9" s="14"/>
      <c r="H9" s="14">
        <v>86</v>
      </c>
      <c r="I9" s="14">
        <v>47</v>
      </c>
      <c r="J9" s="14"/>
      <c r="K9" s="14">
        <v>40</v>
      </c>
      <c r="L9" s="14"/>
      <c r="M9" s="14"/>
      <c r="N9" s="14"/>
      <c r="O9" s="14">
        <v>230</v>
      </c>
      <c r="P9" s="14"/>
      <c r="Q9" s="14"/>
      <c r="R9" s="14"/>
      <c r="S9" s="14"/>
      <c r="T9" s="14">
        <v>67</v>
      </c>
      <c r="U9" s="14"/>
      <c r="V9" s="14"/>
      <c r="W9" s="14"/>
      <c r="X9" s="14"/>
      <c r="Y9" s="14"/>
      <c r="Z9" s="14"/>
      <c r="AA9" s="14">
        <v>315</v>
      </c>
      <c r="AB9" s="14"/>
      <c r="AC9" s="14"/>
      <c r="AD9" s="14"/>
      <c r="AE9" s="22">
        <f t="shared" si="3"/>
        <v>835</v>
      </c>
      <c r="AF9" s="31">
        <f>24+3+12</f>
        <v>39</v>
      </c>
      <c r="AG9" s="23">
        <v>0.79166666666666663</v>
      </c>
      <c r="AH9" s="23">
        <v>0.29166666666666669</v>
      </c>
      <c r="AI9" s="23" cm="1">
        <f t="array" ref="AI9">_xlfn.IFS($AG9="","",$AP9&gt;=8,TIME(1,0,0),$AP9&lt;=5,"")</f>
        <v>4.1666666666666664E-2</v>
      </c>
      <c r="AJ9" s="23" t="str" cm="1">
        <f t="array" ref="AJ9">IFERROR(_xlfn.IFS($AG9="","",AND($AP9&gt;12,$AG9&lt;TIME(10,0,0)),TIME(1,0,0),AND($AP9=12,$AG9&gt;=TIME(10,0,0),$AG9&lt;TIME(19,0,0)),TIME(0,30,0),AND($AP9=12,$AG9&gt;=TIME(19,0,0)),""),"")</f>
        <v/>
      </c>
      <c r="AK9" s="23" cm="1">
        <f t="array" ref="AK9">_xlfn.IFS($AG9="","",AND($AP9&lt;=12,$AP9&gt;10,$AJ9=""),TIME(0,35,0),OR(AND($AP9&lt;=10,$AP9&gt;5),$AJ9&lt;&gt;""),TIME(0,20,0),$AP9&gt;12,TIME(0,20,0),$AP9&lt;=5,TIME(0,10,0))</f>
        <v>2.4305555555555556E-2</v>
      </c>
      <c r="AL9" s="23">
        <f t="shared" si="4"/>
        <v>6.9444444444444441E-3</v>
      </c>
      <c r="AM9" s="23"/>
      <c r="AN9" s="23">
        <v>6.25E-2</v>
      </c>
      <c r="AO9" s="23">
        <v>0.41666666666666669</v>
      </c>
      <c r="AP9" s="24">
        <f t="shared" si="5"/>
        <v>11.999999999999998</v>
      </c>
      <c r="AQ9" s="23">
        <f t="shared" si="6"/>
        <v>7.2916666666666671E-2</v>
      </c>
      <c r="AR9" s="25">
        <f t="shared" si="7"/>
        <v>467.99999999999994</v>
      </c>
      <c r="AS9" s="25">
        <f t="shared" si="8"/>
        <v>341.24999999999994</v>
      </c>
      <c r="AT9" s="16"/>
      <c r="AU9" s="16" t="str">
        <f t="shared" si="9"/>
        <v/>
      </c>
      <c r="AV9" s="14"/>
      <c r="AW9" s="30"/>
      <c r="AX9" s="79" t="s">
        <v>45</v>
      </c>
    </row>
    <row r="10" spans="2:53" ht="15" customHeight="1" x14ac:dyDescent="0.3">
      <c r="B10" s="78">
        <v>46026</v>
      </c>
      <c r="C10" s="21">
        <f t="shared" si="1"/>
        <v>1</v>
      </c>
      <c r="D10" s="18" t="str">
        <f t="shared" si="2"/>
        <v>PUcanh</v>
      </c>
      <c r="E10" s="14">
        <v>11</v>
      </c>
      <c r="F10" s="14"/>
      <c r="G10" s="14"/>
      <c r="H10" s="14"/>
      <c r="I10" s="14"/>
      <c r="J10" s="14">
        <v>61</v>
      </c>
      <c r="K10" s="14">
        <v>41</v>
      </c>
      <c r="L10" s="14"/>
      <c r="M10" s="14"/>
      <c r="N10" s="14"/>
      <c r="O10" s="14">
        <v>235</v>
      </c>
      <c r="P10" s="14"/>
      <c r="Q10" s="14"/>
      <c r="R10" s="14"/>
      <c r="S10" s="14"/>
      <c r="T10" s="14">
        <v>47</v>
      </c>
      <c r="U10" s="14"/>
      <c r="V10" s="14">
        <f>13+5/2</f>
        <v>15.5</v>
      </c>
      <c r="W10" s="14">
        <v>1</v>
      </c>
      <c r="X10" s="14"/>
      <c r="Y10" s="14"/>
      <c r="Z10" s="14"/>
      <c r="AA10" s="14">
        <f>276+12/2</f>
        <v>282</v>
      </c>
      <c r="AB10" s="14"/>
      <c r="AC10" s="14"/>
      <c r="AD10" s="14">
        <v>26</v>
      </c>
      <c r="AE10" s="22">
        <f t="shared" si="3"/>
        <v>719.5</v>
      </c>
      <c r="AF10" s="31">
        <f>19+12+8</f>
        <v>39</v>
      </c>
      <c r="AG10" s="23">
        <v>0.29166666666666669</v>
      </c>
      <c r="AH10" s="23">
        <v>0.79166666666666663</v>
      </c>
      <c r="AI10" s="23" cm="1">
        <f t="array" ref="AI10">_xlfn.IFS($AG10="","",$AP10&gt;=8,TIME(1,0,0),$AP10&lt;=5,"")</f>
        <v>4.1666666666666664E-2</v>
      </c>
      <c r="AJ10" s="23" t="str" cm="1">
        <f t="array" ref="AJ10">IFERROR(_xlfn.IFS($AG10="","",AND($AP10&gt;12,$AG10&lt;TIME(10,0,0)),TIME(1,0,0),AND($AP10=12,$AG10&gt;=TIME(10,0,0),$AG10&lt;TIME(19,0,0)),TIME(0,30,0),AND($AP10=12,$AG10&gt;=TIME(19,0,0)),""),"")</f>
        <v/>
      </c>
      <c r="AK10" s="23" cm="1">
        <f t="array" ref="AK10">_xlfn.IFS($AG10="","",AND($AP10&lt;=12,$AP10&gt;10,$AJ10=""),TIME(0,35,0),OR(AND($AP10&lt;=10,$AP10&gt;5),$AJ10&lt;&gt;""),TIME(0,20,0),$AP10&gt;12,TIME(0,20,0),$AP10&lt;=5,TIME(0,10,0))</f>
        <v>2.4305555555555556E-2</v>
      </c>
      <c r="AL10" s="23">
        <f t="shared" si="4"/>
        <v>6.9444444444444441E-3</v>
      </c>
      <c r="AM10" s="23">
        <v>5.5555555555555552E-2</v>
      </c>
      <c r="AN10" s="23"/>
      <c r="AO10" s="23">
        <v>3.4722222222222224E-2</v>
      </c>
      <c r="AP10" s="24">
        <f t="shared" si="5"/>
        <v>11.999999999999998</v>
      </c>
      <c r="AQ10" s="23">
        <f t="shared" si="6"/>
        <v>7.2916666666666671E-2</v>
      </c>
      <c r="AR10" s="25">
        <f t="shared" si="7"/>
        <v>467.99999999999994</v>
      </c>
      <c r="AS10" s="25">
        <f t="shared" si="8"/>
        <v>347.74999999999989</v>
      </c>
      <c r="AT10" s="16">
        <f>IF(OR($AE10=0,$AF10="",$AR10=""),"",SUM($AR10:$AR11)/SUM($AE10:$AE11))</f>
        <v>0.75096442348906978</v>
      </c>
      <c r="AU10" s="16">
        <f t="shared" si="9"/>
        <v>1.3316210045662102</v>
      </c>
      <c r="AV10" s="14"/>
      <c r="AW10" s="30"/>
      <c r="AX10" s="79" t="s">
        <v>46</v>
      </c>
    </row>
    <row r="11" spans="2:53" ht="15" customHeight="1" x14ac:dyDescent="0.3">
      <c r="B11" s="78">
        <v>46026</v>
      </c>
      <c r="C11" s="21">
        <f t="shared" si="1"/>
        <v>1</v>
      </c>
      <c r="D11" s="18" t="str">
        <f t="shared" si="2"/>
        <v>PUcanh</v>
      </c>
      <c r="E11" s="14"/>
      <c r="F11" s="14">
        <v>33</v>
      </c>
      <c r="G11" s="14"/>
      <c r="H11" s="14"/>
      <c r="I11" s="14"/>
      <c r="J11" s="14">
        <v>73</v>
      </c>
      <c r="K11" s="14">
        <v>47</v>
      </c>
      <c r="L11" s="14"/>
      <c r="M11" s="14"/>
      <c r="N11" s="14"/>
      <c r="O11" s="14">
        <v>50</v>
      </c>
      <c r="P11" s="14"/>
      <c r="Q11" s="14"/>
      <c r="R11" s="14"/>
      <c r="S11" s="14"/>
      <c r="T11" s="14">
        <v>24</v>
      </c>
      <c r="U11" s="14"/>
      <c r="V11" s="14"/>
      <c r="W11" s="14"/>
      <c r="X11" s="14"/>
      <c r="Y11" s="14"/>
      <c r="Z11" s="14"/>
      <c r="AA11" s="14">
        <v>220</v>
      </c>
      <c r="AB11" s="14"/>
      <c r="AC11" s="14"/>
      <c r="AD11" s="14"/>
      <c r="AE11" s="22">
        <f t="shared" si="3"/>
        <v>447</v>
      </c>
      <c r="AF11" s="31">
        <f>23+3+8</f>
        <v>34</v>
      </c>
      <c r="AG11" s="23">
        <v>0.79166666666666663</v>
      </c>
      <c r="AH11" s="23">
        <v>0.29166666666666669</v>
      </c>
      <c r="AI11" s="23" cm="1">
        <f t="array" ref="AI11">_xlfn.IFS($AG11="","",$AP11&gt;=8,TIME(1,0,0),$AP11&lt;=5,"")</f>
        <v>4.1666666666666664E-2</v>
      </c>
      <c r="AJ11" s="23" t="str" cm="1">
        <f t="array" ref="AJ11">IFERROR(_xlfn.IFS($AG11="","",AND($AP11&gt;12,$AG11&lt;TIME(10,0,0)),TIME(1,0,0),AND($AP11=12,$AG11&gt;=TIME(10,0,0),$AG11&lt;TIME(19,0,0)),TIME(0,30,0),AND($AP11=12,$AG11&gt;=TIME(19,0,0)),""),"")</f>
        <v/>
      </c>
      <c r="AK11" s="23" cm="1">
        <f t="array" ref="AK11">_xlfn.IFS($AG11="","",AND($AP11&lt;=12,$AP11&gt;10,$AJ11=""),TIME(0,35,0),OR(AND($AP11&lt;=10,$AP11&gt;5),$AJ11&lt;&gt;""),TIME(0,20,0),$AP11&gt;12,TIME(0,20,0),$AP11&lt;=5,TIME(0,10,0))</f>
        <v>2.4305555555555556E-2</v>
      </c>
      <c r="AL11" s="23">
        <f t="shared" si="4"/>
        <v>6.9444444444444441E-3</v>
      </c>
      <c r="AM11" s="23"/>
      <c r="AN11" s="23"/>
      <c r="AO11" s="30"/>
      <c r="AP11" s="24">
        <f t="shared" si="5"/>
        <v>11.999999999999998</v>
      </c>
      <c r="AQ11" s="23">
        <f t="shared" si="6"/>
        <v>7.2916666666666671E-2</v>
      </c>
      <c r="AR11" s="25">
        <f t="shared" si="7"/>
        <v>407.99999999999994</v>
      </c>
      <c r="AS11" s="25">
        <f t="shared" si="8"/>
        <v>348.49999999999994</v>
      </c>
      <c r="AT11" s="16"/>
      <c r="AU11" s="16" t="str">
        <f t="shared" si="9"/>
        <v/>
      </c>
      <c r="AV11" s="14"/>
      <c r="AW11" s="30"/>
      <c r="AX11" s="79"/>
    </row>
    <row r="12" spans="2:53" ht="15" customHeight="1" x14ac:dyDescent="0.3">
      <c r="B12" s="77">
        <v>46027</v>
      </c>
      <c r="C12" s="21">
        <f t="shared" si="1"/>
        <v>1</v>
      </c>
      <c r="D12" s="18" t="str">
        <f t="shared" si="2"/>
        <v>PUcanh</v>
      </c>
      <c r="E12" s="14"/>
      <c r="F12" s="14">
        <v>55</v>
      </c>
      <c r="G12" s="14"/>
      <c r="H12" s="14"/>
      <c r="I12" s="14">
        <v>7</v>
      </c>
      <c r="J12" s="14"/>
      <c r="K12" s="14">
        <v>12</v>
      </c>
      <c r="L12" s="14">
        <v>61</v>
      </c>
      <c r="M12" s="14"/>
      <c r="N12" s="14"/>
      <c r="O12" s="14">
        <v>247</v>
      </c>
      <c r="P12" s="14"/>
      <c r="Q12" s="14"/>
      <c r="R12" s="14"/>
      <c r="S12" s="14"/>
      <c r="T12" s="14">
        <v>49</v>
      </c>
      <c r="U12" s="14"/>
      <c r="V12" s="14"/>
      <c r="W12" s="14"/>
      <c r="X12" s="14"/>
      <c r="Y12" s="14"/>
      <c r="Z12" s="14"/>
      <c r="AA12" s="14">
        <f>97+156</f>
        <v>253</v>
      </c>
      <c r="AB12" s="14"/>
      <c r="AC12" s="14"/>
      <c r="AD12" s="14"/>
      <c r="AE12" s="22">
        <f t="shared" si="3"/>
        <v>684</v>
      </c>
      <c r="AF12" s="31">
        <f>20+12+6</f>
        <v>38</v>
      </c>
      <c r="AG12" s="23">
        <v>0.29166666666666669</v>
      </c>
      <c r="AH12" s="23">
        <v>0.79166666666666663</v>
      </c>
      <c r="AI12" s="23" cm="1">
        <f t="array" ref="AI12">_xlfn.IFS($AG12="","",$AP12&gt;=8,TIME(1,0,0),$AP12&lt;=5,"")</f>
        <v>4.1666666666666664E-2</v>
      </c>
      <c r="AJ12" s="23" t="str" cm="1">
        <f t="array" ref="AJ12">IFERROR(_xlfn.IFS($AG12="","",AND($AP12&gt;12,$AG12&lt;TIME(10,0,0)),TIME(1,0,0),AND($AP12=12,$AG12&gt;=TIME(10,0,0),$AG12&lt;TIME(19,0,0)),TIME(0,30,0),AND($AP12=12,$AG12&gt;=TIME(19,0,0)),""),"")</f>
        <v/>
      </c>
      <c r="AK12" s="23" cm="1">
        <f t="array" ref="AK12">_xlfn.IFS($AG12="","",AND($AP12&lt;=12,$AP12&gt;10,$AJ12=""),TIME(0,35,0),OR(AND($AP12&lt;=10,$AP12&gt;5),$AJ12&lt;&gt;""),TIME(0,20,0),$AP12&gt;12,TIME(0,20,0),$AP12&lt;=5,TIME(0,10,0))</f>
        <v>2.4305555555555556E-2</v>
      </c>
      <c r="AL12" s="23">
        <f t="shared" si="4"/>
        <v>6.9444444444444441E-3</v>
      </c>
      <c r="AM12" s="23"/>
      <c r="AN12" s="23"/>
      <c r="AO12" s="30"/>
      <c r="AP12" s="24">
        <f t="shared" si="5"/>
        <v>11.999999999999998</v>
      </c>
      <c r="AQ12" s="23">
        <f t="shared" si="6"/>
        <v>7.2916666666666671E-2</v>
      </c>
      <c r="AR12" s="25">
        <f t="shared" si="7"/>
        <v>455.99999999999994</v>
      </c>
      <c r="AS12" s="25">
        <f t="shared" si="8"/>
        <v>389.49999999999994</v>
      </c>
      <c r="AT12" s="16">
        <f>IF(OR($AE12=0,$AF12="",$AR12=""),"",SUM($AR12:$AR13)/SUM($AE12:$AE13))</f>
        <v>0.70736842105263142</v>
      </c>
      <c r="AU12" s="16">
        <f t="shared" si="9"/>
        <v>1.4136904761904765</v>
      </c>
      <c r="AV12" s="14"/>
      <c r="AW12" s="30"/>
      <c r="AX12" s="79"/>
    </row>
    <row r="13" spans="2:53" ht="15" customHeight="1" x14ac:dyDescent="0.3">
      <c r="B13" s="77">
        <v>46027</v>
      </c>
      <c r="C13" s="21">
        <f t="shared" si="1"/>
        <v>1</v>
      </c>
      <c r="D13" s="18" t="str">
        <f t="shared" si="2"/>
        <v>PUcanh</v>
      </c>
      <c r="E13" s="14"/>
      <c r="F13" s="14">
        <v>48</v>
      </c>
      <c r="G13" s="14"/>
      <c r="H13" s="14"/>
      <c r="I13" s="14"/>
      <c r="J13" s="14"/>
      <c r="K13" s="14"/>
      <c r="L13" s="14">
        <v>99</v>
      </c>
      <c r="M13" s="14"/>
      <c r="N13" s="14"/>
      <c r="O13" s="14">
        <v>249</v>
      </c>
      <c r="P13" s="14"/>
      <c r="Q13" s="14"/>
      <c r="R13" s="14"/>
      <c r="S13" s="14"/>
      <c r="T13" s="14">
        <v>47</v>
      </c>
      <c r="U13" s="14"/>
      <c r="V13" s="14"/>
      <c r="W13" s="14"/>
      <c r="X13" s="14"/>
      <c r="Y13" s="14"/>
      <c r="Z13" s="14"/>
      <c r="AA13" s="14">
        <v>298</v>
      </c>
      <c r="AB13" s="14"/>
      <c r="AC13" s="14"/>
      <c r="AD13" s="14"/>
      <c r="AE13" s="22">
        <f t="shared" si="3"/>
        <v>741</v>
      </c>
      <c r="AF13" s="31">
        <f>23+10+13</f>
        <v>46</v>
      </c>
      <c r="AG13" s="23">
        <v>0.79166666666666663</v>
      </c>
      <c r="AH13" s="23">
        <v>0.29166666666666669</v>
      </c>
      <c r="AI13" s="23" cm="1">
        <f t="array" ref="AI13">_xlfn.IFS($AG13="","",$AP13&gt;=8,TIME(1,0,0),$AP13&lt;=5,"")</f>
        <v>4.1666666666666664E-2</v>
      </c>
      <c r="AJ13" s="23" t="str" cm="1">
        <f t="array" ref="AJ13">IFERROR(_xlfn.IFS($AG13="","",AND($AP13&gt;12,$AG13&lt;TIME(10,0,0)),TIME(1,0,0),AND($AP13=12,$AG13&gt;=TIME(10,0,0),$AG13&lt;TIME(19,0,0)),TIME(0,30,0),AND($AP13=12,$AG13&gt;=TIME(19,0,0)),""),"")</f>
        <v/>
      </c>
      <c r="AK13" s="23" cm="1">
        <f t="array" ref="AK13">_xlfn.IFS($AG13="","",AND($AP13&lt;=12,$AP13&gt;10,$AJ13=""),TIME(0,35,0),OR(AND($AP13&lt;=10,$AP13&gt;5),$AJ13&lt;&gt;""),TIME(0,20,0),$AP13&gt;12,TIME(0,20,0),$AP13&lt;=5,TIME(0,10,0))</f>
        <v>2.4305555555555556E-2</v>
      </c>
      <c r="AL13" s="23">
        <f t="shared" si="4"/>
        <v>6.9444444444444441E-3</v>
      </c>
      <c r="AM13" s="23"/>
      <c r="AN13" s="23"/>
      <c r="AO13" s="30"/>
      <c r="AP13" s="24">
        <f t="shared" si="5"/>
        <v>11.999999999999998</v>
      </c>
      <c r="AQ13" s="23">
        <f t="shared" si="6"/>
        <v>7.2916666666666671E-2</v>
      </c>
      <c r="AR13" s="25">
        <f t="shared" si="7"/>
        <v>551.99999999999989</v>
      </c>
      <c r="AS13" s="25">
        <f t="shared" si="8"/>
        <v>471.49999999999994</v>
      </c>
      <c r="AT13" s="16"/>
      <c r="AU13" s="16" t="str">
        <f t="shared" si="9"/>
        <v/>
      </c>
      <c r="AV13" s="14"/>
      <c r="AW13" s="30"/>
      <c r="AX13" s="79"/>
    </row>
    <row r="14" spans="2:53" ht="15" customHeight="1" x14ac:dyDescent="0.3">
      <c r="B14" s="78">
        <v>46028</v>
      </c>
      <c r="C14" s="21">
        <f t="shared" si="1"/>
        <v>1</v>
      </c>
      <c r="D14" s="18" t="str">
        <f t="shared" si="2"/>
        <v>PUcanh</v>
      </c>
      <c r="E14" s="14"/>
      <c r="F14" s="14">
        <v>36</v>
      </c>
      <c r="G14" s="14"/>
      <c r="H14" s="14"/>
      <c r="I14" s="14">
        <v>60</v>
      </c>
      <c r="J14" s="14">
        <v>9</v>
      </c>
      <c r="K14" s="14"/>
      <c r="L14" s="14">
        <v>25</v>
      </c>
      <c r="M14" s="14"/>
      <c r="N14" s="14">
        <v>45</v>
      </c>
      <c r="O14" s="14">
        <v>216</v>
      </c>
      <c r="P14" s="14">
        <v>34</v>
      </c>
      <c r="Q14" s="14"/>
      <c r="R14" s="14"/>
      <c r="S14" s="14"/>
      <c r="T14" s="14">
        <v>57</v>
      </c>
      <c r="U14" s="14"/>
      <c r="V14" s="14"/>
      <c r="W14" s="14"/>
      <c r="X14" s="14">
        <v>2</v>
      </c>
      <c r="Y14" s="14"/>
      <c r="Z14" s="14"/>
      <c r="AA14" s="14">
        <v>209</v>
      </c>
      <c r="AB14" s="14"/>
      <c r="AC14" s="14"/>
      <c r="AD14" s="14"/>
      <c r="AE14" s="22">
        <f t="shared" si="3"/>
        <v>693</v>
      </c>
      <c r="AF14" s="31">
        <f>20+9+9</f>
        <v>38</v>
      </c>
      <c r="AG14" s="23">
        <v>0.29166666666666669</v>
      </c>
      <c r="AH14" s="23">
        <v>0.79166666666666663</v>
      </c>
      <c r="AI14" s="23" cm="1">
        <f t="array" ref="AI14">_xlfn.IFS($AG14="","",$AP14&gt;=8,TIME(1,0,0),$AP14&lt;=5,"")</f>
        <v>4.1666666666666664E-2</v>
      </c>
      <c r="AJ14" s="23" t="str" cm="1">
        <f t="array" ref="AJ14">IFERROR(_xlfn.IFS($AG14="","",AND($AP14&gt;12,$AG14&lt;TIME(10,0,0)),TIME(1,0,0),AND($AP14=12,$AG14&gt;=TIME(10,0,0),$AG14&lt;TIME(19,0,0)),TIME(0,30,0),AND($AP14=12,$AG14&gt;=TIME(19,0,0)),""),"")</f>
        <v/>
      </c>
      <c r="AK14" s="23" cm="1">
        <f t="array" ref="AK14">_xlfn.IFS($AG14="","",AND($AP14&lt;=12,$AP14&gt;10,$AJ14=""),TIME(0,35,0),OR(AND($AP14&lt;=10,$AP14&gt;5),$AJ14&lt;&gt;""),TIME(0,20,0),$AP14&gt;12,TIME(0,20,0),$AP14&lt;=5,TIME(0,10,0))</f>
        <v>2.4305555555555556E-2</v>
      </c>
      <c r="AL14" s="23">
        <f t="shared" si="4"/>
        <v>6.9444444444444441E-3</v>
      </c>
      <c r="AM14" s="23"/>
      <c r="AN14" s="23">
        <v>2.7777777777777776E-2</v>
      </c>
      <c r="AO14" s="23">
        <v>0.1875</v>
      </c>
      <c r="AP14" s="24">
        <f t="shared" si="5"/>
        <v>11.999999999999998</v>
      </c>
      <c r="AQ14" s="23">
        <f t="shared" si="6"/>
        <v>7.2916666666666671E-2</v>
      </c>
      <c r="AR14" s="25">
        <f t="shared" si="7"/>
        <v>455.99999999999994</v>
      </c>
      <c r="AS14" s="25">
        <f t="shared" si="8"/>
        <v>364.16666666666663</v>
      </c>
      <c r="AT14" s="16">
        <f>IF(OR($AE14=0,$AF14="",$AR14=""),"",SUM($AR14:$AR15)/SUM($AE14:$AE15))</f>
        <v>0.76135544340302796</v>
      </c>
      <c r="AU14" s="16">
        <f t="shared" si="9"/>
        <v>1.3134469696969699</v>
      </c>
      <c r="AV14" s="14"/>
      <c r="AW14" s="30"/>
      <c r="AX14" s="79" t="s">
        <v>47</v>
      </c>
    </row>
    <row r="15" spans="2:53" ht="15" customHeight="1" x14ac:dyDescent="0.3">
      <c r="B15" s="78">
        <v>46028</v>
      </c>
      <c r="C15" s="21">
        <f t="shared" si="1"/>
        <v>1</v>
      </c>
      <c r="D15" s="18" t="str">
        <f t="shared" si="2"/>
        <v>PUcanh</v>
      </c>
      <c r="E15" s="14"/>
      <c r="F15" s="14">
        <v>28</v>
      </c>
      <c r="G15" s="14"/>
      <c r="H15" s="14"/>
      <c r="I15" s="14"/>
      <c r="J15" s="14">
        <v>15</v>
      </c>
      <c r="K15" s="14"/>
      <c r="L15" s="14"/>
      <c r="M15" s="14"/>
      <c r="N15" s="14">
        <v>114</v>
      </c>
      <c r="O15" s="14">
        <v>76</v>
      </c>
      <c r="P15" s="14">
        <v>110</v>
      </c>
      <c r="Q15" s="14"/>
      <c r="R15" s="14"/>
      <c r="S15" s="14"/>
      <c r="T15" s="14">
        <v>38</v>
      </c>
      <c r="U15" s="14"/>
      <c r="V15" s="14"/>
      <c r="W15" s="14"/>
      <c r="X15" s="14"/>
      <c r="Y15" s="14"/>
      <c r="Z15" s="14"/>
      <c r="AA15" s="14">
        <v>294</v>
      </c>
      <c r="AB15" s="14"/>
      <c r="AC15" s="14">
        <v>19</v>
      </c>
      <c r="AD15" s="14"/>
      <c r="AE15" s="22">
        <f t="shared" si="3"/>
        <v>694</v>
      </c>
      <c r="AF15" s="31">
        <f>24+13+13</f>
        <v>50</v>
      </c>
      <c r="AG15" s="23">
        <v>0.79166666666666663</v>
      </c>
      <c r="AH15" s="23">
        <v>0.29166666666666669</v>
      </c>
      <c r="AI15" s="23" cm="1">
        <f t="array" ref="AI15">_xlfn.IFS($AG15="","",$AP15&gt;=8,TIME(1,0,0),$AP15&lt;=5,"")</f>
        <v>4.1666666666666664E-2</v>
      </c>
      <c r="AJ15" s="23" t="str" cm="1">
        <f t="array" ref="AJ15">IFERROR(_xlfn.IFS($AG15="","",AND($AP15&gt;12,$AG15&lt;TIME(10,0,0)),TIME(1,0,0),AND($AP15=12,$AG15&gt;=TIME(10,0,0),$AG15&lt;TIME(19,0,0)),TIME(0,30,0),AND($AP15=12,$AG15&gt;=TIME(19,0,0)),""),"")</f>
        <v/>
      </c>
      <c r="AK15" s="23" cm="1">
        <f t="array" ref="AK15">_xlfn.IFS($AG15="","",AND($AP15&lt;=12,$AP15&gt;10,$AJ15=""),TIME(0,35,0),OR(AND($AP15&lt;=10,$AP15&gt;5),$AJ15&lt;&gt;""),TIME(0,20,0),$AP15&gt;12,TIME(0,20,0),$AP15&lt;=5,TIME(0,10,0))</f>
        <v>2.4305555555555556E-2</v>
      </c>
      <c r="AL15" s="23">
        <f t="shared" si="4"/>
        <v>6.9444444444444441E-3</v>
      </c>
      <c r="AM15" s="23"/>
      <c r="AN15" s="23">
        <v>6.25E-2</v>
      </c>
      <c r="AO15" s="23">
        <v>7.6388888888888895E-2</v>
      </c>
      <c r="AP15" s="24">
        <f t="shared" si="5"/>
        <v>11.999999999999998</v>
      </c>
      <c r="AQ15" s="23">
        <f t="shared" si="6"/>
        <v>7.2916666666666671E-2</v>
      </c>
      <c r="AR15" s="25">
        <f t="shared" si="7"/>
        <v>599.99999999999989</v>
      </c>
      <c r="AS15" s="25">
        <f t="shared" si="8"/>
        <v>437.49999999999989</v>
      </c>
      <c r="AT15" s="16"/>
      <c r="AU15" s="16" t="str">
        <f t="shared" si="9"/>
        <v/>
      </c>
      <c r="AV15" s="14"/>
      <c r="AW15" s="30"/>
      <c r="AX15" s="79" t="s">
        <v>48</v>
      </c>
    </row>
    <row r="16" spans="2:53" ht="15" customHeight="1" x14ac:dyDescent="0.3">
      <c r="B16" s="77">
        <v>46029</v>
      </c>
      <c r="C16" s="21">
        <f t="shared" si="1"/>
        <v>1</v>
      </c>
      <c r="D16" s="18" t="str">
        <f t="shared" si="2"/>
        <v>PUcanh</v>
      </c>
      <c r="E16" s="14"/>
      <c r="F16" s="14">
        <v>48</v>
      </c>
      <c r="G16" s="14"/>
      <c r="H16" s="14">
        <v>14</v>
      </c>
      <c r="I16" s="14"/>
      <c r="J16" s="14">
        <v>12</v>
      </c>
      <c r="K16" s="14"/>
      <c r="L16" s="14"/>
      <c r="M16" s="14"/>
      <c r="N16" s="14">
        <v>36</v>
      </c>
      <c r="O16" s="14">
        <v>123</v>
      </c>
      <c r="P16" s="14">
        <v>131</v>
      </c>
      <c r="Q16" s="14"/>
      <c r="R16" s="14"/>
      <c r="S16" s="14"/>
      <c r="T16" s="14">
        <v>61</v>
      </c>
      <c r="U16" s="14"/>
      <c r="V16" s="14"/>
      <c r="W16" s="14"/>
      <c r="X16" s="14"/>
      <c r="Y16" s="14"/>
      <c r="Z16" s="14"/>
      <c r="AA16" s="14">
        <v>249</v>
      </c>
      <c r="AB16" s="14"/>
      <c r="AC16" s="14">
        <v>34</v>
      </c>
      <c r="AD16" s="14"/>
      <c r="AE16" s="22">
        <f t="shared" si="3"/>
        <v>708</v>
      </c>
      <c r="AF16" s="31">
        <f>19+13+10</f>
        <v>42</v>
      </c>
      <c r="AG16" s="23">
        <v>0.29166666666666669</v>
      </c>
      <c r="AH16" s="23">
        <v>0.79166666666666663</v>
      </c>
      <c r="AI16" s="23" cm="1">
        <f t="array" ref="AI16">_xlfn.IFS($AG16="","",$AP16&gt;=8,TIME(1,0,0),$AP16&lt;=5,"")</f>
        <v>4.1666666666666664E-2</v>
      </c>
      <c r="AJ16" s="23" t="str" cm="1">
        <f t="array" ref="AJ16">IFERROR(_xlfn.IFS($AG16="","",AND($AP16&gt;12,$AG16&lt;TIME(10,0,0)),TIME(1,0,0),AND($AP16=12,$AG16&gt;=TIME(10,0,0),$AG16&lt;TIME(19,0,0)),TIME(0,30,0),AND($AP16=12,$AG16&gt;=TIME(19,0,0)),""),"")</f>
        <v/>
      </c>
      <c r="AK16" s="23" cm="1">
        <f t="array" ref="AK16">_xlfn.IFS($AG16="","",AND($AP16&lt;=12,$AP16&gt;10,$AJ16=""),TIME(0,35,0),OR(AND($AP16&lt;=10,$AP16&gt;5),$AJ16&lt;&gt;""),TIME(0,20,0),$AP16&gt;12,TIME(0,20,0),$AP16&lt;=5,TIME(0,10,0))</f>
        <v>2.4305555555555556E-2</v>
      </c>
      <c r="AL16" s="23">
        <f t="shared" si="4"/>
        <v>6.9444444444444441E-3</v>
      </c>
      <c r="AM16" s="23">
        <v>3.4722222222222224E-2</v>
      </c>
      <c r="AN16" s="23"/>
      <c r="AO16" s="23">
        <v>0.10416666666666667</v>
      </c>
      <c r="AP16" s="24">
        <f t="shared" si="5"/>
        <v>11.999999999999998</v>
      </c>
      <c r="AQ16" s="23">
        <f t="shared" si="6"/>
        <v>7.2916666666666671E-2</v>
      </c>
      <c r="AR16" s="25">
        <f t="shared" si="7"/>
        <v>503.99999999999994</v>
      </c>
      <c r="AS16" s="25">
        <f t="shared" si="8"/>
        <v>395.49999999999989</v>
      </c>
      <c r="AT16" s="16">
        <f>IF(OR($AE16=0,$AF16="",$AR16=""),"",SUM($AR16:$AR17)/SUM($AE16:$AE17))</f>
        <v>0.73220338983050837</v>
      </c>
      <c r="AU16" s="16">
        <f t="shared" si="9"/>
        <v>1.3657407407407409</v>
      </c>
      <c r="AV16" s="14"/>
      <c r="AW16" s="30"/>
      <c r="AX16" s="79" t="s">
        <v>49</v>
      </c>
    </row>
    <row r="17" spans="2:50" ht="15" customHeight="1" x14ac:dyDescent="0.3">
      <c r="B17" s="77">
        <v>46029</v>
      </c>
      <c r="C17" s="21">
        <f t="shared" si="1"/>
        <v>1</v>
      </c>
      <c r="D17" s="18" t="str">
        <f t="shared" si="2"/>
        <v>PUcanh</v>
      </c>
      <c r="E17" s="14"/>
      <c r="F17" s="14">
        <v>49</v>
      </c>
      <c r="G17" s="14"/>
      <c r="H17" s="14">
        <v>94</v>
      </c>
      <c r="I17" s="14"/>
      <c r="J17" s="14"/>
      <c r="K17" s="14"/>
      <c r="L17" s="14"/>
      <c r="M17" s="14"/>
      <c r="N17" s="14">
        <v>75</v>
      </c>
      <c r="O17" s="14"/>
      <c r="P17" s="14">
        <v>117</v>
      </c>
      <c r="Q17" s="14"/>
      <c r="R17" s="14"/>
      <c r="S17" s="14">
        <v>20</v>
      </c>
      <c r="T17" s="14">
        <v>43</v>
      </c>
      <c r="U17" s="14"/>
      <c r="V17" s="14"/>
      <c r="W17" s="14"/>
      <c r="X17" s="14"/>
      <c r="Y17" s="14"/>
      <c r="Z17" s="14"/>
      <c r="AA17" s="14">
        <f>111+204</f>
        <v>315</v>
      </c>
      <c r="AB17" s="14"/>
      <c r="AC17" s="14">
        <v>54</v>
      </c>
      <c r="AD17" s="14"/>
      <c r="AE17" s="22">
        <f t="shared" si="3"/>
        <v>767</v>
      </c>
      <c r="AF17" s="31">
        <f>26+9+13</f>
        <v>48</v>
      </c>
      <c r="AG17" s="23">
        <v>0.79166666666666663</v>
      </c>
      <c r="AH17" s="23">
        <v>0.29166666666666669</v>
      </c>
      <c r="AI17" s="23" cm="1">
        <f t="array" ref="AI17">_xlfn.IFS($AG17="","",$AP17&gt;=8,TIME(1,0,0),$AP17&lt;=5,"")</f>
        <v>4.1666666666666664E-2</v>
      </c>
      <c r="AJ17" s="23" t="str" cm="1">
        <f t="array" ref="AJ17">IFERROR(_xlfn.IFS($AG17="","",AND($AP17&gt;12,$AG17&lt;TIME(10,0,0)),TIME(1,0,0),AND($AP17=12,$AG17&gt;=TIME(10,0,0),$AG17&lt;TIME(19,0,0)),TIME(0,30,0),AND($AP17=12,$AG17&gt;=TIME(19,0,0)),""),"")</f>
        <v/>
      </c>
      <c r="AK17" s="23" cm="1">
        <f t="array" ref="AK17">_xlfn.IFS($AG17="","",AND($AP17&lt;=12,$AP17&gt;10,$AJ17=""),TIME(0,35,0),OR(AND($AP17&lt;=10,$AP17&gt;5),$AJ17&lt;&gt;""),TIME(0,20,0),$AP17&gt;12,TIME(0,20,0),$AP17&lt;=5,TIME(0,10,0))</f>
        <v>2.4305555555555556E-2</v>
      </c>
      <c r="AL17" s="23">
        <f t="shared" si="4"/>
        <v>6.9444444444444441E-3</v>
      </c>
      <c r="AM17" s="23"/>
      <c r="AN17" s="23"/>
      <c r="AO17" s="30"/>
      <c r="AP17" s="24">
        <f t="shared" si="5"/>
        <v>11.999999999999998</v>
      </c>
      <c r="AQ17" s="23">
        <f t="shared" si="6"/>
        <v>7.2916666666666671E-2</v>
      </c>
      <c r="AR17" s="25">
        <f t="shared" si="7"/>
        <v>575.99999999999989</v>
      </c>
      <c r="AS17" s="25">
        <f t="shared" si="8"/>
        <v>491.99999999999989</v>
      </c>
      <c r="AT17" s="16"/>
      <c r="AU17" s="16" t="str">
        <f t="shared" si="9"/>
        <v/>
      </c>
      <c r="AV17" s="14"/>
      <c r="AW17" s="30"/>
      <c r="AX17" s="79"/>
    </row>
    <row r="18" spans="2:50" ht="15" customHeight="1" x14ac:dyDescent="0.3">
      <c r="B18" s="78">
        <v>46030</v>
      </c>
      <c r="C18" s="21">
        <f t="shared" si="1"/>
        <v>1</v>
      </c>
      <c r="D18" s="18" t="str">
        <f t="shared" si="2"/>
        <v>PUcanh</v>
      </c>
      <c r="E18" s="14"/>
      <c r="F18" s="14">
        <v>2</v>
      </c>
      <c r="G18" s="14"/>
      <c r="H18" s="14">
        <v>38</v>
      </c>
      <c r="I18" s="14"/>
      <c r="J18" s="14">
        <v>2</v>
      </c>
      <c r="K18" s="14"/>
      <c r="L18" s="14"/>
      <c r="M18" s="14"/>
      <c r="N18" s="14">
        <v>50</v>
      </c>
      <c r="O18" s="14">
        <v>10</v>
      </c>
      <c r="P18" s="14">
        <v>139</v>
      </c>
      <c r="Q18" s="14"/>
      <c r="R18" s="14"/>
      <c r="S18" s="14">
        <v>93</v>
      </c>
      <c r="T18" s="14">
        <v>33</v>
      </c>
      <c r="U18" s="14"/>
      <c r="V18" s="14"/>
      <c r="W18" s="14"/>
      <c r="X18" s="14"/>
      <c r="Y18" s="14"/>
      <c r="Z18" s="14"/>
      <c r="AA18" s="14">
        <v>294</v>
      </c>
      <c r="AB18" s="14"/>
      <c r="AC18" s="14">
        <v>44</v>
      </c>
      <c r="AD18" s="14"/>
      <c r="AE18" s="22">
        <f t="shared" si="3"/>
        <v>705</v>
      </c>
      <c r="AF18" s="31">
        <f>19+14+10</f>
        <v>43</v>
      </c>
      <c r="AG18" s="23">
        <v>0.29166666666666669</v>
      </c>
      <c r="AH18" s="23">
        <v>0.79166666666666663</v>
      </c>
      <c r="AI18" s="23" cm="1">
        <f t="array" ref="AI18">_xlfn.IFS($AG18="","",$AP18&gt;=8,TIME(1,0,0),$AP18&lt;=5,"")</f>
        <v>4.1666666666666664E-2</v>
      </c>
      <c r="AJ18" s="23" t="str" cm="1">
        <f t="array" ref="AJ18">IFERROR(_xlfn.IFS($AG18="","",AND($AP18&gt;12,$AG18&lt;TIME(10,0,0)),TIME(1,0,0),AND($AP18=12,$AG18&gt;=TIME(10,0,0),$AG18&lt;TIME(19,0,0)),TIME(0,30,0),AND($AP18=12,$AG18&gt;=TIME(19,0,0)),""),"")</f>
        <v/>
      </c>
      <c r="AK18" s="23" cm="1">
        <f t="array" ref="AK18">_xlfn.IFS($AG18="","",AND($AP18&lt;=12,$AP18&gt;10,$AJ18=""),TIME(0,35,0),OR(AND($AP18&lt;=10,$AP18&gt;5),$AJ18&lt;&gt;""),TIME(0,20,0),$AP18&gt;12,TIME(0,20,0),$AP18&lt;=5,TIME(0,10,0))</f>
        <v>2.4305555555555556E-2</v>
      </c>
      <c r="AL18" s="23">
        <f t="shared" si="4"/>
        <v>6.9444444444444441E-3</v>
      </c>
      <c r="AM18" s="23">
        <v>1.3888888888888888E-2</v>
      </c>
      <c r="AN18" s="23"/>
      <c r="AO18" s="23">
        <v>8.3333333333333329E-2</v>
      </c>
      <c r="AP18" s="24">
        <f t="shared" si="5"/>
        <v>11.999999999999998</v>
      </c>
      <c r="AQ18" s="23">
        <f t="shared" si="6"/>
        <v>7.2916666666666671E-2</v>
      </c>
      <c r="AR18" s="25">
        <f t="shared" si="7"/>
        <v>515.99999999999989</v>
      </c>
      <c r="AS18" s="25">
        <f t="shared" si="8"/>
        <v>426.41666666666657</v>
      </c>
      <c r="AT18" s="16">
        <f>IF(OR($AE18=0,$AF18="",$AR18=""),"",SUM($AR18:$AR19)/SUM($AE18:$AE19))</f>
        <v>0.7317073170731706</v>
      </c>
      <c r="AU18" s="16">
        <f t="shared" si="9"/>
        <v>1.3666666666666669</v>
      </c>
      <c r="AV18" s="14"/>
      <c r="AW18" s="30"/>
      <c r="AX18" s="79" t="s">
        <v>50</v>
      </c>
    </row>
    <row r="19" spans="2:50" ht="15" customHeight="1" x14ac:dyDescent="0.3">
      <c r="B19" s="78">
        <v>46030</v>
      </c>
      <c r="C19" s="21">
        <f t="shared" si="1"/>
        <v>1</v>
      </c>
      <c r="D19" s="18" t="str">
        <f t="shared" si="2"/>
        <v>PUcanh</v>
      </c>
      <c r="E19" s="14"/>
      <c r="F19" s="14">
        <v>2</v>
      </c>
      <c r="G19" s="14"/>
      <c r="H19" s="14">
        <v>102</v>
      </c>
      <c r="I19" s="14"/>
      <c r="J19" s="14"/>
      <c r="K19" s="14"/>
      <c r="L19" s="14"/>
      <c r="M19" s="14"/>
      <c r="N19" s="14">
        <v>86</v>
      </c>
      <c r="O19" s="14"/>
      <c r="P19" s="14">
        <v>180</v>
      </c>
      <c r="Q19" s="14"/>
      <c r="R19" s="14"/>
      <c r="S19" s="14">
        <v>49</v>
      </c>
      <c r="T19" s="14">
        <v>9</v>
      </c>
      <c r="U19" s="14"/>
      <c r="V19" s="14"/>
      <c r="W19" s="14"/>
      <c r="X19" s="14"/>
      <c r="Y19" s="14"/>
      <c r="Z19" s="14"/>
      <c r="AA19" s="14">
        <v>328</v>
      </c>
      <c r="AB19" s="14"/>
      <c r="AC19" s="14">
        <v>15</v>
      </c>
      <c r="AD19" s="14"/>
      <c r="AE19" s="22">
        <f t="shared" si="3"/>
        <v>771</v>
      </c>
      <c r="AF19" s="31">
        <f>26+8+13</f>
        <v>47</v>
      </c>
      <c r="AG19" s="23">
        <v>0.79166666666666663</v>
      </c>
      <c r="AH19" s="23">
        <v>0.29166666666666669</v>
      </c>
      <c r="AI19" s="23" cm="1">
        <f t="array" ref="AI19">_xlfn.IFS($AG19="","",$AP19&gt;=8,TIME(1,0,0),$AP19&lt;=5,"")</f>
        <v>4.1666666666666664E-2</v>
      </c>
      <c r="AJ19" s="23" t="str" cm="1">
        <f t="array" ref="AJ19">IFERROR(_xlfn.IFS($AG19="","",AND($AP19&gt;12,$AG19&lt;TIME(10,0,0)),TIME(1,0,0),AND($AP19=12,$AG19&gt;=TIME(10,0,0),$AG19&lt;TIME(19,0,0)),TIME(0,30,0),AND($AP19=12,$AG19&gt;=TIME(19,0,0)),""),"")</f>
        <v/>
      </c>
      <c r="AK19" s="23" cm="1">
        <f t="array" ref="AK19">_xlfn.IFS($AG19="","",AND($AP19&lt;=12,$AP19&gt;10,$AJ19=""),TIME(0,35,0),OR(AND($AP19&lt;=10,$AP19&gt;5),$AJ19&lt;&gt;""),TIME(0,20,0),$AP19&gt;12,TIME(0,20,0),$AP19&lt;=5,TIME(0,10,0))</f>
        <v>2.4305555555555556E-2</v>
      </c>
      <c r="AL19" s="23">
        <f t="shared" si="4"/>
        <v>6.9444444444444441E-3</v>
      </c>
      <c r="AM19" s="23"/>
      <c r="AN19" s="23"/>
      <c r="AO19" s="30"/>
      <c r="AP19" s="24">
        <f t="shared" si="5"/>
        <v>11.999999999999998</v>
      </c>
      <c r="AQ19" s="23">
        <f t="shared" si="6"/>
        <v>7.2916666666666671E-2</v>
      </c>
      <c r="AR19" s="25">
        <f t="shared" si="7"/>
        <v>563.99999999999989</v>
      </c>
      <c r="AS19" s="25">
        <f t="shared" si="8"/>
        <v>481.74999999999994</v>
      </c>
      <c r="AT19" s="16"/>
      <c r="AU19" s="16" t="str">
        <f t="shared" si="9"/>
        <v/>
      </c>
      <c r="AV19" s="14"/>
      <c r="AW19" s="30"/>
      <c r="AX19" s="79"/>
    </row>
    <row r="20" spans="2:50" ht="15" customHeight="1" x14ac:dyDescent="0.3">
      <c r="B20" s="77">
        <v>46031</v>
      </c>
      <c r="C20" s="21">
        <f t="shared" si="1"/>
        <v>1</v>
      </c>
      <c r="D20" s="18" t="str">
        <f t="shared" si="2"/>
        <v>PUcanh</v>
      </c>
      <c r="E20" s="14"/>
      <c r="F20" s="14"/>
      <c r="G20" s="14"/>
      <c r="H20" s="14">
        <v>87</v>
      </c>
      <c r="I20" s="14"/>
      <c r="J20" s="14"/>
      <c r="K20" s="14"/>
      <c r="L20" s="14"/>
      <c r="M20" s="14"/>
      <c r="N20" s="14">
        <v>27</v>
      </c>
      <c r="O20" s="14"/>
      <c r="P20" s="14"/>
      <c r="Q20" s="14"/>
      <c r="R20" s="14"/>
      <c r="S20" s="14">
        <v>24</v>
      </c>
      <c r="T20" s="14"/>
      <c r="U20" s="14"/>
      <c r="V20" s="14"/>
      <c r="W20" s="14"/>
      <c r="X20" s="14"/>
      <c r="Y20" s="14"/>
      <c r="Z20" s="14"/>
      <c r="AA20" s="14">
        <v>324</v>
      </c>
      <c r="AB20" s="14"/>
      <c r="AC20" s="14">
        <v>13</v>
      </c>
      <c r="AD20" s="14"/>
      <c r="AE20" s="22">
        <f t="shared" si="3"/>
        <v>475</v>
      </c>
      <c r="AF20" s="31">
        <f>18+12+10</f>
        <v>40</v>
      </c>
      <c r="AG20" s="23">
        <v>0.29166666666666669</v>
      </c>
      <c r="AH20" s="23">
        <v>0.79166666666666663</v>
      </c>
      <c r="AI20" s="23" cm="1">
        <f t="array" ref="AI20">_xlfn.IFS($AG20="","",$AP20&gt;=8,TIME(1,0,0),$AP20&lt;=5,"")</f>
        <v>4.1666666666666664E-2</v>
      </c>
      <c r="AJ20" s="23" t="str" cm="1">
        <f t="array" ref="AJ20">IFERROR(_xlfn.IFS($AG20="","",AND($AP20&gt;12,$AG20&lt;TIME(10,0,0)),TIME(1,0,0),AND($AP20=12,$AG20&gt;=TIME(10,0,0),$AG20&lt;TIME(19,0,0)),TIME(0,30,0),AND($AP20=12,$AG20&gt;=TIME(19,0,0)),""),"")</f>
        <v/>
      </c>
      <c r="AK20" s="23" cm="1">
        <f t="array" ref="AK20">_xlfn.IFS($AG20="","",AND($AP20&lt;=12,$AP20&gt;10,$AJ20=""),TIME(0,35,0),OR(AND($AP20&lt;=10,$AP20&gt;5),$AJ20&lt;&gt;""),TIME(0,20,0),$AP20&gt;12,TIME(0,20,0),$AP20&lt;=5,TIME(0,10,0))</f>
        <v>2.4305555555555556E-2</v>
      </c>
      <c r="AL20" s="23">
        <f t="shared" si="4"/>
        <v>6.9444444444444441E-3</v>
      </c>
      <c r="AM20" s="23"/>
      <c r="AN20" s="23">
        <v>2.0833333333333332E-2</v>
      </c>
      <c r="AO20" s="23">
        <v>2.0833333333333332E-2</v>
      </c>
      <c r="AP20" s="24">
        <f t="shared" si="5"/>
        <v>11.999999999999998</v>
      </c>
      <c r="AQ20" s="23">
        <f t="shared" si="6"/>
        <v>7.2916666666666671E-2</v>
      </c>
      <c r="AR20" s="25">
        <f t="shared" si="7"/>
        <v>479.99999999999994</v>
      </c>
      <c r="AS20" s="25">
        <f t="shared" si="8"/>
        <v>389.99999999999994</v>
      </c>
      <c r="AT20" s="16">
        <f>IF(OR($AE20=0,$AF20="",$AR20=""),"",SUM($AR20:$AR21)/SUM($AE20:$AE21))</f>
        <v>0.96969696969696961</v>
      </c>
      <c r="AU20" s="16">
        <f t="shared" si="9"/>
        <v>1.03125</v>
      </c>
      <c r="AV20" s="14"/>
      <c r="AW20" s="30"/>
      <c r="AX20" s="79" t="s">
        <v>51</v>
      </c>
    </row>
    <row r="21" spans="2:50" ht="15" customHeight="1" x14ac:dyDescent="0.3">
      <c r="B21" s="77">
        <v>46031</v>
      </c>
      <c r="C21" s="21">
        <f t="shared" si="1"/>
        <v>1</v>
      </c>
      <c r="D21" s="18" t="str">
        <f t="shared" si="2"/>
        <v>PUcanh</v>
      </c>
      <c r="E21" s="14"/>
      <c r="F21" s="14">
        <v>24</v>
      </c>
      <c r="G21" s="14"/>
      <c r="H21" s="14">
        <v>79</v>
      </c>
      <c r="I21" s="14"/>
      <c r="J21" s="14"/>
      <c r="K21" s="14"/>
      <c r="L21" s="14"/>
      <c r="M21" s="14"/>
      <c r="N21" s="14">
        <v>75</v>
      </c>
      <c r="O21" s="14"/>
      <c r="P21" s="14"/>
      <c r="Q21" s="14"/>
      <c r="R21" s="14"/>
      <c r="S21" s="14">
        <v>43</v>
      </c>
      <c r="T21" s="14"/>
      <c r="U21" s="14"/>
      <c r="V21" s="14"/>
      <c r="W21" s="14"/>
      <c r="X21" s="14"/>
      <c r="Y21" s="14"/>
      <c r="Z21" s="14"/>
      <c r="AA21" s="14">
        <v>294</v>
      </c>
      <c r="AB21" s="14"/>
      <c r="AC21" s="14"/>
      <c r="AD21" s="14"/>
      <c r="AE21" s="22">
        <f t="shared" si="3"/>
        <v>515</v>
      </c>
      <c r="AF21" s="31">
        <f>21+7+12</f>
        <v>40</v>
      </c>
      <c r="AG21" s="23">
        <v>0.79166666666666663</v>
      </c>
      <c r="AH21" s="23">
        <v>0.29166666666666669</v>
      </c>
      <c r="AI21" s="23" cm="1">
        <f t="array" ref="AI21">_xlfn.IFS($AG21="","",$AP21&gt;=8,TIME(1,0,0),$AP21&lt;=5,"")</f>
        <v>4.1666666666666664E-2</v>
      </c>
      <c r="AJ21" s="23" t="str" cm="1">
        <f t="array" ref="AJ21">IFERROR(_xlfn.IFS($AG21="","",AND($AP21&gt;12,$AG21&lt;TIME(10,0,0)),TIME(1,0,0),AND($AP21=12,$AG21&gt;=TIME(10,0,0),$AG21&lt;TIME(19,0,0)),TIME(0,30,0),AND($AP21=12,$AG21&gt;=TIME(19,0,0)),""),"")</f>
        <v/>
      </c>
      <c r="AK21" s="23" cm="1">
        <f t="array" ref="AK21">_xlfn.IFS($AG21="","",AND($AP21&lt;=12,$AP21&gt;10,$AJ21=""),TIME(0,35,0),OR(AND($AP21&lt;=10,$AP21&gt;5),$AJ21&lt;&gt;""),TIME(0,20,0),$AP21&gt;12,TIME(0,20,0),$AP21&lt;=5,TIME(0,10,0))</f>
        <v>2.4305555555555556E-2</v>
      </c>
      <c r="AL21" s="23">
        <f t="shared" si="4"/>
        <v>6.9444444444444441E-3</v>
      </c>
      <c r="AM21" s="23"/>
      <c r="AN21" s="23"/>
      <c r="AO21" s="23">
        <v>9.7222222222222224E-2</v>
      </c>
      <c r="AP21" s="24">
        <f t="shared" si="5"/>
        <v>11.999999999999998</v>
      </c>
      <c r="AQ21" s="23">
        <f t="shared" si="6"/>
        <v>7.2916666666666671E-2</v>
      </c>
      <c r="AR21" s="25">
        <f t="shared" si="7"/>
        <v>479.99999999999994</v>
      </c>
      <c r="AS21" s="25">
        <f t="shared" si="8"/>
        <v>409.99999999999994</v>
      </c>
      <c r="AT21" s="16"/>
      <c r="AU21" s="16" t="str">
        <f t="shared" si="9"/>
        <v/>
      </c>
      <c r="AV21" s="14"/>
      <c r="AW21" s="30"/>
      <c r="AX21" s="79" t="s">
        <v>52</v>
      </c>
    </row>
    <row r="22" spans="2:50" ht="15" customHeight="1" x14ac:dyDescent="0.3">
      <c r="B22" s="78">
        <v>46032</v>
      </c>
      <c r="C22" s="21">
        <f t="shared" si="1"/>
        <v>1</v>
      </c>
      <c r="D22" s="18" t="str">
        <f t="shared" si="2"/>
        <v>PUcanh</v>
      </c>
      <c r="E22" s="14"/>
      <c r="F22" s="14"/>
      <c r="G22" s="14"/>
      <c r="H22" s="14">
        <v>69</v>
      </c>
      <c r="I22" s="14"/>
      <c r="J22" s="14"/>
      <c r="K22" s="14"/>
      <c r="L22" s="14"/>
      <c r="M22" s="14"/>
      <c r="N22" s="14">
        <v>57</v>
      </c>
      <c r="O22" s="14">
        <v>93</v>
      </c>
      <c r="P22" s="14">
        <v>21</v>
      </c>
      <c r="Q22" s="14"/>
      <c r="R22" s="14"/>
      <c r="S22" s="14">
        <v>29</v>
      </c>
      <c r="T22" s="14">
        <v>1</v>
      </c>
      <c r="U22" s="14"/>
      <c r="V22" s="14"/>
      <c r="W22" s="14"/>
      <c r="X22" s="14"/>
      <c r="Y22" s="14"/>
      <c r="Z22" s="14"/>
      <c r="AA22" s="14">
        <f>21+306</f>
        <v>327</v>
      </c>
      <c r="AB22" s="14"/>
      <c r="AC22" s="14">
        <v>3</v>
      </c>
      <c r="AD22" s="14"/>
      <c r="AE22" s="22">
        <f t="shared" si="3"/>
        <v>600</v>
      </c>
      <c r="AF22" s="31">
        <f>19+13+7+7</f>
        <v>46</v>
      </c>
      <c r="AG22" s="23">
        <v>0.29166666666666669</v>
      </c>
      <c r="AH22" s="23">
        <v>0.79166666666666663</v>
      </c>
      <c r="AI22" s="23" cm="1">
        <f t="array" ref="AI22">_xlfn.IFS($AG22="","",$AP22&gt;=8,TIME(1,0,0),$AP22&lt;=5,"")</f>
        <v>4.1666666666666664E-2</v>
      </c>
      <c r="AJ22" s="23" t="str" cm="1">
        <f t="array" ref="AJ22">IFERROR(_xlfn.IFS($AG22="","",AND($AP22&gt;12,$AG22&lt;TIME(10,0,0)),TIME(1,0,0),AND($AP22=12,$AG22&gt;=TIME(10,0,0),$AG22&lt;TIME(19,0,0)),TIME(0,30,0),AND($AP22=12,$AG22&gt;=TIME(19,0,0)),""),"")</f>
        <v/>
      </c>
      <c r="AK22" s="23" cm="1">
        <f t="array" ref="AK22">_xlfn.IFS($AG22="","",AND($AP22&lt;=12,$AP22&gt;10,$AJ22=""),TIME(0,35,0),OR(AND($AP22&lt;=10,$AP22&gt;5),$AJ22&lt;&gt;""),TIME(0,20,0),$AP22&gt;12,TIME(0,20,0),$AP22&lt;=5,TIME(0,10,0))</f>
        <v>2.4305555555555556E-2</v>
      </c>
      <c r="AL22" s="23">
        <f t="shared" si="4"/>
        <v>6.9444444444444441E-3</v>
      </c>
      <c r="AM22" s="23"/>
      <c r="AN22" s="23">
        <v>4.1666666666666664E-2</v>
      </c>
      <c r="AO22" s="23">
        <v>0.41666666666666669</v>
      </c>
      <c r="AP22" s="24">
        <f t="shared" si="5"/>
        <v>11.999999999999998</v>
      </c>
      <c r="AQ22" s="23">
        <f t="shared" si="6"/>
        <v>7.2916666666666671E-2</v>
      </c>
      <c r="AR22" s="25">
        <f t="shared" si="7"/>
        <v>551.99999999999989</v>
      </c>
      <c r="AS22" s="25">
        <f t="shared" si="8"/>
        <v>425.49999999999994</v>
      </c>
      <c r="AT22" s="16">
        <f>IF(OR($AE22=0,$AF22="",$AR22=""),"",SUM($AR22:$AR23)/SUM($AE22:$AE23))</f>
        <v>0.81516587677725105</v>
      </c>
      <c r="AU22" s="16">
        <f t="shared" si="9"/>
        <v>1.2267441860465118</v>
      </c>
      <c r="AV22" s="14"/>
      <c r="AW22" s="30"/>
      <c r="AX22" s="79" t="s">
        <v>53</v>
      </c>
    </row>
    <row r="23" spans="2:50" ht="15" customHeight="1" x14ac:dyDescent="0.3">
      <c r="B23" s="78">
        <v>46032</v>
      </c>
      <c r="C23" s="21">
        <f t="shared" si="1"/>
        <v>1</v>
      </c>
      <c r="D23" s="18" t="str">
        <f t="shared" si="2"/>
        <v>PUcanh</v>
      </c>
      <c r="E23" s="14"/>
      <c r="F23" s="14"/>
      <c r="G23" s="14"/>
      <c r="H23" s="14">
        <v>129</v>
      </c>
      <c r="I23" s="14"/>
      <c r="J23" s="14">
        <v>38</v>
      </c>
      <c r="K23" s="14"/>
      <c r="L23" s="14"/>
      <c r="M23" s="14"/>
      <c r="N23" s="14">
        <v>139</v>
      </c>
      <c r="O23" s="14">
        <v>24</v>
      </c>
      <c r="P23" s="14"/>
      <c r="Q23" s="14"/>
      <c r="R23" s="14"/>
      <c r="S23" s="14">
        <v>24</v>
      </c>
      <c r="T23" s="14">
        <v>22</v>
      </c>
      <c r="U23" s="14"/>
      <c r="V23" s="14"/>
      <c r="W23" s="14"/>
      <c r="X23" s="14"/>
      <c r="Y23" s="14"/>
      <c r="Z23" s="14"/>
      <c r="AA23" s="14">
        <v>290</v>
      </c>
      <c r="AB23" s="14"/>
      <c r="AC23" s="14"/>
      <c r="AD23" s="14"/>
      <c r="AE23" s="22">
        <f t="shared" si="3"/>
        <v>666</v>
      </c>
      <c r="AF23" s="31">
        <f>20+7+13</f>
        <v>40</v>
      </c>
      <c r="AG23" s="23">
        <v>0.79166666666666663</v>
      </c>
      <c r="AH23" s="23">
        <v>0.29166666666666669</v>
      </c>
      <c r="AI23" s="23" cm="1">
        <f t="array" ref="AI23">_xlfn.IFS($AG23="","",$AP23&gt;=8,TIME(1,0,0),$AP23&lt;=5,"")</f>
        <v>4.1666666666666664E-2</v>
      </c>
      <c r="AJ23" s="23" t="str" cm="1">
        <f t="array" ref="AJ23">IFERROR(_xlfn.IFS($AG23="","",AND($AP23&gt;12,$AG23&lt;TIME(10,0,0)),TIME(1,0,0),AND($AP23=12,$AG23&gt;=TIME(10,0,0),$AG23&lt;TIME(19,0,0)),TIME(0,30,0),AND($AP23=12,$AG23&gt;=TIME(19,0,0)),""),"")</f>
        <v/>
      </c>
      <c r="AK23" s="23" cm="1">
        <f t="array" ref="AK23">_xlfn.IFS($AG23="","",AND($AP23&lt;=12,$AP23&gt;10,$AJ23=""),TIME(0,35,0),OR(AND($AP23&lt;=10,$AP23&gt;5),$AJ23&lt;&gt;""),TIME(0,20,0),$AP23&gt;12,TIME(0,20,0),$AP23&lt;=5,TIME(0,10,0))</f>
        <v>2.4305555555555556E-2</v>
      </c>
      <c r="AL23" s="23">
        <f t="shared" si="4"/>
        <v>6.9444444444444441E-3</v>
      </c>
      <c r="AM23" s="23"/>
      <c r="AN23" s="23"/>
      <c r="AO23" s="30"/>
      <c r="AP23" s="24">
        <f t="shared" si="5"/>
        <v>11.999999999999998</v>
      </c>
      <c r="AQ23" s="23">
        <f t="shared" si="6"/>
        <v>7.2916666666666671E-2</v>
      </c>
      <c r="AR23" s="25">
        <f t="shared" si="7"/>
        <v>479.99999999999994</v>
      </c>
      <c r="AS23" s="25">
        <f t="shared" si="8"/>
        <v>409.99999999999994</v>
      </c>
      <c r="AT23" s="16"/>
      <c r="AU23" s="16" t="str">
        <f t="shared" si="9"/>
        <v/>
      </c>
      <c r="AV23" s="14"/>
      <c r="AW23" s="30"/>
      <c r="AX23" s="79"/>
    </row>
    <row r="24" spans="2:50" ht="15" customHeight="1" x14ac:dyDescent="0.3">
      <c r="B24" s="77">
        <v>46033</v>
      </c>
      <c r="C24" s="21">
        <f t="shared" si="1"/>
        <v>1</v>
      </c>
      <c r="D24" s="18" t="str">
        <f t="shared" si="2"/>
        <v>PUcanh</v>
      </c>
      <c r="E24" s="14"/>
      <c r="F24" s="14">
        <v>2</v>
      </c>
      <c r="G24" s="14"/>
      <c r="H24" s="14">
        <v>52</v>
      </c>
      <c r="I24" s="14"/>
      <c r="J24" s="14">
        <v>7</v>
      </c>
      <c r="K24" s="14"/>
      <c r="L24" s="14"/>
      <c r="M24" s="14"/>
      <c r="N24" s="14">
        <v>82</v>
      </c>
      <c r="O24" s="14"/>
      <c r="P24" s="14">
        <v>59</v>
      </c>
      <c r="Q24" s="14"/>
      <c r="R24" s="14"/>
      <c r="S24" s="14"/>
      <c r="T24" s="14">
        <v>37</v>
      </c>
      <c r="U24" s="14"/>
      <c r="V24" s="14"/>
      <c r="W24" s="14"/>
      <c r="X24" s="14"/>
      <c r="Y24" s="14"/>
      <c r="Z24" s="14"/>
      <c r="AA24" s="14">
        <v>234</v>
      </c>
      <c r="AB24" s="14"/>
      <c r="AC24" s="14">
        <v>46</v>
      </c>
      <c r="AD24" s="14"/>
      <c r="AE24" s="22">
        <f t="shared" si="3"/>
        <v>519</v>
      </c>
      <c r="AF24" s="31">
        <f>12+13+9+6</f>
        <v>40</v>
      </c>
      <c r="AG24" s="23">
        <v>0.29166666666666669</v>
      </c>
      <c r="AH24" s="23">
        <v>0.79166666666666663</v>
      </c>
      <c r="AI24" s="23" cm="1">
        <f t="array" ref="AI24">_xlfn.IFS($AG24="","",$AP24&gt;=8,TIME(1,0,0),$AP24&lt;=5,"")</f>
        <v>4.1666666666666664E-2</v>
      </c>
      <c r="AJ24" s="23" t="str" cm="1">
        <f t="array" ref="AJ24">IFERROR(_xlfn.IFS($AG24="","",AND($AP24&gt;12,$AG24&lt;TIME(10,0,0)),TIME(1,0,0),AND($AP24=12,$AG24&gt;=TIME(10,0,0),$AG24&lt;TIME(19,0,0)),TIME(0,30,0),AND($AP24=12,$AG24&gt;=TIME(19,0,0)),""),"")</f>
        <v/>
      </c>
      <c r="AK24" s="23" cm="1">
        <f t="array" ref="AK24">_xlfn.IFS($AG24="","",AND($AP24&lt;=12,$AP24&gt;10,$AJ24=""),TIME(0,35,0),OR(AND($AP24&lt;=10,$AP24&gt;5),$AJ24&lt;&gt;""),TIME(0,20,0),$AP24&gt;12,TIME(0,20,0),$AP24&lt;=5,TIME(0,10,0))</f>
        <v>2.4305555555555556E-2</v>
      </c>
      <c r="AL24" s="23">
        <f t="shared" si="4"/>
        <v>6.9444444444444441E-3</v>
      </c>
      <c r="AM24" s="23"/>
      <c r="AN24" s="23"/>
      <c r="AO24" s="30"/>
      <c r="AP24" s="24">
        <f t="shared" si="5"/>
        <v>11.999999999999998</v>
      </c>
      <c r="AQ24" s="23">
        <f t="shared" si="6"/>
        <v>7.2916666666666671E-2</v>
      </c>
      <c r="AR24" s="25">
        <f t="shared" si="7"/>
        <v>479.99999999999994</v>
      </c>
      <c r="AS24" s="25">
        <f t="shared" si="8"/>
        <v>409.99999999999994</v>
      </c>
      <c r="AT24" s="16">
        <f>IF(OR($AE24=0,$AF24="",$AR24=""),"",SUM($AR24:$AR25)/SUM($AE24:$AE25))</f>
        <v>0.87964989059080956</v>
      </c>
      <c r="AU24" s="16">
        <f t="shared" si="9"/>
        <v>1.1368159203980099</v>
      </c>
      <c r="AV24" s="14"/>
      <c r="AW24" s="30"/>
      <c r="AX24" s="79"/>
    </row>
    <row r="25" spans="2:50" ht="15" customHeight="1" x14ac:dyDescent="0.3">
      <c r="B25" s="77">
        <v>46033</v>
      </c>
      <c r="C25" s="21">
        <f t="shared" si="1"/>
        <v>1</v>
      </c>
      <c r="D25" s="18" t="str">
        <f t="shared" si="2"/>
        <v>PUcanh</v>
      </c>
      <c r="E25" s="14"/>
      <c r="F25" s="14"/>
      <c r="G25" s="14"/>
      <c r="H25" s="14">
        <v>94</v>
      </c>
      <c r="I25" s="14"/>
      <c r="J25" s="14">
        <v>26</v>
      </c>
      <c r="K25" s="14"/>
      <c r="L25" s="14"/>
      <c r="M25" s="14"/>
      <c r="N25" s="14">
        <v>23</v>
      </c>
      <c r="O25" s="14"/>
      <c r="P25" s="14"/>
      <c r="Q25" s="14"/>
      <c r="R25" s="14"/>
      <c r="S25" s="14"/>
      <c r="T25" s="14"/>
      <c r="U25" s="14"/>
      <c r="V25" s="14"/>
      <c r="W25" s="14"/>
      <c r="X25" s="14"/>
      <c r="Y25" s="14"/>
      <c r="Z25" s="14"/>
      <c r="AA25" s="14">
        <v>252</v>
      </c>
      <c r="AB25" s="14"/>
      <c r="AC25" s="14"/>
      <c r="AD25" s="14"/>
      <c r="AE25" s="22">
        <f t="shared" si="3"/>
        <v>395</v>
      </c>
      <c r="AF25" s="31">
        <f>17+3+7</f>
        <v>27</v>
      </c>
      <c r="AG25" s="23">
        <v>0.79166666666666663</v>
      </c>
      <c r="AH25" s="23">
        <v>0.29166666666666669</v>
      </c>
      <c r="AI25" s="23" cm="1">
        <f t="array" ref="AI25">_xlfn.IFS($AG25="","",$AP25&gt;=8,TIME(1,0,0),$AP25&lt;=5,"")</f>
        <v>4.1666666666666664E-2</v>
      </c>
      <c r="AJ25" s="23" t="str" cm="1">
        <f t="array" ref="AJ25">IFERROR(_xlfn.IFS($AG25="","",AND($AP25&gt;12,$AG25&lt;TIME(10,0,0)),TIME(1,0,0),AND($AP25=12,$AG25&gt;=TIME(10,0,0),$AG25&lt;TIME(19,0,0)),TIME(0,30,0),AND($AP25=12,$AG25&gt;=TIME(19,0,0)),""),"")</f>
        <v/>
      </c>
      <c r="AK25" s="23" cm="1">
        <f t="array" ref="AK25">_xlfn.IFS($AG25="","",AND($AP25&lt;=12,$AP25&gt;10,$AJ25=""),TIME(0,35,0),OR(AND($AP25&lt;=10,$AP25&gt;5),$AJ25&lt;&gt;""),TIME(0,20,0),$AP25&gt;12,TIME(0,20,0),$AP25&lt;=5,TIME(0,10,0))</f>
        <v>2.4305555555555556E-2</v>
      </c>
      <c r="AL25" s="23">
        <f t="shared" si="4"/>
        <v>6.9444444444444441E-3</v>
      </c>
      <c r="AM25" s="23"/>
      <c r="AN25" s="23"/>
      <c r="AO25" s="30"/>
      <c r="AP25" s="24">
        <f t="shared" si="5"/>
        <v>11.999999999999998</v>
      </c>
      <c r="AQ25" s="23">
        <f t="shared" si="6"/>
        <v>7.2916666666666671E-2</v>
      </c>
      <c r="AR25" s="25">
        <f t="shared" si="7"/>
        <v>323.99999999999994</v>
      </c>
      <c r="AS25" s="25">
        <f t="shared" si="8"/>
        <v>276.74999999999994</v>
      </c>
      <c r="AT25" s="16"/>
      <c r="AU25" s="16" t="str">
        <f t="shared" si="9"/>
        <v/>
      </c>
      <c r="AV25" s="14"/>
      <c r="AW25" s="30"/>
      <c r="AX25" s="79"/>
    </row>
    <row r="26" spans="2:50" ht="15" customHeight="1" x14ac:dyDescent="0.3">
      <c r="B26" s="78">
        <v>46034</v>
      </c>
      <c r="C26" s="21">
        <f t="shared" si="1"/>
        <v>1</v>
      </c>
      <c r="D26" s="18" t="str">
        <f t="shared" si="2"/>
        <v>PUcanh</v>
      </c>
      <c r="E26" s="14"/>
      <c r="F26" s="14"/>
      <c r="G26" s="14"/>
      <c r="H26" s="14">
        <v>44</v>
      </c>
      <c r="I26" s="14"/>
      <c r="J26" s="14">
        <v>8</v>
      </c>
      <c r="K26" s="14"/>
      <c r="L26" s="14"/>
      <c r="M26" s="14"/>
      <c r="N26" s="14">
        <v>29</v>
      </c>
      <c r="O26" s="14"/>
      <c r="P26" s="14">
        <v>134</v>
      </c>
      <c r="Q26" s="14"/>
      <c r="R26" s="14"/>
      <c r="S26" s="14">
        <v>47</v>
      </c>
      <c r="T26" s="14">
        <v>35</v>
      </c>
      <c r="U26" s="14"/>
      <c r="V26" s="14"/>
      <c r="W26" s="14"/>
      <c r="X26" s="14"/>
      <c r="Y26" s="14"/>
      <c r="Z26" s="14"/>
      <c r="AA26" s="14">
        <f>267+16/2</f>
        <v>275</v>
      </c>
      <c r="AB26" s="14"/>
      <c r="AC26" s="14"/>
      <c r="AD26" s="14"/>
      <c r="AE26" s="22">
        <f t="shared" si="3"/>
        <v>572</v>
      </c>
      <c r="AF26" s="31">
        <f>18+12+8</f>
        <v>38</v>
      </c>
      <c r="AG26" s="23">
        <v>0.29166666666666669</v>
      </c>
      <c r="AH26" s="23">
        <v>0.79166666666666663</v>
      </c>
      <c r="AI26" s="23" cm="1">
        <f t="array" ref="AI26">_xlfn.IFS($AG26="","",$AP26&gt;=8,TIME(1,0,0),$AP26&lt;=5,"")</f>
        <v>4.1666666666666664E-2</v>
      </c>
      <c r="AJ26" s="23" t="str" cm="1">
        <f t="array" ref="AJ26">IFERROR(_xlfn.IFS($AG26="","",AND($AP26&gt;12,$AG26&lt;TIME(10,0,0)),TIME(1,0,0),AND($AP26=12,$AG26&gt;=TIME(10,0,0),$AG26&lt;TIME(19,0,0)),TIME(0,30,0),AND($AP26=12,$AG26&gt;=TIME(19,0,0)),""),"")</f>
        <v/>
      </c>
      <c r="AK26" s="23" cm="1">
        <f t="array" ref="AK26">_xlfn.IFS($AG26="","",AND($AP26&lt;=12,$AP26&gt;10,$AJ26=""),TIME(0,35,0),OR(AND($AP26&lt;=10,$AP26&gt;5),$AJ26&lt;&gt;""),TIME(0,20,0),$AP26&gt;12,TIME(0,20,0),$AP26&lt;=5,TIME(0,10,0))</f>
        <v>2.4305555555555556E-2</v>
      </c>
      <c r="AL26" s="23">
        <f t="shared" si="4"/>
        <v>6.9444444444444441E-3</v>
      </c>
      <c r="AM26" s="23"/>
      <c r="AN26" s="23">
        <v>2.0833333333333332E-2</v>
      </c>
      <c r="AO26" s="23">
        <v>4.1666666666666664E-2</v>
      </c>
      <c r="AP26" s="24">
        <f t="shared" si="5"/>
        <v>11.999999999999998</v>
      </c>
      <c r="AQ26" s="23">
        <f t="shared" si="6"/>
        <v>7.2916666666666671E-2</v>
      </c>
      <c r="AR26" s="25">
        <f t="shared" si="7"/>
        <v>455.99999999999994</v>
      </c>
      <c r="AS26" s="25">
        <f t="shared" si="8"/>
        <v>370.49999999999994</v>
      </c>
      <c r="AT26" s="16">
        <f>IF(OR($AE26=0,$AF26="",$AR26=""),"",SUM($AR26:$AR27)/SUM($AE26:$AE27))</f>
        <v>0.74545454545454526</v>
      </c>
      <c r="AU26" s="16">
        <f t="shared" si="9"/>
        <v>1.3414634146341466</v>
      </c>
      <c r="AV26" s="14"/>
      <c r="AW26" s="30"/>
      <c r="AX26" s="79" t="s">
        <v>54</v>
      </c>
    </row>
    <row r="27" spans="2:50" ht="15" customHeight="1" x14ac:dyDescent="0.3">
      <c r="B27" s="78">
        <v>46034</v>
      </c>
      <c r="C27" s="21">
        <f t="shared" si="1"/>
        <v>1</v>
      </c>
      <c r="D27" s="18" t="str">
        <f t="shared" si="2"/>
        <v>PUcanh</v>
      </c>
      <c r="E27" s="14"/>
      <c r="F27" s="14"/>
      <c r="G27" s="14"/>
      <c r="H27" s="14">
        <v>73</v>
      </c>
      <c r="I27" s="14"/>
      <c r="J27" s="14">
        <v>42</v>
      </c>
      <c r="K27" s="14"/>
      <c r="L27" s="14"/>
      <c r="M27" s="14"/>
      <c r="N27" s="14">
        <v>161</v>
      </c>
      <c r="O27" s="14"/>
      <c r="P27" s="14">
        <v>71</v>
      </c>
      <c r="Q27" s="14"/>
      <c r="R27" s="14"/>
      <c r="S27" s="14">
        <v>24</v>
      </c>
      <c r="T27" s="14">
        <v>47</v>
      </c>
      <c r="U27" s="14"/>
      <c r="V27" s="14"/>
      <c r="W27" s="14"/>
      <c r="X27" s="14"/>
      <c r="Y27" s="14"/>
      <c r="Z27" s="14"/>
      <c r="AA27" s="14">
        <v>330</v>
      </c>
      <c r="AB27" s="14"/>
      <c r="AC27" s="14"/>
      <c r="AD27" s="14"/>
      <c r="AE27" s="22">
        <f t="shared" si="3"/>
        <v>748</v>
      </c>
      <c r="AF27" s="31">
        <f>23+9+12</f>
        <v>44</v>
      </c>
      <c r="AG27" s="23">
        <v>0.79166666666666663</v>
      </c>
      <c r="AH27" s="23">
        <v>0.29166666666666669</v>
      </c>
      <c r="AI27" s="23" cm="1">
        <f t="array" ref="AI27">_xlfn.IFS($AG27="","",$AP27&gt;=8,TIME(1,0,0),$AP27&lt;=5,"")</f>
        <v>4.1666666666666664E-2</v>
      </c>
      <c r="AJ27" s="23" t="str" cm="1">
        <f t="array" ref="AJ27">IFERROR(_xlfn.IFS($AG27="","",AND($AP27&gt;12,$AG27&lt;TIME(10,0,0)),TIME(1,0,0),AND($AP27=12,$AG27&gt;=TIME(10,0,0),$AG27&lt;TIME(19,0,0)),TIME(0,30,0),AND($AP27=12,$AG27&gt;=TIME(19,0,0)),""),"")</f>
        <v/>
      </c>
      <c r="AK27" s="23" cm="1">
        <f t="array" ref="AK27">_xlfn.IFS($AG27="","",AND($AP27&lt;=12,$AP27&gt;10,$AJ27=""),TIME(0,35,0),OR(AND($AP27&lt;=10,$AP27&gt;5),$AJ27&lt;&gt;""),TIME(0,20,0),$AP27&gt;12,TIME(0,20,0),$AP27&lt;=5,TIME(0,10,0))</f>
        <v>2.4305555555555556E-2</v>
      </c>
      <c r="AL27" s="23">
        <f t="shared" si="4"/>
        <v>6.9444444444444441E-3</v>
      </c>
      <c r="AM27" s="23"/>
      <c r="AN27" s="23"/>
      <c r="AO27" s="23">
        <v>0.16666666666666666</v>
      </c>
      <c r="AP27" s="24">
        <f t="shared" si="5"/>
        <v>11.999999999999998</v>
      </c>
      <c r="AQ27" s="23">
        <f t="shared" si="6"/>
        <v>7.2916666666666671E-2</v>
      </c>
      <c r="AR27" s="25">
        <f t="shared" si="7"/>
        <v>527.99999999999989</v>
      </c>
      <c r="AS27" s="25">
        <f t="shared" si="8"/>
        <v>450.99999999999994</v>
      </c>
      <c r="AT27" s="16"/>
      <c r="AU27" s="16" t="str">
        <f t="shared" si="9"/>
        <v/>
      </c>
      <c r="AV27" s="14"/>
      <c r="AW27" s="30"/>
      <c r="AX27" s="79" t="s">
        <v>55</v>
      </c>
    </row>
    <row r="28" spans="2:50" ht="15" customHeight="1" x14ac:dyDescent="0.3">
      <c r="B28" s="77">
        <v>46035</v>
      </c>
      <c r="C28" s="21">
        <f t="shared" si="1"/>
        <v>1</v>
      </c>
      <c r="D28" s="18" t="str">
        <f t="shared" si="2"/>
        <v>PUcanh</v>
      </c>
      <c r="E28" s="14"/>
      <c r="F28" s="14"/>
      <c r="G28" s="14"/>
      <c r="H28" s="14">
        <v>104</v>
      </c>
      <c r="I28" s="14"/>
      <c r="J28" s="14">
        <v>28</v>
      </c>
      <c r="K28" s="14"/>
      <c r="L28" s="14"/>
      <c r="M28" s="14"/>
      <c r="N28" s="14">
        <v>62</v>
      </c>
      <c r="O28" s="14"/>
      <c r="P28" s="14">
        <v>8</v>
      </c>
      <c r="Q28" s="14"/>
      <c r="R28" s="14"/>
      <c r="S28" s="14">
        <v>27</v>
      </c>
      <c r="T28" s="14">
        <v>12</v>
      </c>
      <c r="U28" s="14"/>
      <c r="V28" s="14"/>
      <c r="W28" s="14"/>
      <c r="X28" s="14"/>
      <c r="Y28" s="14"/>
      <c r="Z28" s="14"/>
      <c r="AA28" s="14">
        <f>265+5</f>
        <v>270</v>
      </c>
      <c r="AB28" s="14"/>
      <c r="AC28" s="14">
        <v>78</v>
      </c>
      <c r="AD28" s="14"/>
      <c r="AE28" s="22">
        <f t="shared" si="3"/>
        <v>589</v>
      </c>
      <c r="AF28" s="31">
        <f>18+14+9</f>
        <v>41</v>
      </c>
      <c r="AG28" s="23">
        <v>0.29166666666666669</v>
      </c>
      <c r="AH28" s="23">
        <v>0.79166666666666663</v>
      </c>
      <c r="AI28" s="23" cm="1">
        <f t="array" ref="AI28">_xlfn.IFS($AG28="","",$AP28&gt;=8,TIME(1,0,0),$AP28&lt;=5,"")</f>
        <v>4.1666666666666664E-2</v>
      </c>
      <c r="AJ28" s="23" t="str" cm="1">
        <f t="array" ref="AJ28">IFERROR(_xlfn.IFS($AG28="","",AND($AP28&gt;12,$AG28&lt;TIME(10,0,0)),TIME(1,0,0),AND($AP28=12,$AG28&gt;=TIME(10,0,0),$AG28&lt;TIME(19,0,0)),TIME(0,30,0),AND($AP28=12,$AG28&gt;=TIME(19,0,0)),""),"")</f>
        <v/>
      </c>
      <c r="AK28" s="23" cm="1">
        <f t="array" ref="AK28">_xlfn.IFS($AG28="","",AND($AP28&lt;=12,$AP28&gt;10,$AJ28=""),TIME(0,35,0),OR(AND($AP28&lt;=10,$AP28&gt;5),$AJ28&lt;&gt;""),TIME(0,20,0),$AP28&gt;12,TIME(0,20,0),$AP28&lt;=5,TIME(0,10,0))</f>
        <v>2.4305555555555556E-2</v>
      </c>
      <c r="AL28" s="23">
        <f t="shared" si="4"/>
        <v>6.9444444444444441E-3</v>
      </c>
      <c r="AM28" s="23">
        <v>1.7361111111111112E-2</v>
      </c>
      <c r="AN28" s="23">
        <v>2.0833333333333332E-2</v>
      </c>
      <c r="AO28" s="23">
        <v>2.0833333333333332E-2</v>
      </c>
      <c r="AP28" s="24">
        <f t="shared" si="5"/>
        <v>11.999999999999998</v>
      </c>
      <c r="AQ28" s="23">
        <f t="shared" si="6"/>
        <v>7.2916666666666671E-2</v>
      </c>
      <c r="AR28" s="25">
        <f t="shared" si="7"/>
        <v>491.99999999999994</v>
      </c>
      <c r="AS28" s="25">
        <f t="shared" si="8"/>
        <v>382.66666666666663</v>
      </c>
      <c r="AT28" s="16">
        <f>IF(OR($AE28=0,$AF28="",$AR28=""),"",SUM($AR28:$AR29)/SUM($AE28:$AE29))</f>
        <v>0.83265306122448957</v>
      </c>
      <c r="AU28" s="16">
        <f t="shared" si="9"/>
        <v>1.2009803921568631</v>
      </c>
      <c r="AV28" s="14"/>
      <c r="AW28" s="30"/>
      <c r="AX28" s="79" t="s">
        <v>56</v>
      </c>
    </row>
    <row r="29" spans="2:50" ht="15" customHeight="1" x14ac:dyDescent="0.3">
      <c r="B29" s="77">
        <v>46035</v>
      </c>
      <c r="C29" s="21">
        <f t="shared" si="1"/>
        <v>1</v>
      </c>
      <c r="D29" s="18" t="str">
        <f t="shared" si="2"/>
        <v>PUcanh</v>
      </c>
      <c r="E29" s="14"/>
      <c r="F29" s="14"/>
      <c r="G29" s="14"/>
      <c r="H29" s="14">
        <v>16</v>
      </c>
      <c r="I29" s="14"/>
      <c r="J29" s="14">
        <v>45</v>
      </c>
      <c r="K29" s="14"/>
      <c r="L29" s="14"/>
      <c r="M29" s="14"/>
      <c r="N29" s="14">
        <v>141</v>
      </c>
      <c r="O29" s="14"/>
      <c r="P29" s="14"/>
      <c r="Q29" s="14"/>
      <c r="R29" s="14"/>
      <c r="S29" s="14">
        <v>32</v>
      </c>
      <c r="T29" s="14">
        <v>35</v>
      </c>
      <c r="U29" s="14"/>
      <c r="V29" s="14"/>
      <c r="W29" s="14"/>
      <c r="X29" s="14"/>
      <c r="Y29" s="14"/>
      <c r="Z29" s="14"/>
      <c r="AA29" s="14">
        <v>322</v>
      </c>
      <c r="AB29" s="14"/>
      <c r="AC29" s="14">
        <v>45</v>
      </c>
      <c r="AD29" s="14"/>
      <c r="AE29" s="22">
        <f t="shared" si="3"/>
        <v>636</v>
      </c>
      <c r="AF29" s="31">
        <f>23+10+11</f>
        <v>44</v>
      </c>
      <c r="AG29" s="23">
        <v>0.79166666666666663</v>
      </c>
      <c r="AH29" s="23">
        <v>0.29166666666666669</v>
      </c>
      <c r="AI29" s="23" cm="1">
        <f t="array" ref="AI29">_xlfn.IFS($AG29="","",$AP29&gt;=8,TIME(1,0,0),$AP29&lt;=5,"")</f>
        <v>4.1666666666666664E-2</v>
      </c>
      <c r="AJ29" s="23" t="str" cm="1">
        <f t="array" ref="AJ29">IFERROR(_xlfn.IFS($AG29="","",AND($AP29&gt;12,$AG29&lt;TIME(10,0,0)),TIME(1,0,0),AND($AP29=12,$AG29&gt;=TIME(10,0,0),$AG29&lt;TIME(19,0,0)),TIME(0,30,0),AND($AP29=12,$AG29&gt;=TIME(19,0,0)),""),"")</f>
        <v/>
      </c>
      <c r="AK29" s="23" cm="1">
        <f t="array" ref="AK29">_xlfn.IFS($AG29="","",AND($AP29&lt;=12,$AP29&gt;10,$AJ29=""),TIME(0,35,0),OR(AND($AP29&lt;=10,$AP29&gt;5),$AJ29&lt;&gt;""),TIME(0,20,0),$AP29&gt;12,TIME(0,20,0),$AP29&lt;=5,TIME(0,10,0))</f>
        <v>2.4305555555555556E-2</v>
      </c>
      <c r="AL29" s="23">
        <f t="shared" si="4"/>
        <v>6.9444444444444441E-3</v>
      </c>
      <c r="AM29" s="23"/>
      <c r="AN29" s="23">
        <v>2.7777777777777776E-2</v>
      </c>
      <c r="AO29" s="23">
        <v>0.41666666666666669</v>
      </c>
      <c r="AP29" s="24">
        <f t="shared" si="5"/>
        <v>11.999999999999998</v>
      </c>
      <c r="AQ29" s="23">
        <f t="shared" si="6"/>
        <v>7.2916666666666671E-2</v>
      </c>
      <c r="AR29" s="25">
        <f t="shared" si="7"/>
        <v>527.99999999999989</v>
      </c>
      <c r="AS29" s="25">
        <f t="shared" si="8"/>
        <v>421.66666666666663</v>
      </c>
      <c r="AT29" s="16"/>
      <c r="AU29" s="16" t="str">
        <f t="shared" si="9"/>
        <v/>
      </c>
      <c r="AV29" s="14"/>
      <c r="AW29" s="30"/>
      <c r="AX29" s="79" t="s">
        <v>57</v>
      </c>
    </row>
    <row r="30" spans="2:50" ht="15" customHeight="1" x14ac:dyDescent="0.3">
      <c r="B30" s="78">
        <v>46036</v>
      </c>
      <c r="C30" s="21">
        <f t="shared" si="1"/>
        <v>1</v>
      </c>
      <c r="D30" s="18" t="str">
        <f t="shared" si="2"/>
        <v>PUcanh</v>
      </c>
      <c r="E30" s="14"/>
      <c r="F30" s="14"/>
      <c r="G30" s="14"/>
      <c r="H30" s="14">
        <v>92</v>
      </c>
      <c r="I30" s="14"/>
      <c r="J30" s="14">
        <v>19</v>
      </c>
      <c r="K30" s="14"/>
      <c r="L30" s="14"/>
      <c r="M30" s="14"/>
      <c r="N30" s="14">
        <v>60</v>
      </c>
      <c r="O30" s="14"/>
      <c r="P30" s="14"/>
      <c r="Q30" s="14"/>
      <c r="R30" s="14"/>
      <c r="S30" s="14">
        <v>22</v>
      </c>
      <c r="T30" s="14">
        <v>48</v>
      </c>
      <c r="U30" s="14"/>
      <c r="V30" s="14"/>
      <c r="W30" s="14"/>
      <c r="X30" s="14"/>
      <c r="Y30" s="14"/>
      <c r="Z30" s="14"/>
      <c r="AA30" s="14">
        <f>299+1</f>
        <v>300</v>
      </c>
      <c r="AB30" s="14"/>
      <c r="AC30" s="14">
        <v>29</v>
      </c>
      <c r="AD30" s="14"/>
      <c r="AE30" s="22">
        <f t="shared" si="3"/>
        <v>570</v>
      </c>
      <c r="AF30" s="31">
        <f>18+16+11</f>
        <v>45</v>
      </c>
      <c r="AG30" s="23">
        <v>0.29166666666666669</v>
      </c>
      <c r="AH30" s="23">
        <v>0.79166666666666663</v>
      </c>
      <c r="AI30" s="23" cm="1">
        <f t="array" ref="AI30">_xlfn.IFS($AG30="","",$AP30&gt;=8,TIME(1,0,0),$AP30&lt;=5,"")</f>
        <v>4.1666666666666664E-2</v>
      </c>
      <c r="AJ30" s="23" t="str" cm="1">
        <f t="array" ref="AJ30">IFERROR(_xlfn.IFS($AG30="","",AND($AP30&gt;12,$AG30&lt;TIME(10,0,0)),TIME(1,0,0),AND($AP30=12,$AG30&gt;=TIME(10,0,0),$AG30&lt;TIME(19,0,0)),TIME(0,30,0),AND($AP30=12,$AG30&gt;=TIME(19,0,0)),""),"")</f>
        <v/>
      </c>
      <c r="AK30" s="23" cm="1">
        <f t="array" ref="AK30">_xlfn.IFS($AG30="","",AND($AP30&lt;=12,$AP30&gt;10,$AJ30=""),TIME(0,35,0),OR(AND($AP30&lt;=10,$AP30&gt;5),$AJ30&lt;&gt;""),TIME(0,20,0),$AP30&gt;12,TIME(0,20,0),$AP30&lt;=5,TIME(0,10,0))</f>
        <v>2.4305555555555556E-2</v>
      </c>
      <c r="AL30" s="23">
        <f t="shared" si="4"/>
        <v>6.9444444444444441E-3</v>
      </c>
      <c r="AM30" s="23"/>
      <c r="AN30" s="23">
        <v>2.7777777777777776E-2</v>
      </c>
      <c r="AO30" s="23">
        <v>0.24305555555555555</v>
      </c>
      <c r="AP30" s="24">
        <f t="shared" si="5"/>
        <v>11.999999999999998</v>
      </c>
      <c r="AQ30" s="23">
        <f t="shared" si="6"/>
        <v>7.2916666666666671E-2</v>
      </c>
      <c r="AR30" s="25">
        <f t="shared" si="7"/>
        <v>539.99999999999989</v>
      </c>
      <c r="AS30" s="25">
        <f t="shared" si="8"/>
        <v>431.24999999999994</v>
      </c>
      <c r="AT30" s="16">
        <f>IF(OR($AE30=0,$AF30="",$AR30=""),"",SUM($AR30:$AR31)/SUM($AE30:$AE31))</f>
        <v>0.89478044739022355</v>
      </c>
      <c r="AU30" s="16">
        <f t="shared" si="9"/>
        <v>1.1175925925925927</v>
      </c>
      <c r="AV30" s="14"/>
      <c r="AW30" s="30"/>
      <c r="AX30" s="79" t="s">
        <v>58</v>
      </c>
    </row>
    <row r="31" spans="2:50" ht="15" customHeight="1" x14ac:dyDescent="0.3">
      <c r="B31" s="78">
        <v>46036</v>
      </c>
      <c r="C31" s="21">
        <f t="shared" si="1"/>
        <v>1</v>
      </c>
      <c r="D31" s="18" t="str">
        <f t="shared" si="2"/>
        <v>PUcanh</v>
      </c>
      <c r="E31" s="14"/>
      <c r="F31" s="14"/>
      <c r="G31" s="14"/>
      <c r="H31" s="14">
        <v>33</v>
      </c>
      <c r="I31" s="14"/>
      <c r="J31" s="14">
        <v>23</v>
      </c>
      <c r="K31" s="14"/>
      <c r="L31" s="14"/>
      <c r="M31" s="14"/>
      <c r="N31" s="14">
        <v>119</v>
      </c>
      <c r="O31" s="14"/>
      <c r="P31" s="14"/>
      <c r="Q31" s="14"/>
      <c r="R31" s="14"/>
      <c r="S31" s="14">
        <v>33</v>
      </c>
      <c r="T31" s="14">
        <v>40</v>
      </c>
      <c r="U31" s="14"/>
      <c r="V31" s="14"/>
      <c r="W31" s="14"/>
      <c r="X31" s="14"/>
      <c r="Y31" s="14"/>
      <c r="Z31" s="14"/>
      <c r="AA31" s="14">
        <f>114+204+6/2</f>
        <v>321</v>
      </c>
      <c r="AB31" s="14">
        <v>16</v>
      </c>
      <c r="AC31" s="14">
        <v>52</v>
      </c>
      <c r="AD31" s="14"/>
      <c r="AE31" s="22">
        <f t="shared" si="3"/>
        <v>637</v>
      </c>
      <c r="AF31" s="31">
        <f>22+10+13</f>
        <v>45</v>
      </c>
      <c r="AG31" s="23">
        <v>0.79166666666666663</v>
      </c>
      <c r="AH31" s="23">
        <v>0.29166666666666669</v>
      </c>
      <c r="AI31" s="23" cm="1">
        <f t="array" ref="AI31">_xlfn.IFS($AG31="","",$AP31&gt;=8,TIME(1,0,0),$AP31&lt;=5,"")</f>
        <v>4.1666666666666664E-2</v>
      </c>
      <c r="AJ31" s="23" t="str" cm="1">
        <f t="array" ref="AJ31">IFERROR(_xlfn.IFS($AG31="","",AND($AP31&gt;12,$AG31&lt;TIME(10,0,0)),TIME(1,0,0),AND($AP31=12,$AG31&gt;=TIME(10,0,0),$AG31&lt;TIME(19,0,0)),TIME(0,30,0),AND($AP31=12,$AG31&gt;=TIME(19,0,0)),""),"")</f>
        <v/>
      </c>
      <c r="AK31" s="23" cm="1">
        <f t="array" ref="AK31">_xlfn.IFS($AG31="","",AND($AP31&lt;=12,$AP31&gt;10,$AJ31=""),TIME(0,35,0),OR(AND($AP31&lt;=10,$AP31&gt;5),$AJ31&lt;&gt;""),TIME(0,20,0),$AP31&gt;12,TIME(0,20,0),$AP31&lt;=5,TIME(0,10,0))</f>
        <v>2.4305555555555556E-2</v>
      </c>
      <c r="AL31" s="23">
        <f t="shared" si="4"/>
        <v>6.9444444444444441E-3</v>
      </c>
      <c r="AM31" s="23">
        <v>2.0833333333333332E-2</v>
      </c>
      <c r="AN31" s="23"/>
      <c r="AO31" s="23">
        <v>0.29166666666666669</v>
      </c>
      <c r="AP31" s="24">
        <f t="shared" si="5"/>
        <v>11.999999999999998</v>
      </c>
      <c r="AQ31" s="23">
        <f t="shared" si="6"/>
        <v>7.2916666666666671E-2</v>
      </c>
      <c r="AR31" s="25">
        <f t="shared" si="7"/>
        <v>539.99999999999989</v>
      </c>
      <c r="AS31" s="25">
        <f t="shared" si="8"/>
        <v>438.74999999999994</v>
      </c>
      <c r="AT31" s="16"/>
      <c r="AU31" s="16" t="str">
        <f t="shared" si="9"/>
        <v/>
      </c>
      <c r="AV31" s="14"/>
      <c r="AW31" s="30"/>
      <c r="AX31" s="79" t="s">
        <v>59</v>
      </c>
    </row>
    <row r="32" spans="2:50" ht="15" customHeight="1" x14ac:dyDescent="0.3">
      <c r="B32" s="77">
        <v>46037</v>
      </c>
      <c r="C32" s="21">
        <f t="shared" si="1"/>
        <v>1</v>
      </c>
      <c r="D32" s="18" t="str">
        <f t="shared" si="2"/>
        <v>PUcanh</v>
      </c>
      <c r="E32" s="14"/>
      <c r="F32" s="14"/>
      <c r="G32" s="14"/>
      <c r="H32" s="14">
        <v>106</v>
      </c>
      <c r="I32" s="14"/>
      <c r="J32" s="14">
        <v>64</v>
      </c>
      <c r="K32" s="14"/>
      <c r="L32" s="14"/>
      <c r="M32" s="14"/>
      <c r="N32" s="14">
        <v>67</v>
      </c>
      <c r="O32" s="14">
        <v>165</v>
      </c>
      <c r="P32" s="14"/>
      <c r="Q32" s="14"/>
      <c r="R32" s="14"/>
      <c r="S32" s="14">
        <f>86+6/2</f>
        <v>89</v>
      </c>
      <c r="T32" s="14"/>
      <c r="U32" s="14"/>
      <c r="V32" s="14"/>
      <c r="W32" s="14"/>
      <c r="X32" s="14"/>
      <c r="Y32" s="14"/>
      <c r="Z32" s="14"/>
      <c r="AA32" s="14">
        <v>129</v>
      </c>
      <c r="AB32" s="14">
        <v>57</v>
      </c>
      <c r="AC32" s="14">
        <v>29</v>
      </c>
      <c r="AD32" s="14"/>
      <c r="AE32" s="22">
        <f t="shared" si="3"/>
        <v>706</v>
      </c>
      <c r="AF32" s="31">
        <f>17+16+9</f>
        <v>42</v>
      </c>
      <c r="AG32" s="23">
        <v>0.29166666666666669</v>
      </c>
      <c r="AH32" s="23">
        <v>0.79166666666666663</v>
      </c>
      <c r="AI32" s="23" cm="1">
        <f t="array" ref="AI32">_xlfn.IFS($AG32="","",$AP32&gt;=8,TIME(1,0,0),$AP32&lt;=5,"")</f>
        <v>4.1666666666666664E-2</v>
      </c>
      <c r="AJ32" s="23" t="str" cm="1">
        <f t="array" ref="AJ32">IFERROR(_xlfn.IFS($AG32="","",AND($AP32&gt;12,$AG32&lt;TIME(10,0,0)),TIME(1,0,0),AND($AP32=12,$AG32&gt;=TIME(10,0,0),$AG32&lt;TIME(19,0,0)),TIME(0,30,0),AND($AP32=12,$AG32&gt;=TIME(19,0,0)),""),"")</f>
        <v/>
      </c>
      <c r="AK32" s="23" cm="1">
        <f t="array" ref="AK32">_xlfn.IFS($AG32="","",AND($AP32&lt;=12,$AP32&gt;10,$AJ32=""),TIME(0,35,0),OR(AND($AP32&lt;=10,$AP32&gt;5),$AJ32&lt;&gt;""),TIME(0,20,0),$AP32&gt;12,TIME(0,20,0),$AP32&lt;=5,TIME(0,10,0))</f>
        <v>2.4305555555555556E-2</v>
      </c>
      <c r="AL32" s="23">
        <f t="shared" si="4"/>
        <v>6.9444444444444441E-3</v>
      </c>
      <c r="AM32" s="23">
        <v>2.0833333333333332E-2</v>
      </c>
      <c r="AN32" s="23">
        <v>3.4722222222222224E-2</v>
      </c>
      <c r="AO32" s="23">
        <v>0.25</v>
      </c>
      <c r="AP32" s="24">
        <f t="shared" si="5"/>
        <v>11.999999999999998</v>
      </c>
      <c r="AQ32" s="23">
        <f t="shared" si="6"/>
        <v>7.2916666666666671E-2</v>
      </c>
      <c r="AR32" s="25">
        <f t="shared" si="7"/>
        <v>503.99999999999994</v>
      </c>
      <c r="AS32" s="25">
        <f t="shared" si="8"/>
        <v>374.49999999999989</v>
      </c>
      <c r="AT32" s="16">
        <f>IF(OR($AE32=0,$AF32="",$AR32=""),"",SUM($AR32:$AR33)/SUM($AE32:$AE33))</f>
        <v>0.6885245901639343</v>
      </c>
      <c r="AU32" s="16">
        <f t="shared" si="9"/>
        <v>1.4523809523809526</v>
      </c>
      <c r="AV32" s="14"/>
      <c r="AW32" s="30"/>
      <c r="AX32" s="79" t="s">
        <v>60</v>
      </c>
    </row>
    <row r="33" spans="2:50" ht="15" customHeight="1" x14ac:dyDescent="0.3">
      <c r="B33" s="77">
        <v>46037</v>
      </c>
      <c r="C33" s="21">
        <f t="shared" si="1"/>
        <v>1</v>
      </c>
      <c r="D33" s="18" t="str">
        <f t="shared" si="2"/>
        <v>PUcanh</v>
      </c>
      <c r="E33" s="14"/>
      <c r="F33" s="14"/>
      <c r="G33" s="14"/>
      <c r="H33" s="14">
        <v>89</v>
      </c>
      <c r="I33" s="14"/>
      <c r="J33" s="14">
        <v>24</v>
      </c>
      <c r="K33" s="14"/>
      <c r="L33" s="14"/>
      <c r="M33" s="14"/>
      <c r="N33" s="14">
        <v>152</v>
      </c>
      <c r="O33" s="14">
        <v>123</v>
      </c>
      <c r="P33" s="14"/>
      <c r="Q33" s="14"/>
      <c r="R33" s="14"/>
      <c r="S33" s="14">
        <v>2</v>
      </c>
      <c r="T33" s="14">
        <v>61</v>
      </c>
      <c r="U33" s="14"/>
      <c r="V33" s="14"/>
      <c r="W33" s="14"/>
      <c r="X33" s="14"/>
      <c r="Y33" s="14"/>
      <c r="Z33" s="14"/>
      <c r="AA33" s="14">
        <v>276</v>
      </c>
      <c r="AB33" s="14">
        <v>31</v>
      </c>
      <c r="AC33" s="14"/>
      <c r="AD33" s="14"/>
      <c r="AE33" s="22">
        <f t="shared" si="3"/>
        <v>758</v>
      </c>
      <c r="AF33" s="31">
        <f>21+8+13</f>
        <v>42</v>
      </c>
      <c r="AG33" s="23">
        <v>0.79166666666666663</v>
      </c>
      <c r="AH33" s="23">
        <v>0.29166666666666669</v>
      </c>
      <c r="AI33" s="23" cm="1">
        <f t="array" ref="AI33">_xlfn.IFS($AG33="","",$AP33&gt;=8,TIME(1,0,0),$AP33&lt;=5,"")</f>
        <v>4.1666666666666664E-2</v>
      </c>
      <c r="AJ33" s="23" t="str" cm="1">
        <f t="array" ref="AJ33">IFERROR(_xlfn.IFS($AG33="","",AND($AP33&gt;12,$AG33&lt;TIME(10,0,0)),TIME(1,0,0),AND($AP33=12,$AG33&gt;=TIME(10,0,0),$AG33&lt;TIME(19,0,0)),TIME(0,30,0),AND($AP33=12,$AG33&gt;=TIME(19,0,0)),""),"")</f>
        <v/>
      </c>
      <c r="AK33" s="23" cm="1">
        <f t="array" ref="AK33">_xlfn.IFS($AG33="","",AND($AP33&lt;=12,$AP33&gt;10,$AJ33=""),TIME(0,35,0),OR(AND($AP33&lt;=10,$AP33&gt;5),$AJ33&lt;&gt;""),TIME(0,20,0),$AP33&gt;12,TIME(0,20,0),$AP33&lt;=5,TIME(0,10,0))</f>
        <v>2.4305555555555556E-2</v>
      </c>
      <c r="AL33" s="23">
        <f t="shared" si="4"/>
        <v>6.9444444444444441E-3</v>
      </c>
      <c r="AM33" s="23">
        <v>8.3333333333333329E-2</v>
      </c>
      <c r="AN33" s="23"/>
      <c r="AO33" s="30"/>
      <c r="AP33" s="24">
        <f t="shared" si="5"/>
        <v>11.999999999999998</v>
      </c>
      <c r="AQ33" s="23">
        <f t="shared" si="6"/>
        <v>7.2916666666666671E-2</v>
      </c>
      <c r="AR33" s="25">
        <f t="shared" si="7"/>
        <v>503.99999999999994</v>
      </c>
      <c r="AS33" s="25">
        <f t="shared" si="8"/>
        <v>346.49999999999994</v>
      </c>
      <c r="AT33" s="16"/>
      <c r="AU33" s="16" t="str">
        <f t="shared" si="9"/>
        <v/>
      </c>
      <c r="AV33" s="14"/>
      <c r="AW33" s="30"/>
      <c r="AX33" s="79" t="s">
        <v>61</v>
      </c>
    </row>
    <row r="34" spans="2:50" ht="15" customHeight="1" x14ac:dyDescent="0.3">
      <c r="B34" s="78">
        <v>46038</v>
      </c>
      <c r="C34" s="21">
        <f t="shared" si="1"/>
        <v>1</v>
      </c>
      <c r="D34" s="18" t="str">
        <f t="shared" si="2"/>
        <v>PUcanh</v>
      </c>
      <c r="E34" s="14"/>
      <c r="F34" s="14">
        <v>2</v>
      </c>
      <c r="G34" s="14"/>
      <c r="H34" s="14">
        <v>88</v>
      </c>
      <c r="I34" s="14"/>
      <c r="J34" s="14">
        <v>78</v>
      </c>
      <c r="K34" s="14"/>
      <c r="L34" s="14"/>
      <c r="M34" s="14"/>
      <c r="N34" s="14">
        <v>99</v>
      </c>
      <c r="O34" s="14">
        <v>104</v>
      </c>
      <c r="P34" s="14"/>
      <c r="Q34" s="14"/>
      <c r="R34" s="14"/>
      <c r="S34" s="14">
        <v>1</v>
      </c>
      <c r="T34" s="14">
        <v>23</v>
      </c>
      <c r="U34" s="14"/>
      <c r="V34" s="14"/>
      <c r="W34" s="14"/>
      <c r="X34" s="14"/>
      <c r="Y34" s="14"/>
      <c r="Z34" s="14"/>
      <c r="AA34" s="14">
        <v>276</v>
      </c>
      <c r="AB34" s="14">
        <v>34</v>
      </c>
      <c r="AC34" s="14"/>
      <c r="AD34" s="14"/>
      <c r="AE34" s="22">
        <f t="shared" si="3"/>
        <v>705</v>
      </c>
      <c r="AF34" s="31">
        <f>17+15+11</f>
        <v>43</v>
      </c>
      <c r="AG34" s="23">
        <v>0.29166666666666669</v>
      </c>
      <c r="AH34" s="23">
        <v>0.79166666666666663</v>
      </c>
      <c r="AI34" s="23" cm="1">
        <f t="array" ref="AI34">_xlfn.IFS($AG34="","",$AP34&gt;=8,TIME(1,0,0),$AP34&lt;=5,"")</f>
        <v>4.1666666666666664E-2</v>
      </c>
      <c r="AJ34" s="23" t="str" cm="1">
        <f t="array" ref="AJ34">IFERROR(_xlfn.IFS($AG34="","",AND($AP34&gt;12,$AG34&lt;TIME(10,0,0)),TIME(1,0,0),AND($AP34=12,$AG34&gt;=TIME(10,0,0),$AG34&lt;TIME(19,0,0)),TIME(0,30,0),AND($AP34=12,$AG34&gt;=TIME(19,0,0)),""),"")</f>
        <v/>
      </c>
      <c r="AK34" s="23" cm="1">
        <f t="array" ref="AK34">_xlfn.IFS($AG34="","",AND($AP34&lt;=12,$AP34&gt;10,$AJ34=""),TIME(0,35,0),OR(AND($AP34&lt;=10,$AP34&gt;5),$AJ34&lt;&gt;""),TIME(0,20,0),$AP34&gt;12,TIME(0,20,0),$AP34&lt;=5,TIME(0,10,0))</f>
        <v>2.4305555555555556E-2</v>
      </c>
      <c r="AL34" s="23">
        <f t="shared" si="4"/>
        <v>6.9444444444444441E-3</v>
      </c>
      <c r="AM34" s="23"/>
      <c r="AN34" s="23">
        <v>2.0833333333333332E-2</v>
      </c>
      <c r="AO34" s="30"/>
      <c r="AP34" s="24">
        <f t="shared" si="5"/>
        <v>11.999999999999998</v>
      </c>
      <c r="AQ34" s="23">
        <f t="shared" si="6"/>
        <v>7.2916666666666671E-2</v>
      </c>
      <c r="AR34" s="25">
        <f t="shared" si="7"/>
        <v>515.99999999999989</v>
      </c>
      <c r="AS34" s="25">
        <f t="shared" si="8"/>
        <v>419.24999999999994</v>
      </c>
      <c r="AT34" s="16">
        <f>IF(OR($AE34=0,$AF34="",$AR34=""),"",SUM($AR34:$AR35)/SUM($AE34:$AE35))</f>
        <v>0.67663043478260854</v>
      </c>
      <c r="AU34" s="16">
        <f t="shared" si="9"/>
        <v>1.4779116465863458</v>
      </c>
      <c r="AV34" s="14"/>
      <c r="AW34" s="30"/>
      <c r="AX34" s="79" t="s">
        <v>62</v>
      </c>
    </row>
    <row r="35" spans="2:50" ht="15" customHeight="1" x14ac:dyDescent="0.3">
      <c r="B35" s="78">
        <v>46038</v>
      </c>
      <c r="C35" s="21">
        <f t="shared" si="1"/>
        <v>1</v>
      </c>
      <c r="D35" s="18" t="str">
        <f t="shared" si="2"/>
        <v>PUcanh</v>
      </c>
      <c r="E35" s="14"/>
      <c r="F35" s="14">
        <v>47</v>
      </c>
      <c r="G35" s="14"/>
      <c r="H35" s="14">
        <v>49</v>
      </c>
      <c r="I35" s="14"/>
      <c r="J35" s="14">
        <v>2</v>
      </c>
      <c r="K35" s="14"/>
      <c r="L35" s="14"/>
      <c r="M35" s="14"/>
      <c r="N35" s="14">
        <v>49</v>
      </c>
      <c r="O35" s="14">
        <v>173</v>
      </c>
      <c r="P35" s="14"/>
      <c r="Q35" s="14"/>
      <c r="R35" s="14"/>
      <c r="S35" s="14">
        <v>49</v>
      </c>
      <c r="T35" s="14">
        <v>83</v>
      </c>
      <c r="U35" s="14"/>
      <c r="V35" s="14"/>
      <c r="W35" s="14"/>
      <c r="X35" s="14"/>
      <c r="Y35" s="14"/>
      <c r="Z35" s="14"/>
      <c r="AA35" s="14">
        <v>264</v>
      </c>
      <c r="AB35" s="14">
        <v>51</v>
      </c>
      <c r="AC35" s="14"/>
      <c r="AD35" s="14"/>
      <c r="AE35" s="22">
        <f t="shared" si="3"/>
        <v>767</v>
      </c>
      <c r="AF35" s="31">
        <f>19+8+13</f>
        <v>40</v>
      </c>
      <c r="AG35" s="23">
        <v>0.79166666666666663</v>
      </c>
      <c r="AH35" s="23">
        <v>0.29166666666666669</v>
      </c>
      <c r="AI35" s="23" cm="1">
        <f t="array" ref="AI35">_xlfn.IFS($AG35="","",$AP35&gt;=8,TIME(1,0,0),$AP35&lt;=5,"")</f>
        <v>4.1666666666666664E-2</v>
      </c>
      <c r="AJ35" s="23" t="str" cm="1">
        <f t="array" ref="AJ35">IFERROR(_xlfn.IFS($AG35="","",AND($AP35&gt;12,$AG35&lt;TIME(10,0,0)),TIME(1,0,0),AND($AP35=12,$AG35&gt;=TIME(10,0,0),$AG35&lt;TIME(19,0,0)),TIME(0,30,0),AND($AP35=12,$AG35&gt;=TIME(19,0,0)),""),"")</f>
        <v/>
      </c>
      <c r="AK35" s="23" cm="1">
        <f t="array" ref="AK35">_xlfn.IFS($AG35="","",AND($AP35&lt;=12,$AP35&gt;10,$AJ35=""),TIME(0,35,0),OR(AND($AP35&lt;=10,$AP35&gt;5),$AJ35&lt;&gt;""),TIME(0,20,0),$AP35&gt;12,TIME(0,20,0),$AP35&lt;=5,TIME(0,10,0))</f>
        <v>2.4305555555555556E-2</v>
      </c>
      <c r="AL35" s="23">
        <f t="shared" si="4"/>
        <v>6.9444444444444441E-3</v>
      </c>
      <c r="AM35" s="23"/>
      <c r="AN35" s="23">
        <v>4.1666666666666664E-2</v>
      </c>
      <c r="AO35" s="30"/>
      <c r="AP35" s="24">
        <f t="shared" si="5"/>
        <v>11.999999999999998</v>
      </c>
      <c r="AQ35" s="23">
        <f t="shared" si="6"/>
        <v>7.2916666666666671E-2</v>
      </c>
      <c r="AR35" s="25">
        <f t="shared" si="7"/>
        <v>479.99999999999994</v>
      </c>
      <c r="AS35" s="25">
        <f t="shared" si="8"/>
        <v>369.99999999999994</v>
      </c>
      <c r="AT35" s="16"/>
      <c r="AU35" s="16" t="str">
        <f t="shared" si="9"/>
        <v/>
      </c>
      <c r="AV35" s="14"/>
      <c r="AW35" s="30"/>
      <c r="AX35" s="79" t="s">
        <v>63</v>
      </c>
    </row>
    <row r="36" spans="2:50" ht="15" customHeight="1" x14ac:dyDescent="0.3">
      <c r="B36" s="77">
        <v>46039</v>
      </c>
      <c r="C36" s="21">
        <f t="shared" si="1"/>
        <v>1</v>
      </c>
      <c r="D36" s="18" t="str">
        <f t="shared" si="2"/>
        <v>PUcanh</v>
      </c>
      <c r="F36" s="14">
        <v>57</v>
      </c>
      <c r="G36" s="14"/>
      <c r="H36" s="14">
        <v>82</v>
      </c>
      <c r="I36" s="14"/>
      <c r="J36" s="14">
        <v>48</v>
      </c>
      <c r="K36" s="14"/>
      <c r="L36" s="14">
        <v>2</v>
      </c>
      <c r="M36" s="14"/>
      <c r="N36" s="14">
        <v>40</v>
      </c>
      <c r="O36" s="14">
        <v>44</v>
      </c>
      <c r="P36" s="14"/>
      <c r="Q36" s="14"/>
      <c r="R36" s="14"/>
      <c r="S36" s="14">
        <v>7</v>
      </c>
      <c r="T36" s="14">
        <v>49</v>
      </c>
      <c r="U36" s="14"/>
      <c r="V36" s="14"/>
      <c r="W36" s="14"/>
      <c r="X36" s="14"/>
      <c r="Y36" s="14"/>
      <c r="Z36" s="14"/>
      <c r="AA36" s="14">
        <v>300</v>
      </c>
      <c r="AB36" s="14">
        <v>55</v>
      </c>
      <c r="AC36" s="14">
        <v>62</v>
      </c>
      <c r="AD36" s="14"/>
      <c r="AE36" s="22">
        <f t="shared" ref="AE36:AE67" si="10">SUM(E36:AD36)</f>
        <v>746</v>
      </c>
      <c r="AF36" s="31">
        <f>18+12+9</f>
        <v>39</v>
      </c>
      <c r="AG36" s="23">
        <v>0.29166666666666669</v>
      </c>
      <c r="AH36" s="23">
        <v>0.79166666666666663</v>
      </c>
      <c r="AI36" s="23" cm="1">
        <f t="array" ref="AI36">_xlfn.IFS($AG36="","",$AP36&gt;=8,TIME(1,0,0),$AP36&lt;=5,"")</f>
        <v>4.1666666666666664E-2</v>
      </c>
      <c r="AJ36" s="23" t="str" cm="1">
        <f t="array" ref="AJ36">IFERROR(_xlfn.IFS($AG36="","",AND($AP36&gt;12,$AG36&lt;TIME(10,0,0)),TIME(1,0,0),AND($AP36=12,$AG36&gt;=TIME(10,0,0),$AG36&lt;TIME(19,0,0)),TIME(0,30,0),AND($AP36=12,$AG36&gt;=TIME(19,0,0)),""),"")</f>
        <v/>
      </c>
      <c r="AK36" s="23" cm="1">
        <f t="array" ref="AK36">_xlfn.IFS($AG36="","",AND($AP36&lt;=12,$AP36&gt;10,$AJ36=""),TIME(0,35,0),OR(AND($AP36&lt;=10,$AP36&gt;5),$AJ36&lt;&gt;""),TIME(0,20,0),$AP36&gt;12,TIME(0,20,0),$AP36&lt;=5,TIME(0,10,0))</f>
        <v>2.4305555555555556E-2</v>
      </c>
      <c r="AL36" s="23">
        <f t="shared" si="4"/>
        <v>6.9444444444444441E-3</v>
      </c>
      <c r="AM36" s="23"/>
      <c r="AN36" s="23"/>
      <c r="AO36" s="30"/>
      <c r="AP36" s="24">
        <f t="shared" ref="AP36:AP67" si="11">IF($AG36="","",ABS($AH36-$AG36)*24)</f>
        <v>11.999999999999998</v>
      </c>
      <c r="AQ36" s="23">
        <f t="shared" ref="AQ36:AQ67" si="12">IF($AG36="","",SUM($AI36:$AL36))</f>
        <v>7.2916666666666671E-2</v>
      </c>
      <c r="AR36" s="25">
        <f t="shared" ref="AR36:AR67" si="13">IF(OR($AF36="",$AP36=""),"",$AP36*$AF36)</f>
        <v>467.99999999999994</v>
      </c>
      <c r="AS36" s="25">
        <f t="shared" ref="AS36:AS67" si="14">IF(OR($AF36="",$AP36=""),"",($AP36-($AQ36+$AM36+$AN36)*24)*$AF36)</f>
        <v>399.74999999999994</v>
      </c>
      <c r="AT36" s="16">
        <f>IF(OR($AE36=0,$AF36="",$AR36=""),"",SUM($AR36:$AR37)/SUM($AE36:$AE37))</f>
        <v>0.61855670103092775</v>
      </c>
      <c r="AU36" s="16">
        <f t="shared" si="9"/>
        <v>1.6166666666666669</v>
      </c>
      <c r="AV36" s="14"/>
      <c r="AW36" s="30"/>
      <c r="AX36" s="79"/>
    </row>
    <row r="37" spans="2:50" ht="15" customHeight="1" x14ac:dyDescent="0.3">
      <c r="B37" s="77">
        <v>46039</v>
      </c>
      <c r="C37" s="21">
        <f t="shared" si="1"/>
        <v>1</v>
      </c>
      <c r="D37" s="18" t="str">
        <f t="shared" si="2"/>
        <v>PUcanh</v>
      </c>
      <c r="E37" s="14"/>
      <c r="F37" s="14">
        <v>24</v>
      </c>
      <c r="G37" s="14"/>
      <c r="H37" s="14">
        <v>66</v>
      </c>
      <c r="I37" s="14"/>
      <c r="J37" s="14">
        <v>47</v>
      </c>
      <c r="K37" s="14"/>
      <c r="L37" s="14">
        <v>2</v>
      </c>
      <c r="M37" s="14"/>
      <c r="N37" s="14">
        <v>60</v>
      </c>
      <c r="O37" s="14">
        <v>198</v>
      </c>
      <c r="P37" s="14"/>
      <c r="Q37" s="14"/>
      <c r="R37" s="14"/>
      <c r="S37" s="14"/>
      <c r="T37" s="14">
        <v>23</v>
      </c>
      <c r="U37" s="14"/>
      <c r="V37" s="14"/>
      <c r="W37" s="14"/>
      <c r="X37" s="14"/>
      <c r="Y37" s="14"/>
      <c r="Z37" s="14"/>
      <c r="AA37" s="14">
        <v>241</v>
      </c>
      <c r="AB37" s="14">
        <v>48</v>
      </c>
      <c r="AC37" s="14"/>
      <c r="AD37" s="14"/>
      <c r="AE37" s="22">
        <f t="shared" si="10"/>
        <v>709</v>
      </c>
      <c r="AF37" s="31">
        <f>18+6+12</f>
        <v>36</v>
      </c>
      <c r="AG37" s="23">
        <v>0.79166666666666663</v>
      </c>
      <c r="AH37" s="23">
        <v>0.29166666666666669</v>
      </c>
      <c r="AI37" s="23" cm="1">
        <f t="array" ref="AI37">_xlfn.IFS($AG37="","",$AP37&gt;=8,TIME(1,0,0),$AP37&lt;=5,"")</f>
        <v>4.1666666666666664E-2</v>
      </c>
      <c r="AJ37" s="23" t="str" cm="1">
        <f t="array" ref="AJ37">IFERROR(_xlfn.IFS($AG37="","",AND($AP37&gt;12,$AG37&lt;TIME(10,0,0)),TIME(1,0,0),AND($AP37=12,$AG37&gt;=TIME(10,0,0),$AG37&lt;TIME(19,0,0)),TIME(0,30,0),AND($AP37=12,$AG37&gt;=TIME(19,0,0)),""),"")</f>
        <v/>
      </c>
      <c r="AK37" s="23" cm="1">
        <f t="array" ref="AK37">_xlfn.IFS($AG37="","",AND($AP37&lt;=12,$AP37&gt;10,$AJ37=""),TIME(0,35,0),OR(AND($AP37&lt;=10,$AP37&gt;5),$AJ37&lt;&gt;""),TIME(0,20,0),$AP37&gt;12,TIME(0,20,0),$AP37&lt;=5,TIME(0,10,0))</f>
        <v>2.4305555555555556E-2</v>
      </c>
      <c r="AL37" s="23">
        <f t="shared" si="4"/>
        <v>6.9444444444444441E-3</v>
      </c>
      <c r="AM37" s="23">
        <v>5.9027777777777776E-2</v>
      </c>
      <c r="AN37" s="23"/>
      <c r="AO37" s="30"/>
      <c r="AP37" s="24">
        <f t="shared" si="11"/>
        <v>11.999999999999998</v>
      </c>
      <c r="AQ37" s="23">
        <f t="shared" si="12"/>
        <v>7.2916666666666671E-2</v>
      </c>
      <c r="AR37" s="25">
        <f t="shared" si="13"/>
        <v>431.99999999999994</v>
      </c>
      <c r="AS37" s="25">
        <f t="shared" si="14"/>
        <v>317.99999999999994</v>
      </c>
      <c r="AT37" s="16"/>
      <c r="AU37" s="16" t="str">
        <f t="shared" si="9"/>
        <v/>
      </c>
      <c r="AV37" s="14"/>
      <c r="AW37" s="30"/>
      <c r="AX37" s="79" t="s">
        <v>64</v>
      </c>
    </row>
    <row r="38" spans="2:50" ht="15" customHeight="1" x14ac:dyDescent="0.3">
      <c r="B38" s="78">
        <v>46040</v>
      </c>
      <c r="C38" s="21">
        <f t="shared" si="1"/>
        <v>1</v>
      </c>
      <c r="D38" s="18" t="str">
        <f t="shared" si="2"/>
        <v>PUcanh</v>
      </c>
      <c r="E38" s="14"/>
      <c r="F38" s="14">
        <v>8</v>
      </c>
      <c r="G38" s="14"/>
      <c r="H38" s="14">
        <v>63</v>
      </c>
      <c r="I38" s="14"/>
      <c r="J38" s="14"/>
      <c r="K38" s="14"/>
      <c r="L38" s="14"/>
      <c r="M38" s="14"/>
      <c r="N38" s="14">
        <v>22</v>
      </c>
      <c r="O38" s="14">
        <v>94</v>
      </c>
      <c r="P38" s="14"/>
      <c r="Q38" s="14"/>
      <c r="R38" s="14"/>
      <c r="S38" s="14"/>
      <c r="T38" s="14"/>
      <c r="U38" s="14"/>
      <c r="V38" s="14"/>
      <c r="W38" s="14"/>
      <c r="X38" s="14"/>
      <c r="Y38" s="14"/>
      <c r="Z38" s="14"/>
      <c r="AA38" s="14">
        <f>112+96</f>
        <v>208</v>
      </c>
      <c r="AB38" s="14">
        <v>10</v>
      </c>
      <c r="AC38" s="14"/>
      <c r="AD38" s="14"/>
      <c r="AE38" s="22">
        <f t="shared" si="10"/>
        <v>405</v>
      </c>
      <c r="AF38" s="31">
        <f>16+12+6</f>
        <v>34</v>
      </c>
      <c r="AG38" s="23">
        <v>0.29166666666666669</v>
      </c>
      <c r="AH38" s="23">
        <v>0.79166666666666663</v>
      </c>
      <c r="AI38" s="23" cm="1">
        <f t="array" ref="AI38">_xlfn.IFS($AG38="","",$AP38&gt;=8,TIME(1,0,0),$AP38&lt;=5,"")</f>
        <v>4.1666666666666664E-2</v>
      </c>
      <c r="AJ38" s="23" t="str" cm="1">
        <f t="array" ref="AJ38">IFERROR(_xlfn.IFS($AG38="","",AND($AP38&gt;12,$AG38&lt;TIME(10,0,0)),TIME(1,0,0),AND($AP38=12,$AG38&gt;=TIME(10,0,0),$AG38&lt;TIME(19,0,0)),TIME(0,30,0),AND($AP38=12,$AG38&gt;=TIME(19,0,0)),""),"")</f>
        <v/>
      </c>
      <c r="AK38" s="23" cm="1">
        <f t="array" ref="AK38">_xlfn.IFS($AG38="","",AND($AP38&lt;=12,$AP38&gt;10,$AJ38=""),TIME(0,35,0),OR(AND($AP38&lt;=10,$AP38&gt;5),$AJ38&lt;&gt;""),TIME(0,20,0),$AP38&gt;12,TIME(0,20,0),$AP38&lt;=5,TIME(0,10,0))</f>
        <v>2.4305555555555556E-2</v>
      </c>
      <c r="AL38" s="23">
        <f t="shared" si="4"/>
        <v>6.9444444444444441E-3</v>
      </c>
      <c r="AM38" s="23"/>
      <c r="AN38" s="23">
        <v>2.7777777777777776E-2</v>
      </c>
      <c r="AO38" s="30"/>
      <c r="AP38" s="24">
        <f t="shared" si="11"/>
        <v>11.999999999999998</v>
      </c>
      <c r="AQ38" s="23">
        <f t="shared" si="12"/>
        <v>7.2916666666666671E-2</v>
      </c>
      <c r="AR38" s="25">
        <f t="shared" si="13"/>
        <v>407.99999999999994</v>
      </c>
      <c r="AS38" s="25">
        <f t="shared" si="14"/>
        <v>325.83333333333331</v>
      </c>
      <c r="AT38" s="16">
        <f>IF(OR($AE38=0,$AF38="",$AR38=""),"",SUM($AR38:$AR39)/SUM($AE38:$AE39))</f>
        <v>1.0074074074074073</v>
      </c>
      <c r="AU38" s="16">
        <f t="shared" si="9"/>
        <v>0.99264705882352955</v>
      </c>
      <c r="AV38" s="14"/>
      <c r="AW38" s="30"/>
      <c r="AX38" s="79" t="s">
        <v>65</v>
      </c>
    </row>
    <row r="39" spans="2:50" ht="15" customHeight="1" x14ac:dyDescent="0.3">
      <c r="B39" s="78">
        <v>46040</v>
      </c>
      <c r="C39" s="21">
        <f t="shared" si="1"/>
        <v>1</v>
      </c>
      <c r="D39" s="18" t="str">
        <f t="shared" si="2"/>
        <v>PUcanh</v>
      </c>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22">
        <f t="shared" si="10"/>
        <v>0</v>
      </c>
      <c r="AF39" s="31"/>
      <c r="AG39" s="23"/>
      <c r="AH39" s="23"/>
      <c r="AI39" s="23" t="str" cm="1">
        <f t="array" ref="AI39">_xlfn.IFS($AG39="","",$AP39&gt;=8,TIME(1,0,0),$AP39&lt;=5,"")</f>
        <v/>
      </c>
      <c r="AJ39" s="23" t="str" cm="1">
        <f t="array" ref="AJ39">IFERROR(_xlfn.IFS($AG39="","",AND($AP39&gt;12,$AG39&lt;TIME(10,0,0)),TIME(1,0,0),AND($AP39=12,$AG39&gt;=TIME(10,0,0),$AG39&lt;TIME(19,0,0)),TIME(0,30,0),AND($AP39=12,$AG39&gt;=TIME(19,0,0)),""),"")</f>
        <v/>
      </c>
      <c r="AK39" s="23" t="str" cm="1">
        <f t="array" ref="AK39">_xlfn.IFS($AG39="","",AND($AP39&lt;=12,$AP39&gt;10,$AJ39=""),TIME(0,35,0),OR(AND($AP39&lt;=10,$AP39&gt;5),$AJ39&lt;&gt;""),TIME(0,20,0),$AP39&gt;12,TIME(0,20,0),$AP39&lt;=5,TIME(0,10,0))</f>
        <v/>
      </c>
      <c r="AL39" s="23" t="str">
        <f t="shared" si="4"/>
        <v/>
      </c>
      <c r="AM39" s="23"/>
      <c r="AN39" s="23"/>
      <c r="AO39" s="30"/>
      <c r="AP39" s="24" t="str">
        <f t="shared" si="11"/>
        <v/>
      </c>
      <c r="AQ39" s="23" t="str">
        <f t="shared" si="12"/>
        <v/>
      </c>
      <c r="AR39" s="25" t="str">
        <f t="shared" si="13"/>
        <v/>
      </c>
      <c r="AS39" s="25" t="str">
        <f t="shared" si="14"/>
        <v/>
      </c>
      <c r="AT39" s="16"/>
      <c r="AU39" s="16" t="str">
        <f t="shared" si="9"/>
        <v/>
      </c>
      <c r="AV39" s="14"/>
      <c r="AW39" s="30"/>
      <c r="AX39" s="79"/>
    </row>
    <row r="40" spans="2:50" ht="15" customHeight="1" x14ac:dyDescent="0.3">
      <c r="B40" s="77">
        <v>46041</v>
      </c>
      <c r="C40" s="21">
        <f t="shared" si="1"/>
        <v>1</v>
      </c>
      <c r="D40" s="18" t="str">
        <f t="shared" si="2"/>
        <v>PUcanh</v>
      </c>
      <c r="E40" s="14"/>
      <c r="F40" s="14">
        <v>55</v>
      </c>
      <c r="G40" s="14"/>
      <c r="H40" s="14">
        <v>38</v>
      </c>
      <c r="I40" s="14"/>
      <c r="J40" s="14">
        <v>48</v>
      </c>
      <c r="K40" s="14"/>
      <c r="L40" s="14"/>
      <c r="M40" s="14"/>
      <c r="N40" s="14">
        <v>5</v>
      </c>
      <c r="O40" s="14">
        <v>131</v>
      </c>
      <c r="P40" s="14"/>
      <c r="Q40" s="14"/>
      <c r="R40" s="14"/>
      <c r="S40" s="14">
        <v>26</v>
      </c>
      <c r="T40" s="14">
        <v>47</v>
      </c>
      <c r="U40" s="14"/>
      <c r="V40" s="14"/>
      <c r="W40" s="14"/>
      <c r="X40" s="14"/>
      <c r="Y40" s="14"/>
      <c r="Z40" s="14"/>
      <c r="AA40" s="14">
        <v>265</v>
      </c>
      <c r="AB40" s="14">
        <v>48</v>
      </c>
      <c r="AC40" s="14"/>
      <c r="AD40" s="14"/>
      <c r="AE40" s="22">
        <f t="shared" si="10"/>
        <v>663</v>
      </c>
      <c r="AF40" s="31">
        <f>18+9+12</f>
        <v>39</v>
      </c>
      <c r="AG40" s="23">
        <v>0.29166666666666669</v>
      </c>
      <c r="AH40" s="23">
        <v>0.79166666666666663</v>
      </c>
      <c r="AI40" s="23" cm="1">
        <f t="array" ref="AI40">_xlfn.IFS($AG40="","",$AP40&gt;=8,TIME(1,0,0),$AP40&lt;=5,"")</f>
        <v>4.1666666666666664E-2</v>
      </c>
      <c r="AJ40" s="23" t="str" cm="1">
        <f t="array" ref="AJ40">IFERROR(_xlfn.IFS($AG40="","",AND($AP40&gt;12,$AG40&lt;TIME(10,0,0)),TIME(1,0,0),AND($AP40=12,$AG40&gt;=TIME(10,0,0),$AG40&lt;TIME(19,0,0)),TIME(0,30,0),AND($AP40=12,$AG40&gt;=TIME(19,0,0)),""),"")</f>
        <v/>
      </c>
      <c r="AK40" s="23" cm="1">
        <f t="array" ref="AK40">_xlfn.IFS($AG40="","",AND($AP40&lt;=12,$AP40&gt;10,$AJ40=""),TIME(0,35,0),OR(AND($AP40&lt;=10,$AP40&gt;5),$AJ40&lt;&gt;""),TIME(0,20,0),$AP40&gt;12,TIME(0,20,0),$AP40&lt;=5,TIME(0,10,0))</f>
        <v>2.4305555555555556E-2</v>
      </c>
      <c r="AL40" s="23">
        <f t="shared" si="4"/>
        <v>6.9444444444444441E-3</v>
      </c>
      <c r="AM40" s="23">
        <v>4.8611111111111112E-2</v>
      </c>
      <c r="AN40" s="23">
        <v>4.1666666666666664E-2</v>
      </c>
      <c r="AO40" s="30"/>
      <c r="AP40" s="24">
        <f t="shared" si="11"/>
        <v>11.999999999999998</v>
      </c>
      <c r="AQ40" s="23">
        <f t="shared" si="12"/>
        <v>7.2916666666666671E-2</v>
      </c>
      <c r="AR40" s="25">
        <f t="shared" si="13"/>
        <v>467.99999999999994</v>
      </c>
      <c r="AS40" s="25">
        <f t="shared" si="14"/>
        <v>315.24999999999994</v>
      </c>
      <c r="AT40" s="16">
        <f>IF(OR($AE40=0,$AF40="",$AR40=""),"",SUM($AR40:$AR41)/SUM($AE40:$AE41))</f>
        <v>0.67875271936185633</v>
      </c>
      <c r="AU40" s="16">
        <f t="shared" si="9"/>
        <v>1.4732905982905984</v>
      </c>
      <c r="AV40" s="14"/>
      <c r="AW40" s="30"/>
      <c r="AX40" s="79" t="s">
        <v>66</v>
      </c>
    </row>
    <row r="41" spans="2:50" ht="15" customHeight="1" x14ac:dyDescent="0.3">
      <c r="B41" s="77">
        <v>46041</v>
      </c>
      <c r="C41" s="21">
        <f t="shared" si="1"/>
        <v>1</v>
      </c>
      <c r="D41" s="18" t="str">
        <f t="shared" si="2"/>
        <v>PUcanh</v>
      </c>
      <c r="E41" s="14"/>
      <c r="F41" s="14">
        <v>32</v>
      </c>
      <c r="G41" s="14"/>
      <c r="H41" s="14">
        <v>28</v>
      </c>
      <c r="I41" s="14"/>
      <c r="J41" s="14">
        <v>50</v>
      </c>
      <c r="K41" s="14">
        <v>53</v>
      </c>
      <c r="L41" s="14">
        <v>4</v>
      </c>
      <c r="M41" s="14"/>
      <c r="N41" s="14"/>
      <c r="O41" s="14">
        <v>123</v>
      </c>
      <c r="P41" s="14"/>
      <c r="Q41" s="14"/>
      <c r="R41" s="14">
        <v>21</v>
      </c>
      <c r="S41" s="14">
        <v>6</v>
      </c>
      <c r="T41" s="14">
        <v>75</v>
      </c>
      <c r="U41" s="14"/>
      <c r="V41" s="14"/>
      <c r="W41" s="14"/>
      <c r="X41" s="14"/>
      <c r="Y41" s="14"/>
      <c r="Z41" s="14"/>
      <c r="AA41" s="14">
        <v>275</v>
      </c>
      <c r="AB41" s="14">
        <v>49</v>
      </c>
      <c r="AC41" s="14"/>
      <c r="AD41" s="14"/>
      <c r="AE41" s="22">
        <f t="shared" si="10"/>
        <v>716</v>
      </c>
      <c r="AF41" s="31">
        <f>19+11+9</f>
        <v>39</v>
      </c>
      <c r="AG41" s="23">
        <v>0.79166666666666663</v>
      </c>
      <c r="AH41" s="23">
        <v>0.29166666666666669</v>
      </c>
      <c r="AI41" s="23" cm="1">
        <f t="array" ref="AI41">_xlfn.IFS($AG41="","",$AP41&gt;=8,TIME(1,0,0),$AP41&lt;=5,"")</f>
        <v>4.1666666666666664E-2</v>
      </c>
      <c r="AJ41" s="23" t="str" cm="1">
        <f t="array" ref="AJ41">IFERROR(_xlfn.IFS($AG41="","",AND($AP41&gt;12,$AG41&lt;TIME(10,0,0)),TIME(1,0,0),AND($AP41=12,$AG41&gt;=TIME(10,0,0),$AG41&lt;TIME(19,0,0)),TIME(0,30,0),AND($AP41=12,$AG41&gt;=TIME(19,0,0)),""),"")</f>
        <v/>
      </c>
      <c r="AK41" s="23" cm="1">
        <f t="array" ref="AK41">_xlfn.IFS($AG41="","",AND($AP41&lt;=12,$AP41&gt;10,$AJ41=""),TIME(0,35,0),OR(AND($AP41&lt;=10,$AP41&gt;5),$AJ41&lt;&gt;""),TIME(0,20,0),$AP41&gt;12,TIME(0,20,0),$AP41&lt;=5,TIME(0,10,0))</f>
        <v>2.4305555555555556E-2</v>
      </c>
      <c r="AL41" s="23">
        <f t="shared" si="4"/>
        <v>6.9444444444444441E-3</v>
      </c>
      <c r="AM41" s="23">
        <v>6.25E-2</v>
      </c>
      <c r="AN41" s="23">
        <v>2.7777777777777776E-2</v>
      </c>
      <c r="AO41" s="30"/>
      <c r="AP41" s="24">
        <f t="shared" si="11"/>
        <v>11.999999999999998</v>
      </c>
      <c r="AQ41" s="23">
        <f t="shared" si="12"/>
        <v>7.2916666666666671E-2</v>
      </c>
      <c r="AR41" s="25">
        <f t="shared" si="13"/>
        <v>467.99999999999994</v>
      </c>
      <c r="AS41" s="25">
        <f t="shared" si="14"/>
        <v>315.24999999999989</v>
      </c>
      <c r="AT41" s="16"/>
      <c r="AU41" s="16" t="str">
        <f t="shared" si="9"/>
        <v/>
      </c>
      <c r="AV41" s="14"/>
      <c r="AW41" s="30"/>
      <c r="AX41" s="79" t="s">
        <v>67</v>
      </c>
    </row>
    <row r="42" spans="2:50" ht="15" customHeight="1" x14ac:dyDescent="0.3">
      <c r="B42" s="78">
        <v>46042</v>
      </c>
      <c r="C42" s="21">
        <f t="shared" si="1"/>
        <v>1</v>
      </c>
      <c r="D42" s="18" t="str">
        <f t="shared" si="2"/>
        <v>PUcanh</v>
      </c>
      <c r="E42" s="14"/>
      <c r="F42" s="14">
        <v>33</v>
      </c>
      <c r="G42" s="14"/>
      <c r="H42" s="14">
        <v>40</v>
      </c>
      <c r="I42" s="14"/>
      <c r="J42" s="14">
        <v>32</v>
      </c>
      <c r="K42" s="14">
        <v>58</v>
      </c>
      <c r="L42" s="14"/>
      <c r="M42" s="14"/>
      <c r="N42" s="14">
        <v>82</v>
      </c>
      <c r="O42" s="14">
        <v>129</v>
      </c>
      <c r="P42" s="14"/>
      <c r="Q42" s="14"/>
      <c r="R42" s="14"/>
      <c r="S42" s="14">
        <v>4</v>
      </c>
      <c r="T42" s="14">
        <v>26</v>
      </c>
      <c r="U42" s="14"/>
      <c r="V42" s="14"/>
      <c r="W42" s="14"/>
      <c r="X42" s="14"/>
      <c r="Y42" s="14"/>
      <c r="Z42" s="14"/>
      <c r="AA42" s="14">
        <v>276</v>
      </c>
      <c r="AB42" s="14">
        <v>62</v>
      </c>
      <c r="AC42" s="14"/>
      <c r="AD42" s="14"/>
      <c r="AE42" s="22">
        <f t="shared" si="10"/>
        <v>742</v>
      </c>
      <c r="AF42" s="31">
        <f>18+8+13</f>
        <v>39</v>
      </c>
      <c r="AG42" s="23">
        <v>0.29166666666666669</v>
      </c>
      <c r="AH42" s="23">
        <v>0.79166666666666663</v>
      </c>
      <c r="AI42" s="23" cm="1">
        <f t="array" ref="AI42">_xlfn.IFS($AG42="","",$AP42&gt;=8,TIME(1,0,0),$AP42&lt;=5,"")</f>
        <v>4.1666666666666664E-2</v>
      </c>
      <c r="AJ42" s="23" t="str" cm="1">
        <f t="array" ref="AJ42">IFERROR(_xlfn.IFS($AG42="","",AND($AP42&gt;12,$AG42&lt;TIME(10,0,0)),TIME(1,0,0),AND($AP42=12,$AG42&gt;=TIME(10,0,0),$AG42&lt;TIME(19,0,0)),TIME(0,30,0),AND($AP42=12,$AG42&gt;=TIME(19,0,0)),""),"")</f>
        <v/>
      </c>
      <c r="AK42" s="23" cm="1">
        <f t="array" ref="AK42">_xlfn.IFS($AG42="","",AND($AP42&lt;=12,$AP42&gt;10,$AJ42=""),TIME(0,35,0),OR(AND($AP42&lt;=10,$AP42&gt;5),$AJ42&lt;&gt;""),TIME(0,20,0),$AP42&gt;12,TIME(0,20,0),$AP42&lt;=5,TIME(0,10,0))</f>
        <v>2.4305555555555556E-2</v>
      </c>
      <c r="AL42" s="23">
        <f t="shared" si="4"/>
        <v>6.9444444444444441E-3</v>
      </c>
      <c r="AM42" s="23"/>
      <c r="AN42" s="23"/>
      <c r="AO42" s="23">
        <v>0.16666666666666666</v>
      </c>
      <c r="AP42" s="24">
        <f t="shared" si="11"/>
        <v>11.999999999999998</v>
      </c>
      <c r="AQ42" s="23">
        <f t="shared" si="12"/>
        <v>7.2916666666666671E-2</v>
      </c>
      <c r="AR42" s="25">
        <f t="shared" si="13"/>
        <v>467.99999999999994</v>
      </c>
      <c r="AS42" s="25">
        <f t="shared" si="14"/>
        <v>399.74999999999994</v>
      </c>
      <c r="AT42" s="16">
        <f>IF(OR($AE42=0,$AF42="",$AR42=""),"",SUM($AR42:$AR43)/SUM($AE42:$AE43))</f>
        <v>0.59160073037127203</v>
      </c>
      <c r="AU42" s="16">
        <f t="shared" si="9"/>
        <v>1.690329218106996</v>
      </c>
      <c r="AV42" s="14"/>
      <c r="AW42" s="30"/>
      <c r="AX42" s="79" t="s">
        <v>68</v>
      </c>
    </row>
    <row r="43" spans="2:50" ht="15" customHeight="1" x14ac:dyDescent="0.3">
      <c r="B43" s="78">
        <v>46042</v>
      </c>
      <c r="C43" s="21">
        <f t="shared" si="1"/>
        <v>1</v>
      </c>
      <c r="D43" s="18" t="str">
        <f t="shared" si="2"/>
        <v>PUcanh</v>
      </c>
      <c r="E43" s="14"/>
      <c r="F43" s="14">
        <v>35</v>
      </c>
      <c r="G43" s="14"/>
      <c r="H43" s="14">
        <v>48</v>
      </c>
      <c r="I43" s="14"/>
      <c r="J43" s="14">
        <v>113</v>
      </c>
      <c r="K43" s="14">
        <v>16</v>
      </c>
      <c r="L43" s="14"/>
      <c r="M43" s="14"/>
      <c r="N43" s="14">
        <v>81</v>
      </c>
      <c r="O43" s="14">
        <v>189</v>
      </c>
      <c r="P43" s="14"/>
      <c r="Q43" s="14"/>
      <c r="R43" s="14"/>
      <c r="S43" s="14"/>
      <c r="T43" s="14">
        <v>16</v>
      </c>
      <c r="U43" s="14"/>
      <c r="V43" s="14"/>
      <c r="W43" s="14"/>
      <c r="X43" s="14"/>
      <c r="Y43" s="14"/>
      <c r="Z43" s="14"/>
      <c r="AA43" s="14">
        <v>310</v>
      </c>
      <c r="AB43" s="14">
        <v>93</v>
      </c>
      <c r="AC43" s="14"/>
      <c r="AD43" s="14"/>
      <c r="AE43" s="22">
        <f t="shared" si="10"/>
        <v>901</v>
      </c>
      <c r="AF43" s="31">
        <f>19+12+11</f>
        <v>42</v>
      </c>
      <c r="AG43" s="23">
        <v>0.79166666666666663</v>
      </c>
      <c r="AH43" s="23">
        <v>0.29166666666666669</v>
      </c>
      <c r="AI43" s="23" cm="1">
        <f t="array" ref="AI43">_xlfn.IFS($AG43="","",$AP43&gt;=8,TIME(1,0,0),$AP43&lt;=5,"")</f>
        <v>4.1666666666666664E-2</v>
      </c>
      <c r="AJ43" s="23" t="str" cm="1">
        <f t="array" ref="AJ43">IFERROR(_xlfn.IFS($AG43="","",AND($AP43&gt;12,$AG43&lt;TIME(10,0,0)),TIME(1,0,0),AND($AP43=12,$AG43&gt;=TIME(10,0,0),$AG43&lt;TIME(19,0,0)),TIME(0,30,0),AND($AP43=12,$AG43&gt;=TIME(19,0,0)),""),"")</f>
        <v/>
      </c>
      <c r="AK43" s="23" cm="1">
        <f t="array" ref="AK43">_xlfn.IFS($AG43="","",AND($AP43&lt;=12,$AP43&gt;10,$AJ43=""),TIME(0,35,0),OR(AND($AP43&lt;=10,$AP43&gt;5),$AJ43&lt;&gt;""),TIME(0,20,0),$AP43&gt;12,TIME(0,20,0),$AP43&lt;=5,TIME(0,10,0))</f>
        <v>2.4305555555555556E-2</v>
      </c>
      <c r="AL43" s="23">
        <f t="shared" si="4"/>
        <v>6.9444444444444441E-3</v>
      </c>
      <c r="AM43" s="23"/>
      <c r="AN43" s="23"/>
      <c r="AO43" s="23">
        <v>0.25</v>
      </c>
      <c r="AP43" s="24">
        <f t="shared" si="11"/>
        <v>11.999999999999998</v>
      </c>
      <c r="AQ43" s="23">
        <f t="shared" si="12"/>
        <v>7.2916666666666671E-2</v>
      </c>
      <c r="AR43" s="25">
        <f t="shared" si="13"/>
        <v>503.99999999999994</v>
      </c>
      <c r="AS43" s="25">
        <f t="shared" si="14"/>
        <v>430.49999999999994</v>
      </c>
      <c r="AT43" s="16"/>
      <c r="AU43" s="16" t="str">
        <f t="shared" si="9"/>
        <v/>
      </c>
      <c r="AV43" s="14"/>
      <c r="AW43" s="30"/>
      <c r="AX43" s="79" t="s">
        <v>69</v>
      </c>
    </row>
    <row r="44" spans="2:50" ht="15" customHeight="1" x14ac:dyDescent="0.3">
      <c r="B44" s="77">
        <v>46043</v>
      </c>
      <c r="C44" s="21">
        <f t="shared" si="1"/>
        <v>1</v>
      </c>
      <c r="D44" s="18" t="str">
        <f t="shared" si="2"/>
        <v>PUcanh</v>
      </c>
      <c r="E44" s="14"/>
      <c r="F44" s="14">
        <v>46</v>
      </c>
      <c r="G44" s="14"/>
      <c r="H44" s="14">
        <v>94</v>
      </c>
      <c r="I44" s="14"/>
      <c r="J44" s="14">
        <v>51</v>
      </c>
      <c r="K44" s="14">
        <v>92</v>
      </c>
      <c r="L44" s="14"/>
      <c r="M44" s="14"/>
      <c r="N44" s="14">
        <v>66</v>
      </c>
      <c r="O44" s="14">
        <v>190</v>
      </c>
      <c r="P44" s="14"/>
      <c r="Q44" s="14">
        <v>46</v>
      </c>
      <c r="R44" s="14">
        <v>8</v>
      </c>
      <c r="S44" s="14"/>
      <c r="T44" s="14">
        <v>9</v>
      </c>
      <c r="U44" s="14"/>
      <c r="V44" s="14"/>
      <c r="W44" s="14"/>
      <c r="X44" s="14"/>
      <c r="Y44" s="14"/>
      <c r="Z44" s="14"/>
      <c r="AA44" s="14">
        <v>66</v>
      </c>
      <c r="AB44" s="14">
        <v>29</v>
      </c>
      <c r="AC44" s="14"/>
      <c r="AD44" s="14"/>
      <c r="AE44" s="22">
        <f t="shared" si="10"/>
        <v>697</v>
      </c>
      <c r="AF44" s="31">
        <f>20+10+13</f>
        <v>43</v>
      </c>
      <c r="AG44" s="23">
        <v>0.29166666666666669</v>
      </c>
      <c r="AH44" s="23">
        <v>0.79166666666666663</v>
      </c>
      <c r="AI44" s="23" cm="1">
        <f t="array" ref="AI44">_xlfn.IFS($AG44="","",$AP44&gt;=8,TIME(1,0,0),$AP44&lt;=5,"")</f>
        <v>4.1666666666666664E-2</v>
      </c>
      <c r="AJ44" s="23" t="str" cm="1">
        <f t="array" ref="AJ44">IFERROR(_xlfn.IFS($AG44="","",AND($AP44&gt;12,$AG44&lt;TIME(10,0,0)),TIME(1,0,0),AND($AP44=12,$AG44&gt;=TIME(10,0,0),$AG44&lt;TIME(19,0,0)),TIME(0,30,0),AND($AP44=12,$AG44&gt;=TIME(19,0,0)),""),"")</f>
        <v/>
      </c>
      <c r="AK44" s="23" cm="1">
        <f t="array" ref="AK44">_xlfn.IFS($AG44="","",AND($AP44&lt;=12,$AP44&gt;10,$AJ44=""),TIME(0,35,0),OR(AND($AP44&lt;=10,$AP44&gt;5),$AJ44&lt;&gt;""),TIME(0,20,0),$AP44&gt;12,TIME(0,20,0),$AP44&lt;=5,TIME(0,10,0))</f>
        <v>2.4305555555555556E-2</v>
      </c>
      <c r="AL44" s="23">
        <f t="shared" si="4"/>
        <v>6.9444444444444441E-3</v>
      </c>
      <c r="AM44" s="23"/>
      <c r="AN44" s="23"/>
      <c r="AO44" s="23">
        <v>0.42708333333333331</v>
      </c>
      <c r="AP44" s="24">
        <f t="shared" si="11"/>
        <v>11.999999999999998</v>
      </c>
      <c r="AQ44" s="23">
        <f t="shared" si="12"/>
        <v>7.2916666666666671E-2</v>
      </c>
      <c r="AR44" s="25">
        <f t="shared" si="13"/>
        <v>515.99999999999989</v>
      </c>
      <c r="AS44" s="25">
        <f t="shared" si="14"/>
        <v>440.74999999999994</v>
      </c>
      <c r="AT44" s="16">
        <f>IF(OR($AE44=0,$AF44="",$AR44=""),"",SUM($AR44:$AR45)/SUM($AE44:$AE45))</f>
        <v>0.72213967310549765</v>
      </c>
      <c r="AU44" s="16">
        <f t="shared" si="9"/>
        <v>1.3847736625514406</v>
      </c>
      <c r="AV44" s="14"/>
      <c r="AW44" s="30"/>
      <c r="AX44" s="79" t="s">
        <v>70</v>
      </c>
    </row>
    <row r="45" spans="2:50" ht="15" customHeight="1" x14ac:dyDescent="0.3">
      <c r="B45" s="77">
        <v>46043</v>
      </c>
      <c r="C45" s="21">
        <f t="shared" si="1"/>
        <v>1</v>
      </c>
      <c r="D45" s="18" t="str">
        <f t="shared" si="2"/>
        <v>PUcanh</v>
      </c>
      <c r="E45" s="14"/>
      <c r="F45" s="14">
        <v>22</v>
      </c>
      <c r="G45" s="14">
        <v>20</v>
      </c>
      <c r="H45" s="14">
        <v>15</v>
      </c>
      <c r="I45" s="14"/>
      <c r="J45" s="14">
        <v>59</v>
      </c>
      <c r="K45" s="14">
        <v>16</v>
      </c>
      <c r="L45" s="14"/>
      <c r="M45" s="14"/>
      <c r="N45" s="14">
        <v>107</v>
      </c>
      <c r="O45" s="14">
        <v>167</v>
      </c>
      <c r="P45" s="14"/>
      <c r="Q45" s="14">
        <v>96</v>
      </c>
      <c r="R45" s="14">
        <v>23</v>
      </c>
      <c r="S45" s="14"/>
      <c r="T45" s="14"/>
      <c r="U45" s="14"/>
      <c r="V45" s="14"/>
      <c r="W45" s="14"/>
      <c r="X45" s="14"/>
      <c r="Y45" s="14"/>
      <c r="Z45" s="14"/>
      <c r="AA45" s="14">
        <v>63</v>
      </c>
      <c r="AB45" s="14">
        <v>61</v>
      </c>
      <c r="AC45" s="14"/>
      <c r="AD45" s="14"/>
      <c r="AE45" s="22">
        <f t="shared" si="10"/>
        <v>649</v>
      </c>
      <c r="AF45" s="31">
        <f>16+12+10</f>
        <v>38</v>
      </c>
      <c r="AG45" s="23">
        <v>0.79166666666666663</v>
      </c>
      <c r="AH45" s="23">
        <v>0.29166666666666669</v>
      </c>
      <c r="AI45" s="23" cm="1">
        <f t="array" ref="AI45">_xlfn.IFS($AG45="","",$AP45&gt;=8,TIME(1,0,0),$AP45&lt;=5,"")</f>
        <v>4.1666666666666664E-2</v>
      </c>
      <c r="AJ45" s="23" t="str" cm="1">
        <f t="array" ref="AJ45">IFERROR(_xlfn.IFS($AG45="","",AND($AP45&gt;12,$AG45&lt;TIME(10,0,0)),TIME(1,0,0),AND($AP45=12,$AG45&gt;=TIME(10,0,0),$AG45&lt;TIME(19,0,0)),TIME(0,30,0),AND($AP45=12,$AG45&gt;=TIME(19,0,0)),""),"")</f>
        <v/>
      </c>
      <c r="AK45" s="23" cm="1">
        <f t="array" ref="AK45">_xlfn.IFS($AG45="","",AND($AP45&lt;=12,$AP45&gt;10,$AJ45=""),TIME(0,35,0),OR(AND($AP45&lt;=10,$AP45&gt;5),$AJ45&lt;&gt;""),TIME(0,20,0),$AP45&gt;12,TIME(0,20,0),$AP45&lt;=5,TIME(0,10,0))</f>
        <v>2.4305555555555556E-2</v>
      </c>
      <c r="AL45" s="23">
        <f t="shared" si="4"/>
        <v>6.9444444444444441E-3</v>
      </c>
      <c r="AM45" s="23"/>
      <c r="AN45" s="23"/>
      <c r="AO45" s="23">
        <v>0.42708333333333331</v>
      </c>
      <c r="AP45" s="24">
        <f t="shared" si="11"/>
        <v>11.999999999999998</v>
      </c>
      <c r="AQ45" s="23">
        <f t="shared" si="12"/>
        <v>7.2916666666666671E-2</v>
      </c>
      <c r="AR45" s="25">
        <f t="shared" si="13"/>
        <v>455.99999999999994</v>
      </c>
      <c r="AS45" s="25">
        <f t="shared" si="14"/>
        <v>389.49999999999994</v>
      </c>
      <c r="AT45" s="16"/>
      <c r="AU45" s="16" t="str">
        <f t="shared" si="9"/>
        <v/>
      </c>
      <c r="AV45" s="14"/>
      <c r="AW45" s="30"/>
      <c r="AX45" s="79" t="s">
        <v>71</v>
      </c>
    </row>
    <row r="46" spans="2:50" ht="15" customHeight="1" x14ac:dyDescent="0.3">
      <c r="B46" s="78">
        <v>46044</v>
      </c>
      <c r="C46" s="21">
        <f t="shared" si="1"/>
        <v>1</v>
      </c>
      <c r="D46" s="18" t="str">
        <f t="shared" si="2"/>
        <v>PUcanh</v>
      </c>
      <c r="E46" s="14"/>
      <c r="F46" s="14">
        <v>45</v>
      </c>
      <c r="G46" s="14"/>
      <c r="H46" s="14">
        <v>1</v>
      </c>
      <c r="I46" s="14">
        <v>49</v>
      </c>
      <c r="J46" s="14">
        <v>4</v>
      </c>
      <c r="K46" s="14"/>
      <c r="L46" s="14"/>
      <c r="M46" s="14"/>
      <c r="N46" s="14">
        <v>89</v>
      </c>
      <c r="O46" s="14">
        <v>137</v>
      </c>
      <c r="P46" s="14"/>
      <c r="Q46" s="14">
        <v>43</v>
      </c>
      <c r="R46" s="14">
        <v>59</v>
      </c>
      <c r="S46" s="14"/>
      <c r="T46" s="14">
        <v>33</v>
      </c>
      <c r="U46" s="14"/>
      <c r="V46" s="14"/>
      <c r="W46" s="14"/>
      <c r="X46" s="14"/>
      <c r="Y46" s="14"/>
      <c r="Z46" s="14"/>
      <c r="AA46" s="14">
        <v>274</v>
      </c>
      <c r="AB46" s="14">
        <v>28</v>
      </c>
      <c r="AC46" s="14"/>
      <c r="AD46" s="14"/>
      <c r="AE46" s="22">
        <f t="shared" si="10"/>
        <v>762</v>
      </c>
      <c r="AF46" s="31">
        <f>20+10+13</f>
        <v>43</v>
      </c>
      <c r="AG46" s="23">
        <v>0.29166666666666669</v>
      </c>
      <c r="AH46" s="23">
        <v>0.79166666666666663</v>
      </c>
      <c r="AI46" s="23" cm="1">
        <f t="array" ref="AI46">_xlfn.IFS($AG46="","",$AP46&gt;=8,TIME(1,0,0),$AP46&lt;=5,"")</f>
        <v>4.1666666666666664E-2</v>
      </c>
      <c r="AJ46" s="23" t="str" cm="1">
        <f t="array" ref="AJ46">IFERROR(_xlfn.IFS($AG46="","",AND($AP46&gt;12,$AG46&lt;TIME(10,0,0)),TIME(1,0,0),AND($AP46=12,$AG46&gt;=TIME(10,0,0),$AG46&lt;TIME(19,0,0)),TIME(0,30,0),AND($AP46=12,$AG46&gt;=TIME(19,0,0)),""),"")</f>
        <v/>
      </c>
      <c r="AK46" s="23" cm="1">
        <f t="array" ref="AK46">_xlfn.IFS($AG46="","",AND($AP46&lt;=12,$AP46&gt;10,$AJ46=""),TIME(0,35,0),OR(AND($AP46&lt;=10,$AP46&gt;5),$AJ46&lt;&gt;""),TIME(0,20,0),$AP46&gt;12,TIME(0,20,0),$AP46&lt;=5,TIME(0,10,0))</f>
        <v>2.4305555555555556E-2</v>
      </c>
      <c r="AL46" s="23">
        <f t="shared" si="4"/>
        <v>6.9444444444444441E-3</v>
      </c>
      <c r="AM46" s="23"/>
      <c r="AN46" s="23">
        <v>4.1666666666666664E-2</v>
      </c>
      <c r="AO46" s="23">
        <v>0.25</v>
      </c>
      <c r="AP46" s="24">
        <f t="shared" si="11"/>
        <v>11.999999999999998</v>
      </c>
      <c r="AQ46" s="23">
        <f t="shared" si="12"/>
        <v>7.2916666666666671E-2</v>
      </c>
      <c r="AR46" s="25">
        <f t="shared" si="13"/>
        <v>515.99999999999989</v>
      </c>
      <c r="AS46" s="25">
        <f t="shared" si="14"/>
        <v>397.74999999999994</v>
      </c>
      <c r="AT46" s="16">
        <f>IF(OR($AE46=0,$AF46="",$AR46=""),"",SUM($AR46:$AR47)/SUM($AE46:$AE47))</f>
        <v>0.6198979591836733</v>
      </c>
      <c r="AU46" s="16">
        <f t="shared" si="9"/>
        <v>1.6131687242798358</v>
      </c>
      <c r="AV46" s="14"/>
      <c r="AW46" s="30"/>
      <c r="AX46" s="79" t="s">
        <v>72</v>
      </c>
    </row>
    <row r="47" spans="2:50" ht="15" customHeight="1" x14ac:dyDescent="0.3">
      <c r="B47" s="78">
        <v>46044</v>
      </c>
      <c r="C47" s="21">
        <f t="shared" si="1"/>
        <v>1</v>
      </c>
      <c r="D47" s="18" t="str">
        <f t="shared" si="2"/>
        <v>PUcanh</v>
      </c>
      <c r="E47" s="14"/>
      <c r="F47" s="14">
        <v>42</v>
      </c>
      <c r="G47" s="14">
        <v>79</v>
      </c>
      <c r="H47" s="14"/>
      <c r="I47" s="14">
        <v>60</v>
      </c>
      <c r="J47" s="14">
        <v>8</v>
      </c>
      <c r="K47" s="14"/>
      <c r="L47" s="14"/>
      <c r="M47" s="14">
        <v>110</v>
      </c>
      <c r="N47" s="14">
        <v>8</v>
      </c>
      <c r="O47" s="14">
        <v>137</v>
      </c>
      <c r="P47" s="14"/>
      <c r="Q47" s="14">
        <v>44</v>
      </c>
      <c r="R47" s="14"/>
      <c r="S47" s="14"/>
      <c r="T47" s="14">
        <v>26</v>
      </c>
      <c r="U47" s="14"/>
      <c r="V47" s="14"/>
      <c r="W47" s="14"/>
      <c r="X47" s="14"/>
      <c r="Y47" s="14"/>
      <c r="Z47" s="14"/>
      <c r="AA47" s="14">
        <f>138+133</f>
        <v>271</v>
      </c>
      <c r="AB47" s="14">
        <v>20</v>
      </c>
      <c r="AC47" s="14">
        <v>1</v>
      </c>
      <c r="AD47" s="14"/>
      <c r="AE47" s="22">
        <f t="shared" si="10"/>
        <v>806</v>
      </c>
      <c r="AF47" s="31">
        <f>19+10+9</f>
        <v>38</v>
      </c>
      <c r="AG47" s="23">
        <v>0.79166666666666663</v>
      </c>
      <c r="AH47" s="23">
        <v>0.29166666666666669</v>
      </c>
      <c r="AI47" s="23" cm="1">
        <f t="array" ref="AI47">_xlfn.IFS($AG47="","",$AP47&gt;=8,TIME(1,0,0),$AP47&lt;=5,"")</f>
        <v>4.1666666666666664E-2</v>
      </c>
      <c r="AJ47" s="23" t="str" cm="1">
        <f t="array" ref="AJ47">IFERROR(_xlfn.IFS($AG47="","",AND($AP47&gt;12,$AG47&lt;TIME(10,0,0)),TIME(1,0,0),AND($AP47=12,$AG47&gt;=TIME(10,0,0),$AG47&lt;TIME(19,0,0)),TIME(0,30,0),AND($AP47=12,$AG47&gt;=TIME(19,0,0)),""),"")</f>
        <v/>
      </c>
      <c r="AK47" s="23" cm="1">
        <f t="array" ref="AK47">_xlfn.IFS($AG47="","",AND($AP47&lt;=12,$AP47&gt;10,$AJ47=""),TIME(0,35,0),OR(AND($AP47&lt;=10,$AP47&gt;5),$AJ47&lt;&gt;""),TIME(0,20,0),$AP47&gt;12,TIME(0,20,0),$AP47&lt;=5,TIME(0,10,0))</f>
        <v>2.4305555555555556E-2</v>
      </c>
      <c r="AL47" s="23">
        <f t="shared" si="4"/>
        <v>6.9444444444444441E-3</v>
      </c>
      <c r="AM47" s="23"/>
      <c r="AN47" s="23"/>
      <c r="AO47" s="23">
        <v>0.10416666666666667</v>
      </c>
      <c r="AP47" s="24">
        <f t="shared" si="11"/>
        <v>11.999999999999998</v>
      </c>
      <c r="AQ47" s="23">
        <f t="shared" si="12"/>
        <v>7.2916666666666671E-2</v>
      </c>
      <c r="AR47" s="25">
        <f t="shared" si="13"/>
        <v>455.99999999999994</v>
      </c>
      <c r="AS47" s="25">
        <f t="shared" si="14"/>
        <v>389.49999999999994</v>
      </c>
      <c r="AT47" s="16"/>
      <c r="AU47" s="16" t="str">
        <f t="shared" si="9"/>
        <v/>
      </c>
      <c r="AV47" s="14"/>
      <c r="AW47" s="30"/>
      <c r="AX47" s="79" t="s">
        <v>73</v>
      </c>
    </row>
    <row r="48" spans="2:50" ht="15" customHeight="1" x14ac:dyDescent="0.3">
      <c r="B48" s="77">
        <v>46045</v>
      </c>
      <c r="C48" s="21">
        <f t="shared" si="1"/>
        <v>1</v>
      </c>
      <c r="D48" s="18" t="str">
        <f t="shared" si="2"/>
        <v>PUcanh</v>
      </c>
      <c r="E48" s="14"/>
      <c r="F48" s="14">
        <v>75</v>
      </c>
      <c r="G48" s="14">
        <v>110</v>
      </c>
      <c r="H48" s="14"/>
      <c r="I48" s="14"/>
      <c r="J48" s="14"/>
      <c r="K48" s="14">
        <v>86</v>
      </c>
      <c r="L48" s="14"/>
      <c r="M48" s="14">
        <v>15</v>
      </c>
      <c r="N48" s="14">
        <v>2</v>
      </c>
      <c r="O48" s="14">
        <v>222</v>
      </c>
      <c r="P48" s="14"/>
      <c r="Q48" s="14">
        <v>1</v>
      </c>
      <c r="R48" s="14"/>
      <c r="S48" s="14"/>
      <c r="T48" s="14">
        <v>42</v>
      </c>
      <c r="U48" s="14"/>
      <c r="V48" s="14"/>
      <c r="W48" s="14"/>
      <c r="X48" s="14"/>
      <c r="Y48" s="14"/>
      <c r="Z48" s="14"/>
      <c r="AA48" s="14">
        <v>234</v>
      </c>
      <c r="AB48" s="14">
        <v>41</v>
      </c>
      <c r="AC48" s="14"/>
      <c r="AD48" s="14"/>
      <c r="AE48" s="22">
        <f t="shared" si="10"/>
        <v>828</v>
      </c>
      <c r="AF48" s="31">
        <f>22+9+12</f>
        <v>43</v>
      </c>
      <c r="AG48" s="23">
        <v>0.29166666666666669</v>
      </c>
      <c r="AH48" s="23">
        <v>0.79166666666666663</v>
      </c>
      <c r="AI48" s="23" cm="1">
        <f t="array" ref="AI48">_xlfn.IFS($AG48="","",$AP48&gt;=8,TIME(1,0,0),$AP48&lt;=5,"")</f>
        <v>4.1666666666666664E-2</v>
      </c>
      <c r="AJ48" s="23" t="str" cm="1">
        <f t="array" ref="AJ48">IFERROR(_xlfn.IFS($AG48="","",AND($AP48&gt;12,$AG48&lt;TIME(10,0,0)),TIME(1,0,0),AND($AP48=12,$AG48&gt;=TIME(10,0,0),$AG48&lt;TIME(19,0,0)),TIME(0,30,0),AND($AP48=12,$AG48&gt;=TIME(19,0,0)),""),"")</f>
        <v/>
      </c>
      <c r="AK48" s="23" cm="1">
        <f t="array" ref="AK48">_xlfn.IFS($AG48="","",AND($AP48&lt;=12,$AP48&gt;10,$AJ48=""),TIME(0,35,0),OR(AND($AP48&lt;=10,$AP48&gt;5),$AJ48&lt;&gt;""),TIME(0,20,0),$AP48&gt;12,TIME(0,20,0),$AP48&lt;=5,TIME(0,10,0))</f>
        <v>2.4305555555555556E-2</v>
      </c>
      <c r="AL48" s="23">
        <f t="shared" si="4"/>
        <v>6.9444444444444441E-3</v>
      </c>
      <c r="AM48" s="23"/>
      <c r="AN48" s="23">
        <v>4.1666666666666664E-2</v>
      </c>
      <c r="AO48" s="23">
        <v>7.6388888888888895E-2</v>
      </c>
      <c r="AP48" s="24">
        <f t="shared" si="11"/>
        <v>11.999999999999998</v>
      </c>
      <c r="AQ48" s="23">
        <f t="shared" si="12"/>
        <v>7.2916666666666671E-2</v>
      </c>
      <c r="AR48" s="25">
        <f t="shared" si="13"/>
        <v>515.99999999999989</v>
      </c>
      <c r="AS48" s="25">
        <f t="shared" si="14"/>
        <v>397.74999999999994</v>
      </c>
      <c r="AT48" s="16">
        <f>IF(OR($AE48=0,$AF48="",$AR48=""),"",SUM($AR48:$AR49)/SUM($AE48:$AE49))</f>
        <v>0.62827225130890041</v>
      </c>
      <c r="AU48" s="16">
        <f t="shared" si="9"/>
        <v>1.591666666666667</v>
      </c>
      <c r="AV48" s="14"/>
      <c r="AW48" s="30"/>
      <c r="AX48" s="79" t="s">
        <v>74</v>
      </c>
    </row>
    <row r="49" spans="2:50" ht="15" customHeight="1" x14ac:dyDescent="0.3">
      <c r="B49" s="77">
        <v>46045</v>
      </c>
      <c r="C49" s="21">
        <f t="shared" si="1"/>
        <v>1</v>
      </c>
      <c r="D49" s="18" t="str">
        <f t="shared" si="2"/>
        <v>PUcanh</v>
      </c>
      <c r="E49" s="14">
        <v>13</v>
      </c>
      <c r="F49" s="14">
        <v>23</v>
      </c>
      <c r="G49" s="14"/>
      <c r="H49" s="14"/>
      <c r="I49" s="14"/>
      <c r="J49" s="14"/>
      <c r="K49" s="14">
        <v>44</v>
      </c>
      <c r="L49" s="14"/>
      <c r="M49" s="14"/>
      <c r="N49" s="14"/>
      <c r="O49" s="14">
        <v>237</v>
      </c>
      <c r="P49" s="14"/>
      <c r="Q49" s="14">
        <v>67</v>
      </c>
      <c r="R49" s="14"/>
      <c r="S49" s="14">
        <v>1</v>
      </c>
      <c r="T49" s="14"/>
      <c r="U49" s="14"/>
      <c r="V49" s="14"/>
      <c r="W49" s="14"/>
      <c r="X49" s="14"/>
      <c r="Y49" s="14"/>
      <c r="Z49" s="14"/>
      <c r="AA49" s="14">
        <v>310</v>
      </c>
      <c r="AB49" s="14">
        <v>5</v>
      </c>
      <c r="AC49" s="14"/>
      <c r="AD49" s="14"/>
      <c r="AE49" s="22">
        <f t="shared" si="10"/>
        <v>700</v>
      </c>
      <c r="AF49" s="31">
        <f>17+12+8</f>
        <v>37</v>
      </c>
      <c r="AG49" s="23">
        <v>0.79166666666666663</v>
      </c>
      <c r="AH49" s="23">
        <v>0.29166666666666669</v>
      </c>
      <c r="AI49" s="23" cm="1">
        <f t="array" ref="AI49">_xlfn.IFS($AG49="","",$AP49&gt;=8,TIME(1,0,0),$AP49&lt;=5,"")</f>
        <v>4.1666666666666664E-2</v>
      </c>
      <c r="AJ49" s="23" t="str" cm="1">
        <f t="array" ref="AJ49">IFERROR(_xlfn.IFS($AG49="","",AND($AP49&gt;12,$AG49&lt;TIME(10,0,0)),TIME(1,0,0),AND($AP49=12,$AG49&gt;=TIME(10,0,0),$AG49&lt;TIME(19,0,0)),TIME(0,30,0),AND($AP49=12,$AG49&gt;=TIME(19,0,0)),""),"")</f>
        <v/>
      </c>
      <c r="AK49" s="23" cm="1">
        <f t="array" ref="AK49">_xlfn.IFS($AG49="","",AND($AP49&lt;=12,$AP49&gt;10,$AJ49=""),TIME(0,35,0),OR(AND($AP49&lt;=10,$AP49&gt;5),$AJ49&lt;&gt;""),TIME(0,20,0),$AP49&gt;12,TIME(0,20,0),$AP49&lt;=5,TIME(0,10,0))</f>
        <v>2.4305555555555556E-2</v>
      </c>
      <c r="AL49" s="23">
        <f t="shared" si="4"/>
        <v>6.9444444444444441E-3</v>
      </c>
      <c r="AM49" s="23"/>
      <c r="AN49" s="23">
        <v>2.7777777777777776E-2</v>
      </c>
      <c r="AO49" s="30"/>
      <c r="AP49" s="24">
        <f t="shared" si="11"/>
        <v>11.999999999999998</v>
      </c>
      <c r="AQ49" s="23">
        <f t="shared" si="12"/>
        <v>7.2916666666666671E-2</v>
      </c>
      <c r="AR49" s="25">
        <f t="shared" si="13"/>
        <v>443.99999999999994</v>
      </c>
      <c r="AS49" s="25">
        <f t="shared" si="14"/>
        <v>354.58333333333331</v>
      </c>
      <c r="AT49" s="16"/>
      <c r="AU49" s="16" t="str">
        <f t="shared" si="9"/>
        <v/>
      </c>
      <c r="AV49" s="14"/>
      <c r="AW49" s="30"/>
      <c r="AX49" s="79" t="s">
        <v>75</v>
      </c>
    </row>
    <row r="50" spans="2:50" ht="15" customHeight="1" x14ac:dyDescent="0.3">
      <c r="B50" s="78">
        <v>46046</v>
      </c>
      <c r="C50" s="21">
        <f t="shared" si="1"/>
        <v>1</v>
      </c>
      <c r="D50" s="18" t="str">
        <f t="shared" si="2"/>
        <v>PUcanh</v>
      </c>
      <c r="E50" s="14">
        <v>58</v>
      </c>
      <c r="F50" s="14">
        <v>28</v>
      </c>
      <c r="G50" s="14">
        <v>111</v>
      </c>
      <c r="H50" s="14"/>
      <c r="I50" s="14"/>
      <c r="J50" s="14"/>
      <c r="K50" s="14">
        <v>85</v>
      </c>
      <c r="L50" s="14"/>
      <c r="M50" s="14">
        <v>68</v>
      </c>
      <c r="N50" s="14"/>
      <c r="O50" s="14">
        <v>153</v>
      </c>
      <c r="P50" s="14"/>
      <c r="Q50" s="14">
        <v>86</v>
      </c>
      <c r="R50" s="14"/>
      <c r="S50" s="14"/>
      <c r="T50" s="14">
        <v>10</v>
      </c>
      <c r="U50" s="14"/>
      <c r="V50" s="14"/>
      <c r="W50" s="14"/>
      <c r="X50" s="14"/>
      <c r="Y50" s="14"/>
      <c r="Z50" s="14"/>
      <c r="AA50" s="14">
        <v>237</v>
      </c>
      <c r="AB50" s="14"/>
      <c r="AC50" s="14"/>
      <c r="AD50" s="14"/>
      <c r="AE50" s="22">
        <f t="shared" si="10"/>
        <v>836</v>
      </c>
      <c r="AF50" s="31">
        <f>21+10+11</f>
        <v>42</v>
      </c>
      <c r="AG50" s="23">
        <v>0.29166666666666669</v>
      </c>
      <c r="AH50" s="23">
        <v>0.79166666666666663</v>
      </c>
      <c r="AI50" s="23" cm="1">
        <f t="array" ref="AI50">_xlfn.IFS($AG50="","",$AP50&gt;=8,TIME(1,0,0),$AP50&lt;=5,"")</f>
        <v>4.1666666666666664E-2</v>
      </c>
      <c r="AJ50" s="23" t="str" cm="1">
        <f t="array" ref="AJ50">IFERROR(_xlfn.IFS($AG50="","",AND($AP50&gt;12,$AG50&lt;TIME(10,0,0)),TIME(1,0,0),AND($AP50=12,$AG50&gt;=TIME(10,0,0),$AG50&lt;TIME(19,0,0)),TIME(0,30,0),AND($AP50=12,$AG50&gt;=TIME(19,0,0)),""),"")</f>
        <v/>
      </c>
      <c r="AK50" s="23" cm="1">
        <f t="array" ref="AK50">_xlfn.IFS($AG50="","",AND($AP50&lt;=12,$AP50&gt;10,$AJ50=""),TIME(0,35,0),OR(AND($AP50&lt;=10,$AP50&gt;5),$AJ50&lt;&gt;""),TIME(0,20,0),$AP50&gt;12,TIME(0,20,0),$AP50&lt;=5,TIME(0,10,0))</f>
        <v>2.4305555555555556E-2</v>
      </c>
      <c r="AL50" s="23">
        <f t="shared" si="4"/>
        <v>6.9444444444444441E-3</v>
      </c>
      <c r="AM50" s="23"/>
      <c r="AN50" s="23">
        <v>2.7777777777777776E-2</v>
      </c>
      <c r="AO50" s="30"/>
      <c r="AP50" s="24">
        <f t="shared" si="11"/>
        <v>11.999999999999998</v>
      </c>
      <c r="AQ50" s="23">
        <f t="shared" si="12"/>
        <v>7.2916666666666671E-2</v>
      </c>
      <c r="AR50" s="25">
        <f t="shared" si="13"/>
        <v>503.99999999999994</v>
      </c>
      <c r="AS50" s="25">
        <f t="shared" si="14"/>
        <v>402.49999999999994</v>
      </c>
      <c r="AT50" s="16">
        <f>IF(OR($AE50=0,$AF50="",$AR50=""),"",SUM($AR50:$AR51)/SUM($AE50:$AE51))</f>
        <v>0.61956521739130432</v>
      </c>
      <c r="AU50" s="16">
        <f t="shared" si="9"/>
        <v>1.6140350877192984</v>
      </c>
      <c r="AV50" s="14"/>
      <c r="AW50" s="30"/>
      <c r="AX50" s="79" t="s">
        <v>76</v>
      </c>
    </row>
    <row r="51" spans="2:50" ht="15" customHeight="1" x14ac:dyDescent="0.3">
      <c r="B51" s="78">
        <v>46046</v>
      </c>
      <c r="C51" s="21">
        <f t="shared" si="1"/>
        <v>1</v>
      </c>
      <c r="D51" s="18" t="str">
        <f t="shared" si="2"/>
        <v>PUcanh</v>
      </c>
      <c r="E51" s="14">
        <v>11</v>
      </c>
      <c r="F51" s="14"/>
      <c r="G51" s="14">
        <v>21</v>
      </c>
      <c r="H51" s="14">
        <v>10</v>
      </c>
      <c r="I51" s="14"/>
      <c r="J51" s="14"/>
      <c r="K51" s="14">
        <v>50</v>
      </c>
      <c r="L51" s="14"/>
      <c r="M51" s="14"/>
      <c r="N51" s="14"/>
      <c r="O51" s="14">
        <v>197</v>
      </c>
      <c r="P51" s="14"/>
      <c r="Q51" s="14">
        <v>84</v>
      </c>
      <c r="R51" s="14"/>
      <c r="S51" s="14"/>
      <c r="T51" s="14"/>
      <c r="U51" s="14"/>
      <c r="V51" s="14"/>
      <c r="W51" s="14"/>
      <c r="X51" s="14"/>
      <c r="Y51" s="14"/>
      <c r="Z51" s="14"/>
      <c r="AA51" s="14">
        <v>263</v>
      </c>
      <c r="AB51" s="14"/>
      <c r="AC51" s="14"/>
      <c r="AD51" s="14"/>
      <c r="AE51" s="22">
        <f t="shared" si="10"/>
        <v>636</v>
      </c>
      <c r="AF51" s="31">
        <f>15+10+9</f>
        <v>34</v>
      </c>
      <c r="AG51" s="23">
        <v>0.79166666666666663</v>
      </c>
      <c r="AH51" s="23">
        <v>0.29166666666666669</v>
      </c>
      <c r="AI51" s="23" cm="1">
        <f t="array" ref="AI51">_xlfn.IFS($AG51="","",$AP51&gt;=8,TIME(1,0,0),$AP51&lt;=5,"")</f>
        <v>4.1666666666666664E-2</v>
      </c>
      <c r="AJ51" s="23" t="str" cm="1">
        <f t="array" ref="AJ51">IFERROR(_xlfn.IFS($AG51="","",AND($AP51&gt;12,$AG51&lt;TIME(10,0,0)),TIME(1,0,0),AND($AP51=12,$AG51&gt;=TIME(10,0,0),$AG51&lt;TIME(19,0,0)),TIME(0,30,0),AND($AP51=12,$AG51&gt;=TIME(19,0,0)),""),"")</f>
        <v/>
      </c>
      <c r="AK51" s="23" cm="1">
        <f t="array" ref="AK51">_xlfn.IFS($AG51="","",AND($AP51&lt;=12,$AP51&gt;10,$AJ51=""),TIME(0,35,0),OR(AND($AP51&lt;=10,$AP51&gt;5),$AJ51&lt;&gt;""),TIME(0,20,0),$AP51&gt;12,TIME(0,20,0),$AP51&lt;=5,TIME(0,10,0))</f>
        <v>2.4305555555555556E-2</v>
      </c>
      <c r="AL51" s="23">
        <f t="shared" si="4"/>
        <v>6.9444444444444441E-3</v>
      </c>
      <c r="AM51" s="23"/>
      <c r="AN51" s="23"/>
      <c r="AO51" s="30"/>
      <c r="AP51" s="24">
        <f t="shared" si="11"/>
        <v>11.999999999999998</v>
      </c>
      <c r="AQ51" s="23">
        <f t="shared" si="12"/>
        <v>7.2916666666666671E-2</v>
      </c>
      <c r="AR51" s="25">
        <f t="shared" si="13"/>
        <v>407.99999999999994</v>
      </c>
      <c r="AS51" s="25">
        <f t="shared" si="14"/>
        <v>348.49999999999994</v>
      </c>
      <c r="AT51" s="16"/>
      <c r="AU51" s="16" t="str">
        <f t="shared" si="9"/>
        <v/>
      </c>
      <c r="AV51" s="14"/>
      <c r="AW51" s="30"/>
      <c r="AX51" s="79"/>
    </row>
    <row r="52" spans="2:50" ht="15" customHeight="1" x14ac:dyDescent="0.3">
      <c r="B52" s="77">
        <v>46047</v>
      </c>
      <c r="C52" s="21">
        <f t="shared" si="1"/>
        <v>1</v>
      </c>
      <c r="D52" s="18" t="str">
        <f t="shared" si="2"/>
        <v>PUcanh</v>
      </c>
      <c r="E52" s="14"/>
      <c r="F52" s="14">
        <v>20</v>
      </c>
      <c r="G52" s="14">
        <v>2</v>
      </c>
      <c r="H52" s="14">
        <v>3</v>
      </c>
      <c r="I52" s="14"/>
      <c r="J52" s="14"/>
      <c r="K52" s="14"/>
      <c r="L52" s="14"/>
      <c r="M52" s="14"/>
      <c r="N52" s="14"/>
      <c r="O52" s="14">
        <v>98</v>
      </c>
      <c r="P52" s="14"/>
      <c r="Q52" s="14">
        <v>13</v>
      </c>
      <c r="R52" s="14"/>
      <c r="S52" s="14"/>
      <c r="T52" s="14"/>
      <c r="U52" s="14"/>
      <c r="V52" s="14"/>
      <c r="W52" s="14"/>
      <c r="X52" s="14"/>
      <c r="Y52" s="14"/>
      <c r="Z52" s="14"/>
      <c r="AA52" s="14">
        <v>132</v>
      </c>
      <c r="AB52" s="14"/>
      <c r="AC52" s="14"/>
      <c r="AD52" s="14"/>
      <c r="AE52" s="22">
        <f t="shared" si="10"/>
        <v>268</v>
      </c>
      <c r="AF52" s="31">
        <f>19+5+6</f>
        <v>30</v>
      </c>
      <c r="AG52" s="23">
        <v>0.29166666666666669</v>
      </c>
      <c r="AH52" s="23">
        <v>0.625</v>
      </c>
      <c r="AI52" s="23" cm="1">
        <f t="array" ref="AI52">_xlfn.IFS($AG52="","",$AP52&gt;=8,TIME(1,0,0),$AP52&lt;=5,"")</f>
        <v>4.1666666666666664E-2</v>
      </c>
      <c r="AJ52" s="23" t="str" cm="1">
        <f t="array" ref="AJ52">IFERROR(_xlfn.IFS($AG52="","",AND($AP52&gt;12,$AG52&lt;TIME(10,0,0)),TIME(1,0,0),AND($AP52=12,$AG52&gt;=TIME(10,0,0),$AG52&lt;TIME(19,0,0)),TIME(0,30,0),AND($AP52=12,$AG52&gt;=TIME(19,0,0)),""),"")</f>
        <v/>
      </c>
      <c r="AK52" s="23" cm="1">
        <f t="array" ref="AK52">_xlfn.IFS($AG52="","",AND($AP52&lt;=12,$AP52&gt;10,$AJ52=""),TIME(0,35,0),OR(AND($AP52&lt;=10,$AP52&gt;5),$AJ52&lt;&gt;""),TIME(0,20,0),$AP52&gt;12,TIME(0,20,0),$AP52&lt;=5,TIME(0,10,0))</f>
        <v>1.3888888888888888E-2</v>
      </c>
      <c r="AL52" s="23">
        <f t="shared" si="4"/>
        <v>6.9444444444444441E-3</v>
      </c>
      <c r="AM52" s="23"/>
      <c r="AN52" s="23"/>
      <c r="AO52" s="30"/>
      <c r="AP52" s="24">
        <f t="shared" si="11"/>
        <v>8</v>
      </c>
      <c r="AQ52" s="23">
        <f t="shared" si="12"/>
        <v>6.25E-2</v>
      </c>
      <c r="AR52" s="25">
        <f t="shared" si="13"/>
        <v>240</v>
      </c>
      <c r="AS52" s="25">
        <f t="shared" si="14"/>
        <v>195</v>
      </c>
      <c r="AT52" s="16">
        <f>IF(OR($AE52=0,$AF52="",$AR52=""),"",SUM($AR52:$AR53)/SUM($AE52:$AE53))</f>
        <v>0.89552238805970152</v>
      </c>
      <c r="AU52" s="16">
        <f t="shared" si="9"/>
        <v>1.1166666666666667</v>
      </c>
      <c r="AV52" s="14"/>
      <c r="AW52" s="30"/>
      <c r="AX52" s="79" t="s">
        <v>77</v>
      </c>
    </row>
    <row r="53" spans="2:50" ht="15" customHeight="1" x14ac:dyDescent="0.3">
      <c r="B53" s="77">
        <v>46047</v>
      </c>
      <c r="C53" s="21">
        <f t="shared" si="1"/>
        <v>1</v>
      </c>
      <c r="D53" s="18" t="str">
        <f t="shared" si="2"/>
        <v>PUcanh</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22">
        <f t="shared" si="10"/>
        <v>0</v>
      </c>
      <c r="AF53" s="31"/>
      <c r="AG53" s="23"/>
      <c r="AH53" s="23"/>
      <c r="AI53" s="23" t="str" cm="1">
        <f t="array" ref="AI53">_xlfn.IFS($AG53="","",$AP53&gt;=8,TIME(1,0,0),$AP53&lt;=5,"")</f>
        <v/>
      </c>
      <c r="AJ53" s="23" t="str" cm="1">
        <f t="array" ref="AJ53">IFERROR(_xlfn.IFS($AG53="","",AND($AP53&gt;12,$AG53&lt;TIME(10,0,0)),TIME(1,0,0),AND($AP53=12,$AG53&gt;=TIME(10,0,0),$AG53&lt;TIME(19,0,0)),TIME(0,30,0),AND($AP53=12,$AG53&gt;=TIME(19,0,0)),""),"")</f>
        <v/>
      </c>
      <c r="AK53" s="23" t="str" cm="1">
        <f t="array" ref="AK53">_xlfn.IFS($AG53="","",AND($AP53&lt;=12,$AP53&gt;10,$AJ53=""),TIME(0,35,0),OR(AND($AP53&lt;=10,$AP53&gt;5),$AJ53&lt;&gt;""),TIME(0,20,0),$AP53&gt;12,TIME(0,20,0),$AP53&lt;=5,TIME(0,10,0))</f>
        <v/>
      </c>
      <c r="AL53" s="23" t="str">
        <f t="shared" si="4"/>
        <v/>
      </c>
      <c r="AM53" s="23"/>
      <c r="AN53" s="23"/>
      <c r="AO53" s="30"/>
      <c r="AP53" s="24" t="str">
        <f t="shared" si="11"/>
        <v/>
      </c>
      <c r="AQ53" s="23" t="str">
        <f t="shared" si="12"/>
        <v/>
      </c>
      <c r="AR53" s="25" t="str">
        <f t="shared" si="13"/>
        <v/>
      </c>
      <c r="AS53" s="25" t="str">
        <f t="shared" si="14"/>
        <v/>
      </c>
      <c r="AT53" s="16"/>
      <c r="AU53" s="16" t="str">
        <f t="shared" si="9"/>
        <v/>
      </c>
      <c r="AV53" s="14"/>
      <c r="AW53" s="30"/>
      <c r="AX53" s="79"/>
    </row>
    <row r="54" spans="2:50" ht="15" customHeight="1" x14ac:dyDescent="0.3">
      <c r="B54" s="78">
        <v>46048</v>
      </c>
      <c r="C54" s="21">
        <f t="shared" si="1"/>
        <v>1</v>
      </c>
      <c r="D54" s="18" t="str">
        <f t="shared" si="2"/>
        <v>PUcanh</v>
      </c>
      <c r="E54" s="14">
        <v>24</v>
      </c>
      <c r="F54" s="14">
        <v>37</v>
      </c>
      <c r="G54" s="14">
        <v>41</v>
      </c>
      <c r="H54" s="14">
        <v>34</v>
      </c>
      <c r="I54" s="14"/>
      <c r="J54" s="14"/>
      <c r="K54" s="14">
        <v>91</v>
      </c>
      <c r="L54" s="14"/>
      <c r="M54" s="14"/>
      <c r="N54" s="14"/>
      <c r="O54" s="14">
        <v>110</v>
      </c>
      <c r="P54" s="14"/>
      <c r="Q54" s="14">
        <v>57</v>
      </c>
      <c r="R54" s="14"/>
      <c r="S54" s="14"/>
      <c r="T54" s="14"/>
      <c r="U54" s="14"/>
      <c r="V54" s="14"/>
      <c r="W54" s="14"/>
      <c r="X54" s="14"/>
      <c r="Y54" s="14"/>
      <c r="Z54" s="14"/>
      <c r="AA54" s="14">
        <v>208</v>
      </c>
      <c r="AB54" s="14">
        <v>6</v>
      </c>
      <c r="AC54" s="14">
        <v>14</v>
      </c>
      <c r="AD54" s="14">
        <v>78</v>
      </c>
      <c r="AE54" s="22">
        <f t="shared" si="10"/>
        <v>700</v>
      </c>
      <c r="AF54" s="31">
        <f>16+8+10</f>
        <v>34</v>
      </c>
      <c r="AG54" s="23">
        <v>0.29166666666666669</v>
      </c>
      <c r="AH54" s="23">
        <v>0.79166666666666663</v>
      </c>
      <c r="AI54" s="23" cm="1">
        <f t="array" ref="AI54">_xlfn.IFS($AG54="","",$AP54&gt;=8,TIME(1,0,0),$AP54&lt;=5,"")</f>
        <v>4.1666666666666664E-2</v>
      </c>
      <c r="AJ54" s="23" t="str" cm="1">
        <f t="array" ref="AJ54">IFERROR(_xlfn.IFS($AG54="","",AND($AP54&gt;12,$AG54&lt;TIME(10,0,0)),TIME(1,0,0),AND($AP54=12,$AG54&gt;=TIME(10,0,0),$AG54&lt;TIME(19,0,0)),TIME(0,30,0),AND($AP54=12,$AG54&gt;=TIME(19,0,0)),""),"")</f>
        <v/>
      </c>
      <c r="AK54" s="23" cm="1">
        <f t="array" ref="AK54">_xlfn.IFS($AG54="","",AND($AP54&lt;=12,$AP54&gt;10,$AJ54=""),TIME(0,35,0),OR(AND($AP54&lt;=10,$AP54&gt;5),$AJ54&lt;&gt;""),TIME(0,20,0),$AP54&gt;12,TIME(0,20,0),$AP54&lt;=5,TIME(0,10,0))</f>
        <v>2.4305555555555556E-2</v>
      </c>
      <c r="AL54" s="23">
        <f t="shared" si="4"/>
        <v>6.9444444444444441E-3</v>
      </c>
      <c r="AM54" s="23">
        <v>4.1666666666666664E-2</v>
      </c>
      <c r="AN54" s="23"/>
      <c r="AO54" s="23">
        <v>0.25</v>
      </c>
      <c r="AP54" s="24">
        <f t="shared" si="11"/>
        <v>11.999999999999998</v>
      </c>
      <c r="AQ54" s="23">
        <f t="shared" si="12"/>
        <v>7.2916666666666671E-2</v>
      </c>
      <c r="AR54" s="25">
        <f t="shared" si="13"/>
        <v>407.99999999999994</v>
      </c>
      <c r="AS54" s="25">
        <f t="shared" si="14"/>
        <v>314.49999999999994</v>
      </c>
      <c r="AT54" s="16">
        <f>IF(OR($AE54=0,$AF54="",$AR54=""),"",SUM($AR54:$AR55)/SUM($AE54:$AE55))</f>
        <v>0.6239027683997298</v>
      </c>
      <c r="AU54" s="16">
        <f t="shared" si="9"/>
        <v>1.6028138528138531</v>
      </c>
      <c r="AV54" s="14"/>
      <c r="AW54" s="30"/>
      <c r="AX54" s="79" t="s">
        <v>78</v>
      </c>
    </row>
    <row r="55" spans="2:50" ht="15" customHeight="1" x14ac:dyDescent="0.3">
      <c r="B55" s="78">
        <v>46048</v>
      </c>
      <c r="C55" s="21">
        <f t="shared" si="1"/>
        <v>1</v>
      </c>
      <c r="D55" s="18" t="str">
        <f t="shared" si="2"/>
        <v>PUcanh</v>
      </c>
      <c r="E55" s="14">
        <v>47</v>
      </c>
      <c r="F55" s="14">
        <v>45</v>
      </c>
      <c r="G55" s="14"/>
      <c r="H55" s="14"/>
      <c r="I55" s="14"/>
      <c r="J55" s="14"/>
      <c r="K55" s="14">
        <v>107</v>
      </c>
      <c r="L55" s="14"/>
      <c r="M55" s="14"/>
      <c r="N55" s="14"/>
      <c r="O55" s="14">
        <v>175</v>
      </c>
      <c r="P55" s="14"/>
      <c r="Q55" s="14"/>
      <c r="R55" s="14"/>
      <c r="S55" s="14"/>
      <c r="T55" s="14"/>
      <c r="U55" s="14"/>
      <c r="V55" s="14"/>
      <c r="W55" s="14"/>
      <c r="X55" s="14"/>
      <c r="Y55" s="14"/>
      <c r="Z55" s="14"/>
      <c r="AA55" s="14">
        <v>315</v>
      </c>
      <c r="AB55" s="14"/>
      <c r="AC55" s="14">
        <v>51</v>
      </c>
      <c r="AD55" s="14">
        <v>41</v>
      </c>
      <c r="AE55" s="22">
        <f t="shared" si="10"/>
        <v>781</v>
      </c>
      <c r="AF55" s="31">
        <f>23+8+12</f>
        <v>43</v>
      </c>
      <c r="AG55" s="23">
        <v>0.79166666666666663</v>
      </c>
      <c r="AH55" s="23">
        <v>0.29166666666666669</v>
      </c>
      <c r="AI55" s="23" cm="1">
        <f t="array" ref="AI55">_xlfn.IFS($AG55="","",$AP55&gt;=8,TIME(1,0,0),$AP55&lt;=5,"")</f>
        <v>4.1666666666666664E-2</v>
      </c>
      <c r="AJ55" s="23" t="str" cm="1">
        <f t="array" ref="AJ55">IFERROR(_xlfn.IFS($AG55="","",AND($AP55&gt;12,$AG55&lt;TIME(10,0,0)),TIME(1,0,0),AND($AP55=12,$AG55&gt;=TIME(10,0,0),$AG55&lt;TIME(19,0,0)),TIME(0,30,0),AND($AP55=12,$AG55&gt;=TIME(19,0,0)),""),"")</f>
        <v/>
      </c>
      <c r="AK55" s="23" cm="1">
        <f t="array" ref="AK55">_xlfn.IFS($AG55="","",AND($AP55&lt;=12,$AP55&gt;10,$AJ55=""),TIME(0,35,0),OR(AND($AP55&lt;=10,$AP55&gt;5),$AJ55&lt;&gt;""),TIME(0,20,0),$AP55&gt;12,TIME(0,20,0),$AP55&lt;=5,TIME(0,10,0))</f>
        <v>2.4305555555555556E-2</v>
      </c>
      <c r="AL55" s="23">
        <f t="shared" si="4"/>
        <v>6.9444444444444441E-3</v>
      </c>
      <c r="AM55" s="23"/>
      <c r="AN55" s="23"/>
      <c r="AO55" s="23">
        <v>0.42708333333333331</v>
      </c>
      <c r="AP55" s="24">
        <f t="shared" si="11"/>
        <v>11.999999999999998</v>
      </c>
      <c r="AQ55" s="23">
        <f t="shared" si="12"/>
        <v>7.2916666666666671E-2</v>
      </c>
      <c r="AR55" s="25">
        <f t="shared" si="13"/>
        <v>515.99999999999989</v>
      </c>
      <c r="AS55" s="25">
        <f t="shared" si="14"/>
        <v>440.74999999999994</v>
      </c>
      <c r="AT55" s="16"/>
      <c r="AU55" s="16" t="str">
        <f t="shared" si="9"/>
        <v/>
      </c>
      <c r="AV55" s="14"/>
      <c r="AW55" s="30"/>
      <c r="AX55" s="79" t="s">
        <v>79</v>
      </c>
    </row>
    <row r="56" spans="2:50" ht="15" customHeight="1" x14ac:dyDescent="0.3">
      <c r="B56" s="77">
        <v>46049</v>
      </c>
      <c r="C56" s="21">
        <f t="shared" si="1"/>
        <v>1</v>
      </c>
      <c r="D56" s="18" t="str">
        <f t="shared" si="2"/>
        <v>PUcanh</v>
      </c>
      <c r="E56" s="14">
        <v>83</v>
      </c>
      <c r="F56" s="14">
        <v>18</v>
      </c>
      <c r="G56" s="14"/>
      <c r="H56" s="14"/>
      <c r="I56" s="14"/>
      <c r="J56" s="14"/>
      <c r="K56" s="14">
        <v>71</v>
      </c>
      <c r="L56" s="14">
        <v>29</v>
      </c>
      <c r="M56" s="14"/>
      <c r="N56" s="14"/>
      <c r="O56" s="14">
        <v>210</v>
      </c>
      <c r="P56" s="14"/>
      <c r="Q56" s="14"/>
      <c r="R56" s="14"/>
      <c r="S56" s="14"/>
      <c r="T56" s="14"/>
      <c r="U56" s="14"/>
      <c r="V56" s="14"/>
      <c r="W56" s="14"/>
      <c r="X56" s="14"/>
      <c r="Y56" s="14"/>
      <c r="Z56" s="14"/>
      <c r="AA56" s="14">
        <v>122</v>
      </c>
      <c r="AB56" s="14"/>
      <c r="AC56" s="14">
        <v>29</v>
      </c>
      <c r="AD56" s="14">
        <v>33</v>
      </c>
      <c r="AE56" s="22">
        <f t="shared" si="10"/>
        <v>595</v>
      </c>
      <c r="AF56" s="31">
        <f>15+8+10</f>
        <v>33</v>
      </c>
      <c r="AG56" s="23">
        <v>0.29166666666666669</v>
      </c>
      <c r="AH56" s="23">
        <v>0.79166666666666663</v>
      </c>
      <c r="AI56" s="23" cm="1">
        <f t="array" ref="AI56">_xlfn.IFS($AG56="","",$AP56&gt;=8,TIME(1,0,0),$AP56&lt;=5,"")</f>
        <v>4.1666666666666664E-2</v>
      </c>
      <c r="AJ56" s="23" t="str" cm="1">
        <f t="array" ref="AJ56">IFERROR(_xlfn.IFS($AG56="","",AND($AP56&gt;12,$AG56&lt;TIME(10,0,0)),TIME(1,0,0),AND($AP56=12,$AG56&gt;=TIME(10,0,0),$AG56&lt;TIME(19,0,0)),TIME(0,30,0),AND($AP56=12,$AG56&gt;=TIME(19,0,0)),""),"")</f>
        <v/>
      </c>
      <c r="AK56" s="23" cm="1">
        <f t="array" ref="AK56">_xlfn.IFS($AG56="","",AND($AP56&lt;=12,$AP56&gt;10,$AJ56=""),TIME(0,35,0),OR(AND($AP56&lt;=10,$AP56&gt;5),$AJ56&lt;&gt;""),TIME(0,20,0),$AP56&gt;12,TIME(0,20,0),$AP56&lt;=5,TIME(0,10,0))</f>
        <v>2.4305555555555556E-2</v>
      </c>
      <c r="AL56" s="23">
        <f t="shared" si="4"/>
        <v>6.9444444444444441E-3</v>
      </c>
      <c r="AM56" s="23"/>
      <c r="AN56" s="23">
        <v>6.25E-2</v>
      </c>
      <c r="AO56" s="23">
        <v>0.14583333333333334</v>
      </c>
      <c r="AP56" s="24">
        <f t="shared" si="11"/>
        <v>11.999999999999998</v>
      </c>
      <c r="AQ56" s="23">
        <f t="shared" si="12"/>
        <v>7.2916666666666671E-2</v>
      </c>
      <c r="AR56" s="25">
        <f t="shared" si="13"/>
        <v>395.99999999999994</v>
      </c>
      <c r="AS56" s="25">
        <f t="shared" si="14"/>
        <v>288.74999999999994</v>
      </c>
      <c r="AT56" s="16">
        <f>IF(OR($AE56=0,$AF56="",$AR56=""),"",SUM($AR56:$AR57)/SUM($AE56:$AE57))</f>
        <v>0.68754774637127569</v>
      </c>
      <c r="AU56" s="16">
        <f t="shared" si="9"/>
        <v>1.4544444444444447</v>
      </c>
      <c r="AV56" s="14"/>
      <c r="AW56" s="30"/>
      <c r="AX56" s="79" t="s">
        <v>80</v>
      </c>
    </row>
    <row r="57" spans="2:50" ht="15" customHeight="1" x14ac:dyDescent="0.3">
      <c r="B57" s="77">
        <v>46049</v>
      </c>
      <c r="C57" s="21">
        <f t="shared" si="1"/>
        <v>1</v>
      </c>
      <c r="D57" s="18" t="str">
        <f t="shared" si="2"/>
        <v>PUcanh</v>
      </c>
      <c r="E57" s="14">
        <v>37</v>
      </c>
      <c r="F57" s="14">
        <v>65</v>
      </c>
      <c r="G57" s="14"/>
      <c r="H57" s="14"/>
      <c r="I57" s="14"/>
      <c r="J57" s="14"/>
      <c r="K57" s="14">
        <v>45</v>
      </c>
      <c r="L57" s="14">
        <v>35</v>
      </c>
      <c r="M57" s="14"/>
      <c r="N57" s="14"/>
      <c r="O57" s="14">
        <v>149</v>
      </c>
      <c r="P57" s="14"/>
      <c r="Q57" s="14"/>
      <c r="R57" s="14"/>
      <c r="S57" s="14"/>
      <c r="T57" s="14"/>
      <c r="U57" s="14"/>
      <c r="V57" s="14"/>
      <c r="W57" s="14"/>
      <c r="X57" s="14"/>
      <c r="Y57" s="14"/>
      <c r="Z57" s="14"/>
      <c r="AA57" s="14">
        <v>305</v>
      </c>
      <c r="AB57" s="14"/>
      <c r="AC57" s="14">
        <v>49</v>
      </c>
      <c r="AD57" s="14">
        <v>29</v>
      </c>
      <c r="AE57" s="22">
        <f t="shared" si="10"/>
        <v>714</v>
      </c>
      <c r="AF57" s="31">
        <f>22+7+13</f>
        <v>42</v>
      </c>
      <c r="AG57" s="23">
        <v>0.79166666666666663</v>
      </c>
      <c r="AH57" s="23">
        <v>0.29166666666666669</v>
      </c>
      <c r="AI57" s="23" cm="1">
        <f t="array" ref="AI57">_xlfn.IFS($AG57="","",$AP57&gt;=8,TIME(1,0,0),$AP57&lt;=5,"")</f>
        <v>4.1666666666666664E-2</v>
      </c>
      <c r="AJ57" s="23" t="str" cm="1">
        <f t="array" ref="AJ57">IFERROR(_xlfn.IFS($AG57="","",AND($AP57&gt;12,$AG57&lt;TIME(10,0,0)),TIME(1,0,0),AND($AP57=12,$AG57&gt;=TIME(10,0,0),$AG57&lt;TIME(19,0,0)),TIME(0,30,0),AND($AP57=12,$AG57&gt;=TIME(19,0,0)),""),"")</f>
        <v/>
      </c>
      <c r="AK57" s="23" cm="1">
        <f t="array" ref="AK57">_xlfn.IFS($AG57="","",AND($AP57&lt;=12,$AP57&gt;10,$AJ57=""),TIME(0,35,0),OR(AND($AP57&lt;=10,$AP57&gt;5),$AJ57&lt;&gt;""),TIME(0,20,0),$AP57&gt;12,TIME(0,20,0),$AP57&lt;=5,TIME(0,10,0))</f>
        <v>2.4305555555555556E-2</v>
      </c>
      <c r="AL57" s="23">
        <f t="shared" si="4"/>
        <v>6.9444444444444441E-3</v>
      </c>
      <c r="AM57" s="23">
        <v>1.7361111111111112E-2</v>
      </c>
      <c r="AN57" s="23">
        <v>3.4722222222222224E-2</v>
      </c>
      <c r="AO57" s="30"/>
      <c r="AP57" s="24">
        <f t="shared" si="11"/>
        <v>11.999999999999998</v>
      </c>
      <c r="AQ57" s="23">
        <f t="shared" si="12"/>
        <v>7.2916666666666671E-2</v>
      </c>
      <c r="AR57" s="25">
        <f t="shared" si="13"/>
        <v>503.99999999999994</v>
      </c>
      <c r="AS57" s="25">
        <f t="shared" si="14"/>
        <v>377.99999999999994</v>
      </c>
      <c r="AT57" s="16"/>
      <c r="AU57" s="16" t="str">
        <f t="shared" si="9"/>
        <v/>
      </c>
      <c r="AV57" s="14"/>
      <c r="AW57" s="30"/>
      <c r="AX57" s="79" t="s">
        <v>81</v>
      </c>
    </row>
    <row r="58" spans="2:50" ht="15" customHeight="1" x14ac:dyDescent="0.3">
      <c r="B58" s="78">
        <v>46050</v>
      </c>
      <c r="C58" s="21">
        <f t="shared" si="1"/>
        <v>1</v>
      </c>
      <c r="D58" s="18" t="str">
        <f t="shared" si="2"/>
        <v>PUcanh</v>
      </c>
      <c r="E58" s="14">
        <v>4</v>
      </c>
      <c r="F58" s="14">
        <v>121</v>
      </c>
      <c r="G58" s="14"/>
      <c r="H58" s="14"/>
      <c r="I58" s="14"/>
      <c r="J58" s="14"/>
      <c r="K58" s="14"/>
      <c r="L58" s="14">
        <v>97</v>
      </c>
      <c r="M58" s="14"/>
      <c r="N58" s="14"/>
      <c r="O58" s="14">
        <v>294</v>
      </c>
      <c r="P58" s="14"/>
      <c r="Q58" s="14"/>
      <c r="R58" s="14"/>
      <c r="S58" s="14"/>
      <c r="T58" s="14"/>
      <c r="U58" s="14"/>
      <c r="V58" s="14"/>
      <c r="W58" s="14"/>
      <c r="X58" s="14"/>
      <c r="Y58" s="14"/>
      <c r="Z58" s="14"/>
      <c r="AA58" s="14">
        <f>207+21/2</f>
        <v>217.5</v>
      </c>
      <c r="AB58" s="14"/>
      <c r="AC58" s="14">
        <v>19</v>
      </c>
      <c r="AD58" s="14">
        <v>23</v>
      </c>
      <c r="AE58" s="22">
        <f t="shared" si="10"/>
        <v>775.5</v>
      </c>
      <c r="AF58" s="31">
        <f>16+8+11</f>
        <v>35</v>
      </c>
      <c r="AG58" s="23">
        <v>0.29166666666666669</v>
      </c>
      <c r="AH58" s="23">
        <v>0.79166666666666663</v>
      </c>
      <c r="AI58" s="23" cm="1">
        <f t="array" ref="AI58">_xlfn.IFS($AG58="","",$AP58&gt;=8,TIME(1,0,0),$AP58&lt;=5,"")</f>
        <v>4.1666666666666664E-2</v>
      </c>
      <c r="AJ58" s="23" t="str" cm="1">
        <f t="array" ref="AJ58">IFERROR(_xlfn.IFS($AG58="","",AND($AP58&gt;12,$AG58&lt;TIME(10,0,0)),TIME(1,0,0),AND($AP58=12,$AG58&gt;=TIME(10,0,0),$AG58&lt;TIME(19,0,0)),TIME(0,30,0),AND($AP58=12,$AG58&gt;=TIME(19,0,0)),""),"")</f>
        <v/>
      </c>
      <c r="AK58" s="23" cm="1">
        <f t="array" ref="AK58">_xlfn.IFS($AG58="","",AND($AP58&lt;=12,$AP58&gt;10,$AJ58=""),TIME(0,35,0),OR(AND($AP58&lt;=10,$AP58&gt;5),$AJ58&lt;&gt;""),TIME(0,20,0),$AP58&gt;12,TIME(0,20,0),$AP58&lt;=5,TIME(0,10,0))</f>
        <v>2.4305555555555556E-2</v>
      </c>
      <c r="AL58" s="23">
        <f t="shared" si="4"/>
        <v>6.9444444444444441E-3</v>
      </c>
      <c r="AM58" s="23"/>
      <c r="AN58" s="23">
        <v>4.1666666666666664E-2</v>
      </c>
      <c r="AO58" s="30"/>
      <c r="AP58" s="24">
        <f t="shared" si="11"/>
        <v>11.999999999999998</v>
      </c>
      <c r="AQ58" s="23">
        <f t="shared" si="12"/>
        <v>7.2916666666666671E-2</v>
      </c>
      <c r="AR58" s="25">
        <f t="shared" si="13"/>
        <v>419.99999999999994</v>
      </c>
      <c r="AS58" s="25">
        <f t="shared" si="14"/>
        <v>323.74999999999994</v>
      </c>
      <c r="AT58" s="16">
        <f>IF(OR($AE58=0,$AF58="",$AR58=""),"",SUM($AR58:$AR59)/SUM($AE58:$AE59))</f>
        <v>0.57304429783223365</v>
      </c>
      <c r="AU58" s="16">
        <f t="shared" si="9"/>
        <v>1.7450657894736845</v>
      </c>
      <c r="AV58" s="14"/>
      <c r="AW58" s="30"/>
      <c r="AX58" s="79" t="s">
        <v>82</v>
      </c>
    </row>
    <row r="59" spans="2:50" ht="15" customHeight="1" x14ac:dyDescent="0.3">
      <c r="B59" s="78">
        <v>46050</v>
      </c>
      <c r="C59" s="21">
        <f t="shared" si="1"/>
        <v>1</v>
      </c>
      <c r="D59" s="18" t="str">
        <f t="shared" si="2"/>
        <v>PUcanh</v>
      </c>
      <c r="E59" s="14">
        <v>1</v>
      </c>
      <c r="F59" s="14">
        <v>91</v>
      </c>
      <c r="G59" s="14"/>
      <c r="H59" s="14"/>
      <c r="I59" s="14"/>
      <c r="J59" s="14"/>
      <c r="K59" s="14"/>
      <c r="L59" s="14">
        <v>126</v>
      </c>
      <c r="M59" s="14"/>
      <c r="N59" s="14"/>
      <c r="O59" s="14">
        <v>205</v>
      </c>
      <c r="P59" s="14"/>
      <c r="Q59" s="14"/>
      <c r="R59" s="14"/>
      <c r="S59" s="14"/>
      <c r="T59" s="14"/>
      <c r="U59" s="14">
        <v>21</v>
      </c>
      <c r="V59" s="14"/>
      <c r="W59" s="14"/>
      <c r="X59" s="14"/>
      <c r="Y59" s="14"/>
      <c r="Z59" s="14"/>
      <c r="AA59" s="14">
        <v>286</v>
      </c>
      <c r="AB59" s="14"/>
      <c r="AC59" s="14">
        <v>75</v>
      </c>
      <c r="AD59" s="14">
        <v>11</v>
      </c>
      <c r="AE59" s="22">
        <f t="shared" si="10"/>
        <v>816</v>
      </c>
      <c r="AF59" s="31">
        <f>21+7+13</f>
        <v>41</v>
      </c>
      <c r="AG59" s="23">
        <v>0.79166666666666663</v>
      </c>
      <c r="AH59" s="23">
        <v>0.29166666666666669</v>
      </c>
      <c r="AI59" s="23" cm="1">
        <f t="array" ref="AI59">_xlfn.IFS($AG59="","",$AP59&gt;=8,TIME(1,0,0),$AP59&lt;=5,"")</f>
        <v>4.1666666666666664E-2</v>
      </c>
      <c r="AJ59" s="23" t="str" cm="1">
        <f t="array" ref="AJ59">IFERROR(_xlfn.IFS($AG59="","",AND($AP59&gt;12,$AG59&lt;TIME(10,0,0)),TIME(1,0,0),AND($AP59=12,$AG59&gt;=TIME(10,0,0),$AG59&lt;TIME(19,0,0)),TIME(0,30,0),AND($AP59=12,$AG59&gt;=TIME(19,0,0)),""),"")</f>
        <v/>
      </c>
      <c r="AK59" s="23" cm="1">
        <f t="array" ref="AK59">_xlfn.IFS($AG59="","",AND($AP59&lt;=12,$AP59&gt;10,$AJ59=""),TIME(0,35,0),OR(AND($AP59&lt;=10,$AP59&gt;5),$AJ59&lt;&gt;""),TIME(0,20,0),$AP59&gt;12,TIME(0,20,0),$AP59&lt;=5,TIME(0,10,0))</f>
        <v>2.4305555555555556E-2</v>
      </c>
      <c r="AL59" s="23">
        <f t="shared" si="4"/>
        <v>6.9444444444444441E-3</v>
      </c>
      <c r="AM59" s="23">
        <v>8.3333333333333329E-2</v>
      </c>
      <c r="AN59" s="23"/>
      <c r="AO59" s="23"/>
      <c r="AP59" s="24">
        <f t="shared" si="11"/>
        <v>11.999999999999998</v>
      </c>
      <c r="AQ59" s="23">
        <f t="shared" si="12"/>
        <v>7.2916666666666671E-2</v>
      </c>
      <c r="AR59" s="25">
        <f t="shared" si="13"/>
        <v>491.99999999999994</v>
      </c>
      <c r="AS59" s="25">
        <f t="shared" si="14"/>
        <v>338.24999999999994</v>
      </c>
      <c r="AT59" s="16"/>
      <c r="AU59" s="16" t="str">
        <f t="shared" si="9"/>
        <v/>
      </c>
      <c r="AV59" s="14"/>
      <c r="AW59" s="30"/>
      <c r="AX59" s="79" t="s">
        <v>83</v>
      </c>
    </row>
    <row r="60" spans="2:50" ht="15" customHeight="1" x14ac:dyDescent="0.3">
      <c r="B60" s="77">
        <v>46051</v>
      </c>
      <c r="C60" s="21">
        <f t="shared" si="1"/>
        <v>1</v>
      </c>
      <c r="D60" s="18" t="str">
        <f t="shared" si="2"/>
        <v>PUcanh</v>
      </c>
      <c r="E60" s="14"/>
      <c r="F60" s="14">
        <v>176</v>
      </c>
      <c r="G60" s="14"/>
      <c r="H60" s="14"/>
      <c r="I60" s="14"/>
      <c r="J60" s="14"/>
      <c r="K60" s="14"/>
      <c r="L60" s="14">
        <v>124</v>
      </c>
      <c r="M60" s="14"/>
      <c r="N60" s="14"/>
      <c r="O60" s="14">
        <v>182</v>
      </c>
      <c r="P60" s="14"/>
      <c r="Q60" s="14"/>
      <c r="R60" s="14"/>
      <c r="S60" s="14"/>
      <c r="T60" s="14"/>
      <c r="U60" s="14">
        <v>17</v>
      </c>
      <c r="V60" s="14"/>
      <c r="W60" s="14"/>
      <c r="X60" s="14"/>
      <c r="Y60" s="14"/>
      <c r="Z60" s="14"/>
      <c r="AA60" s="14">
        <f>179+87</f>
        <v>266</v>
      </c>
      <c r="AB60" s="14"/>
      <c r="AC60" s="14">
        <v>44</v>
      </c>
      <c r="AD60" s="14">
        <v>3</v>
      </c>
      <c r="AE60" s="22">
        <f t="shared" si="10"/>
        <v>812</v>
      </c>
      <c r="AF60" s="31">
        <f>17+9+11</f>
        <v>37</v>
      </c>
      <c r="AG60" s="23">
        <v>0.29166666666666669</v>
      </c>
      <c r="AH60" s="23">
        <v>0.79166666666666663</v>
      </c>
      <c r="AI60" s="23" cm="1">
        <f t="array" ref="AI60">_xlfn.IFS($AG60="","",$AP60&gt;=8,TIME(1,0,0),$AP60&lt;=5,"")</f>
        <v>4.1666666666666664E-2</v>
      </c>
      <c r="AJ60" s="23" t="str" cm="1">
        <f t="array" ref="AJ60">IFERROR(_xlfn.IFS($AG60="","",AND($AP60&gt;12,$AG60&lt;TIME(10,0,0)),TIME(1,0,0),AND($AP60=12,$AG60&gt;=TIME(10,0,0),$AG60&lt;TIME(19,0,0)),TIME(0,30,0),AND($AP60=12,$AG60&gt;=TIME(19,0,0)),""),"")</f>
        <v/>
      </c>
      <c r="AK60" s="23" cm="1">
        <f t="array" ref="AK60">_xlfn.IFS($AG60="","",AND($AP60&lt;=12,$AP60&gt;10,$AJ60=""),TIME(0,35,0),OR(AND($AP60&lt;=10,$AP60&gt;5),$AJ60&lt;&gt;""),TIME(0,20,0),$AP60&gt;12,TIME(0,20,0),$AP60&lt;=5,TIME(0,10,0))</f>
        <v>2.4305555555555556E-2</v>
      </c>
      <c r="AL60" s="23">
        <f t="shared" si="4"/>
        <v>6.9444444444444441E-3</v>
      </c>
      <c r="AM60" s="23"/>
      <c r="AN60" s="23">
        <v>2.0833333333333332E-2</v>
      </c>
      <c r="AO60" s="23"/>
      <c r="AP60" s="24">
        <f t="shared" si="11"/>
        <v>11.999999999999998</v>
      </c>
      <c r="AQ60" s="23">
        <f t="shared" si="12"/>
        <v>7.2916666666666671E-2</v>
      </c>
      <c r="AR60" s="25">
        <f t="shared" si="13"/>
        <v>443.99999999999994</v>
      </c>
      <c r="AS60" s="25">
        <f t="shared" si="14"/>
        <v>360.74999999999994</v>
      </c>
      <c r="AT60" s="16">
        <f>IF(OR($AE60=0,$AF60="",$AR60=""),"",SUM($AR60:$AR61)/SUM($AE60:$AE61))</f>
        <v>0.56222547584187399</v>
      </c>
      <c r="AU60" s="16">
        <f t="shared" ref="AU60:AU73" si="15">IF(AT60="","",1/AT60)</f>
        <v>1.7786458333333337</v>
      </c>
      <c r="AV60" s="14"/>
      <c r="AW60" s="30"/>
      <c r="AX60" s="79" t="s">
        <v>84</v>
      </c>
    </row>
    <row r="61" spans="2:50" ht="15" customHeight="1" x14ac:dyDescent="0.3">
      <c r="B61" s="77">
        <v>46051</v>
      </c>
      <c r="C61" s="21">
        <f t="shared" si="1"/>
        <v>1</v>
      </c>
      <c r="D61" s="18" t="str">
        <f t="shared" si="2"/>
        <v>PUcanh</v>
      </c>
      <c r="E61" s="14">
        <v>1</v>
      </c>
      <c r="F61" s="14">
        <v>128</v>
      </c>
      <c r="G61" s="14"/>
      <c r="H61" s="14"/>
      <c r="I61" s="14"/>
      <c r="J61" s="14"/>
      <c r="K61" s="14"/>
      <c r="L61" s="14">
        <v>168</v>
      </c>
      <c r="M61" s="14"/>
      <c r="N61" s="14"/>
      <c r="O61" s="14">
        <v>196</v>
      </c>
      <c r="P61" s="14"/>
      <c r="Q61" s="14"/>
      <c r="R61" s="14"/>
      <c r="S61" s="14"/>
      <c r="T61" s="14"/>
      <c r="U61" s="14">
        <v>38</v>
      </c>
      <c r="V61" s="14"/>
      <c r="W61" s="14"/>
      <c r="X61" s="14"/>
      <c r="Y61" s="14"/>
      <c r="Z61" s="14">
        <f>198+1/2</f>
        <v>198.5</v>
      </c>
      <c r="AA61" s="14">
        <f>113+10/2</f>
        <v>118</v>
      </c>
      <c r="AB61" s="14"/>
      <c r="AC61" s="14">
        <v>48</v>
      </c>
      <c r="AD61" s="14"/>
      <c r="AE61" s="22">
        <f t="shared" si="10"/>
        <v>895.5</v>
      </c>
      <c r="AF61" s="31">
        <f>22+8+13</f>
        <v>43</v>
      </c>
      <c r="AG61" s="23">
        <v>0.79166666666666663</v>
      </c>
      <c r="AH61" s="23">
        <v>0.29166666666666669</v>
      </c>
      <c r="AI61" s="23" cm="1">
        <f t="array" ref="AI61">_xlfn.IFS($AG61="","",$AP61&gt;=8,TIME(1,0,0),$AP61&lt;=5,"")</f>
        <v>4.1666666666666664E-2</v>
      </c>
      <c r="AJ61" s="23" t="str" cm="1">
        <f t="array" ref="AJ61">IFERROR(_xlfn.IFS($AG61="","",AND($AP61&gt;12,$AG61&lt;TIME(10,0,0)),TIME(1,0,0),AND($AP61=12,$AG61&gt;=TIME(10,0,0),$AG61&lt;TIME(19,0,0)),TIME(0,30,0),AND($AP61=12,$AG61&gt;=TIME(19,0,0)),""),"")</f>
        <v/>
      </c>
      <c r="AK61" s="23" cm="1">
        <f t="array" ref="AK61">_xlfn.IFS($AG61="","",AND($AP61&lt;=12,$AP61&gt;10,$AJ61=""),TIME(0,35,0),OR(AND($AP61&lt;=10,$AP61&gt;5),$AJ61&lt;&gt;""),TIME(0,20,0),$AP61&gt;12,TIME(0,20,0),$AP61&lt;=5,TIME(0,10,0))</f>
        <v>2.4305555555555556E-2</v>
      </c>
      <c r="AL61" s="23">
        <f t="shared" si="4"/>
        <v>6.9444444444444441E-3</v>
      </c>
      <c r="AM61" s="23"/>
      <c r="AN61" s="23">
        <v>2.7777777777777776E-2</v>
      </c>
      <c r="AO61" s="23"/>
      <c r="AP61" s="24">
        <f t="shared" si="11"/>
        <v>11.999999999999998</v>
      </c>
      <c r="AQ61" s="23">
        <f t="shared" si="12"/>
        <v>7.2916666666666671E-2</v>
      </c>
      <c r="AR61" s="25">
        <f t="shared" si="13"/>
        <v>515.99999999999989</v>
      </c>
      <c r="AS61" s="25">
        <f t="shared" si="14"/>
        <v>412.08333333333326</v>
      </c>
      <c r="AT61" s="16"/>
      <c r="AU61" s="16" t="str">
        <f t="shared" si="15"/>
        <v/>
      </c>
      <c r="AV61" s="14"/>
      <c r="AW61" s="30"/>
      <c r="AX61" s="79" t="s">
        <v>85</v>
      </c>
    </row>
    <row r="62" spans="2:50" ht="15" customHeight="1" x14ac:dyDescent="0.3">
      <c r="B62" s="78">
        <v>46052</v>
      </c>
      <c r="C62" s="21">
        <f t="shared" si="1"/>
        <v>1</v>
      </c>
      <c r="D62" s="18" t="str">
        <f t="shared" si="2"/>
        <v>PUcanh</v>
      </c>
      <c r="E62" s="14"/>
      <c r="F62" s="14">
        <v>130</v>
      </c>
      <c r="G62" s="14"/>
      <c r="H62" s="14"/>
      <c r="I62" s="14"/>
      <c r="J62" s="14"/>
      <c r="K62" s="14"/>
      <c r="L62" s="14">
        <v>122</v>
      </c>
      <c r="M62" s="14"/>
      <c r="N62" s="14"/>
      <c r="O62" s="14">
        <v>134</v>
      </c>
      <c r="P62" s="14"/>
      <c r="Q62" s="14">
        <v>1</v>
      </c>
      <c r="R62" s="14"/>
      <c r="S62" s="14"/>
      <c r="T62" s="14"/>
      <c r="U62" s="14">
        <v>33</v>
      </c>
      <c r="V62" s="14">
        <v>11</v>
      </c>
      <c r="W62" s="14"/>
      <c r="X62" s="14"/>
      <c r="Y62" s="14"/>
      <c r="Z62" s="14">
        <v>104</v>
      </c>
      <c r="AA62" s="14">
        <v>126</v>
      </c>
      <c r="AB62" s="14"/>
      <c r="AC62" s="14">
        <v>27</v>
      </c>
      <c r="AD62" s="14"/>
      <c r="AE62" s="22">
        <f t="shared" si="10"/>
        <v>688</v>
      </c>
      <c r="AF62" s="31">
        <f>15+9+10</f>
        <v>34</v>
      </c>
      <c r="AG62" s="23">
        <v>0.29166666666666669</v>
      </c>
      <c r="AH62" s="23">
        <v>0.79166666666666663</v>
      </c>
      <c r="AI62" s="23" cm="1">
        <f t="array" ref="AI62">_xlfn.IFS($AG62="","",$AP62&gt;=8,TIME(1,0,0),$AP62&lt;=5,"")</f>
        <v>4.1666666666666664E-2</v>
      </c>
      <c r="AJ62" s="23" t="str" cm="1">
        <f t="array" ref="AJ62">IFERROR(_xlfn.IFS($AG62="","",AND($AP62&gt;12,$AG62&lt;TIME(10,0,0)),TIME(1,0,0),AND($AP62=12,$AG62&gt;=TIME(10,0,0),$AG62&lt;TIME(19,0,0)),TIME(0,30,0),AND($AP62=12,$AG62&gt;=TIME(19,0,0)),""),"")</f>
        <v/>
      </c>
      <c r="AK62" s="23" cm="1">
        <f t="array" ref="AK62">_xlfn.IFS($AG62="","",AND($AP62&lt;=12,$AP62&gt;10,$AJ62=""),TIME(0,35,0),OR(AND($AP62&lt;=10,$AP62&gt;5),$AJ62&lt;&gt;""),TIME(0,20,0),$AP62&gt;12,TIME(0,20,0),$AP62&lt;=5,TIME(0,10,0))</f>
        <v>2.4305555555555556E-2</v>
      </c>
      <c r="AL62" s="23">
        <f t="shared" si="4"/>
        <v>6.9444444444444441E-3</v>
      </c>
      <c r="AM62" s="23"/>
      <c r="AN62" s="23"/>
      <c r="AO62" s="23">
        <v>0.25</v>
      </c>
      <c r="AP62" s="24">
        <f t="shared" si="11"/>
        <v>11.999999999999998</v>
      </c>
      <c r="AQ62" s="23">
        <f t="shared" si="12"/>
        <v>7.2916666666666671E-2</v>
      </c>
      <c r="AR62" s="25">
        <f t="shared" si="13"/>
        <v>407.99999999999994</v>
      </c>
      <c r="AS62" s="25">
        <f t="shared" si="14"/>
        <v>348.49999999999994</v>
      </c>
      <c r="AT62" s="16">
        <f>IF(OR($AE62=0,$AF62="",$AR62=""),"",SUM($AR62:$AR63)/SUM($AE62:$AE63))</f>
        <v>0.59269015475798481</v>
      </c>
      <c r="AU62" s="16">
        <f t="shared" si="15"/>
        <v>1.6872222222222224</v>
      </c>
      <c r="AV62" s="14"/>
      <c r="AW62" s="30"/>
      <c r="AX62" s="79" t="s">
        <v>86</v>
      </c>
    </row>
    <row r="63" spans="2:50" ht="15" customHeight="1" x14ac:dyDescent="0.3">
      <c r="B63" s="78">
        <v>46052</v>
      </c>
      <c r="C63" s="21">
        <f t="shared" si="1"/>
        <v>1</v>
      </c>
      <c r="D63" s="18" t="str">
        <f t="shared" si="2"/>
        <v>PUcanh</v>
      </c>
      <c r="E63" s="14"/>
      <c r="F63" s="14">
        <v>108</v>
      </c>
      <c r="G63" s="14"/>
      <c r="H63" s="14"/>
      <c r="I63" s="14"/>
      <c r="J63" s="14"/>
      <c r="K63" s="14"/>
      <c r="L63" s="14">
        <v>175</v>
      </c>
      <c r="M63" s="14">
        <v>35</v>
      </c>
      <c r="N63" s="14"/>
      <c r="O63" s="14">
        <v>140</v>
      </c>
      <c r="P63" s="14"/>
      <c r="Q63" s="14"/>
      <c r="R63" s="14"/>
      <c r="S63" s="14"/>
      <c r="T63" s="14"/>
      <c r="U63" s="14">
        <v>32</v>
      </c>
      <c r="V63" s="14">
        <v>27</v>
      </c>
      <c r="W63" s="14"/>
      <c r="X63" s="14"/>
      <c r="Y63" s="14"/>
      <c r="Z63" s="14">
        <v>137</v>
      </c>
      <c r="AA63" s="14">
        <f>123+17/2</f>
        <v>131.5</v>
      </c>
      <c r="AB63" s="14"/>
      <c r="AC63" s="14">
        <v>45</v>
      </c>
      <c r="AD63" s="14"/>
      <c r="AE63" s="22">
        <f t="shared" si="10"/>
        <v>830.5</v>
      </c>
      <c r="AF63" s="31">
        <f>21+7+13</f>
        <v>41</v>
      </c>
      <c r="AG63" s="23">
        <v>0.79166666666666663</v>
      </c>
      <c r="AH63" s="23">
        <v>0.29166666666666669</v>
      </c>
      <c r="AI63" s="23" cm="1">
        <f t="array" ref="AI63">_xlfn.IFS($AG63="","",$AP63&gt;=8,TIME(1,0,0),$AP63&lt;=5,"")</f>
        <v>4.1666666666666664E-2</v>
      </c>
      <c r="AJ63" s="23" t="str" cm="1">
        <f t="array" ref="AJ63">IFERROR(_xlfn.IFS($AG63="","",AND($AP63&gt;12,$AG63&lt;TIME(10,0,0)),TIME(1,0,0),AND($AP63=12,$AG63&gt;=TIME(10,0,0),$AG63&lt;TIME(19,0,0)),TIME(0,30,0),AND($AP63=12,$AG63&gt;=TIME(19,0,0)),""),"")</f>
        <v/>
      </c>
      <c r="AK63" s="23" cm="1">
        <f t="array" ref="AK63">_xlfn.IFS($AG63="","",AND($AP63&lt;=12,$AP63&gt;10,$AJ63=""),TIME(0,35,0),OR(AND($AP63&lt;=10,$AP63&gt;5),$AJ63&lt;&gt;""),TIME(0,20,0),$AP63&gt;12,TIME(0,20,0),$AP63&lt;=5,TIME(0,10,0))</f>
        <v>2.4305555555555556E-2</v>
      </c>
      <c r="AL63" s="23">
        <f t="shared" si="4"/>
        <v>6.9444444444444441E-3</v>
      </c>
      <c r="AM63" s="23"/>
      <c r="AN63" s="23">
        <v>6.5972222222222224E-2</v>
      </c>
      <c r="AO63" s="23">
        <v>7.2916666666666671E-2</v>
      </c>
      <c r="AP63" s="24">
        <f t="shared" si="11"/>
        <v>11.999999999999998</v>
      </c>
      <c r="AQ63" s="23">
        <f t="shared" si="12"/>
        <v>7.2916666666666671E-2</v>
      </c>
      <c r="AR63" s="25">
        <f t="shared" si="13"/>
        <v>491.99999999999994</v>
      </c>
      <c r="AS63" s="25">
        <f t="shared" si="14"/>
        <v>355.33333333333326</v>
      </c>
      <c r="AT63" s="16"/>
      <c r="AU63" s="16" t="str">
        <f t="shared" si="15"/>
        <v/>
      </c>
      <c r="AV63" s="14"/>
      <c r="AW63" s="30"/>
      <c r="AX63" s="79" t="s">
        <v>87</v>
      </c>
    </row>
    <row r="64" spans="2:50" ht="15" customHeight="1" x14ac:dyDescent="0.3">
      <c r="B64" s="77">
        <v>46053</v>
      </c>
      <c r="C64" s="21">
        <f t="shared" si="1"/>
        <v>1</v>
      </c>
      <c r="D64" s="18" t="str">
        <f t="shared" si="2"/>
        <v>PUcanh</v>
      </c>
      <c r="E64" s="14"/>
      <c r="F64" s="14">
        <v>69</v>
      </c>
      <c r="G64" s="14"/>
      <c r="H64" s="14">
        <v>72</v>
      </c>
      <c r="I64" s="14"/>
      <c r="J64" s="14"/>
      <c r="K64" s="14"/>
      <c r="L64" s="14">
        <v>27</v>
      </c>
      <c r="M64" s="14">
        <v>6</v>
      </c>
      <c r="N64" s="14"/>
      <c r="O64" s="14">
        <v>79</v>
      </c>
      <c r="P64" s="14">
        <v>3</v>
      </c>
      <c r="Q64" s="14"/>
      <c r="R64" s="14"/>
      <c r="S64" s="14"/>
      <c r="T64" s="14"/>
      <c r="U64" s="14">
        <v>8</v>
      </c>
      <c r="V64" s="14">
        <v>26</v>
      </c>
      <c r="W64" s="14"/>
      <c r="X64" s="14"/>
      <c r="Y64" s="14"/>
      <c r="Z64" s="14"/>
      <c r="AA64" s="14">
        <v>279</v>
      </c>
      <c r="AB64" s="14"/>
      <c r="AC64" s="14">
        <v>11</v>
      </c>
      <c r="AD64" s="14"/>
      <c r="AE64" s="22">
        <f t="shared" si="10"/>
        <v>580</v>
      </c>
      <c r="AF64" s="31">
        <f>17+8+10</f>
        <v>35</v>
      </c>
      <c r="AG64" s="23">
        <v>0.29166666666666669</v>
      </c>
      <c r="AH64" s="23">
        <v>0.79166666666666663</v>
      </c>
      <c r="AI64" s="23" cm="1">
        <f t="array" ref="AI64">_xlfn.IFS($AG64="","",$AP64&gt;=8,TIME(1,0,0),$AP64&lt;=5,"")</f>
        <v>4.1666666666666664E-2</v>
      </c>
      <c r="AJ64" s="23" t="str" cm="1">
        <f t="array" ref="AJ64">IFERROR(_xlfn.IFS($AG64="","",AND($AP64&gt;12,$AG64&lt;TIME(10,0,0)),TIME(1,0,0),AND($AP64=12,$AG64&gt;=TIME(10,0,0),$AG64&lt;TIME(19,0,0)),TIME(0,30,0),AND($AP64=12,$AG64&gt;=TIME(19,0,0)),""),"")</f>
        <v/>
      </c>
      <c r="AK64" s="23" cm="1">
        <f t="array" ref="AK64">_xlfn.IFS($AG64="","",AND($AP64&lt;=12,$AP64&gt;10,$AJ64=""),TIME(0,35,0),OR(AND($AP64&lt;=10,$AP64&gt;5),$AJ64&lt;&gt;""),TIME(0,20,0),$AP64&gt;12,TIME(0,20,0),$AP64&lt;=5,TIME(0,10,0))</f>
        <v>2.4305555555555556E-2</v>
      </c>
      <c r="AL64" s="23">
        <f t="shared" si="4"/>
        <v>6.9444444444444441E-3</v>
      </c>
      <c r="AM64" s="23"/>
      <c r="AN64" s="23"/>
      <c r="AO64" s="23">
        <v>8.3333333333333329E-2</v>
      </c>
      <c r="AP64" s="24">
        <f t="shared" si="11"/>
        <v>11.999999999999998</v>
      </c>
      <c r="AQ64" s="23">
        <f t="shared" si="12"/>
        <v>7.2916666666666671E-2</v>
      </c>
      <c r="AR64" s="25">
        <f t="shared" si="13"/>
        <v>419.99999999999994</v>
      </c>
      <c r="AS64" s="25">
        <f t="shared" si="14"/>
        <v>358.74999999999994</v>
      </c>
      <c r="AT64" s="16">
        <f>IF(OR($AE64=0,$AF64="",$AR64=""),"",SUM($AR64:$AR65)/SUM($AE64:$AE65))</f>
        <v>0.75810473815461332</v>
      </c>
      <c r="AU64" s="16">
        <f t="shared" si="15"/>
        <v>1.3190789473684212</v>
      </c>
      <c r="AV64" s="14"/>
      <c r="AW64" s="30"/>
      <c r="AX64" s="79" t="s">
        <v>88</v>
      </c>
    </row>
    <row r="65" spans="2:50" ht="15" customHeight="1" x14ac:dyDescent="0.3">
      <c r="B65" s="77">
        <v>46053</v>
      </c>
      <c r="C65" s="21">
        <f t="shared" si="1"/>
        <v>1</v>
      </c>
      <c r="D65" s="18" t="str">
        <f t="shared" si="2"/>
        <v>PUcanh</v>
      </c>
      <c r="E65" s="14"/>
      <c r="F65" s="14">
        <v>89</v>
      </c>
      <c r="G65" s="14"/>
      <c r="H65" s="14">
        <v>92</v>
      </c>
      <c r="I65" s="14"/>
      <c r="J65" s="14"/>
      <c r="K65" s="14"/>
      <c r="L65" s="14">
        <v>1</v>
      </c>
      <c r="M65" s="14">
        <v>74</v>
      </c>
      <c r="N65" s="14">
        <v>13</v>
      </c>
      <c r="O65" s="14"/>
      <c r="P65" s="14">
        <v>33</v>
      </c>
      <c r="Q65" s="14"/>
      <c r="R65" s="14"/>
      <c r="S65" s="14"/>
      <c r="T65" s="14"/>
      <c r="U65" s="14"/>
      <c r="V65" s="14">
        <v>38</v>
      </c>
      <c r="W65" s="14"/>
      <c r="X65" s="14"/>
      <c r="Y65" s="14"/>
      <c r="Z65" s="14"/>
      <c r="AA65" s="14">
        <v>283</v>
      </c>
      <c r="AB65" s="14"/>
      <c r="AC65" s="14"/>
      <c r="AD65" s="14"/>
      <c r="AE65" s="22">
        <f t="shared" si="10"/>
        <v>623</v>
      </c>
      <c r="AF65" s="31">
        <f>21+7+13</f>
        <v>41</v>
      </c>
      <c r="AG65" s="23">
        <v>0.79166666666666663</v>
      </c>
      <c r="AH65" s="23">
        <v>0.29166666666666669</v>
      </c>
      <c r="AI65" s="23" cm="1">
        <f t="array" ref="AI65">_xlfn.IFS($AG65="","",$AP65&gt;=8,TIME(1,0,0),$AP65&lt;=5,"")</f>
        <v>4.1666666666666664E-2</v>
      </c>
      <c r="AJ65" s="23" t="str" cm="1">
        <f t="array" ref="AJ65">IFERROR(_xlfn.IFS($AG65="","",AND($AP65&gt;12,$AG65&lt;TIME(10,0,0)),TIME(1,0,0),AND($AP65=12,$AG65&gt;=TIME(10,0,0),$AG65&lt;TIME(19,0,0)),TIME(0,30,0),AND($AP65=12,$AG65&gt;=TIME(19,0,0)),""),"")</f>
        <v/>
      </c>
      <c r="AK65" s="23" cm="1">
        <f t="array" ref="AK65">_xlfn.IFS($AG65="","",AND($AP65&lt;=12,$AP65&gt;10,$AJ65=""),TIME(0,35,0),OR(AND($AP65&lt;=10,$AP65&gt;5),$AJ65&lt;&gt;""),TIME(0,20,0),$AP65&gt;12,TIME(0,20,0),$AP65&lt;=5,TIME(0,10,0))</f>
        <v>2.4305555555555556E-2</v>
      </c>
      <c r="AL65" s="23">
        <f t="shared" si="4"/>
        <v>6.9444444444444441E-3</v>
      </c>
      <c r="AM65" s="23">
        <v>4.1666666666666664E-2</v>
      </c>
      <c r="AN65" s="23">
        <v>2.0833333333333332E-2</v>
      </c>
      <c r="AO65" s="23"/>
      <c r="AP65" s="24">
        <f t="shared" si="11"/>
        <v>11.999999999999998</v>
      </c>
      <c r="AQ65" s="23">
        <f t="shared" si="12"/>
        <v>7.2916666666666671E-2</v>
      </c>
      <c r="AR65" s="25">
        <f t="shared" si="13"/>
        <v>491.99999999999994</v>
      </c>
      <c r="AS65" s="25">
        <f t="shared" si="14"/>
        <v>358.74999999999994</v>
      </c>
      <c r="AT65" s="16"/>
      <c r="AU65" s="16" t="str">
        <f t="shared" si="15"/>
        <v/>
      </c>
      <c r="AV65" s="14"/>
      <c r="AW65" s="30"/>
      <c r="AX65" s="79" t="s">
        <v>89</v>
      </c>
    </row>
    <row r="66" spans="2:50" ht="15" customHeight="1" x14ac:dyDescent="0.3">
      <c r="B66" s="78">
        <v>46054</v>
      </c>
      <c r="C66" s="21">
        <f t="shared" si="1"/>
        <v>2</v>
      </c>
      <c r="D66" s="18" t="str">
        <f t="shared" si="2"/>
        <v>PUcanh</v>
      </c>
      <c r="E66" s="14"/>
      <c r="F66" s="14">
        <v>16</v>
      </c>
      <c r="G66" s="14"/>
      <c r="H66" s="14">
        <v>75</v>
      </c>
      <c r="I66" s="14"/>
      <c r="J66" s="14"/>
      <c r="K66" s="14"/>
      <c r="L66" s="14"/>
      <c r="M66" s="14">
        <v>8</v>
      </c>
      <c r="N66" s="14">
        <v>6</v>
      </c>
      <c r="O66" s="14">
        <v>52</v>
      </c>
      <c r="P66" s="14">
        <v>75</v>
      </c>
      <c r="Q66" s="14"/>
      <c r="R66" s="14"/>
      <c r="S66" s="14"/>
      <c r="T66" s="14"/>
      <c r="U66" s="14">
        <f>4/2</f>
        <v>2</v>
      </c>
      <c r="V66" s="14">
        <f>3+7/2</f>
        <v>6.5</v>
      </c>
      <c r="W66" s="14"/>
      <c r="X66" s="14"/>
      <c r="Y66" s="14"/>
      <c r="Z66" s="14"/>
      <c r="AA66" s="14">
        <f>170+9/2</f>
        <v>174.5</v>
      </c>
      <c r="AB66" s="14"/>
      <c r="AC66" s="14"/>
      <c r="AD66" s="14"/>
      <c r="AE66" s="22">
        <f t="shared" si="10"/>
        <v>415</v>
      </c>
      <c r="AF66" s="31">
        <f>14+7+6</f>
        <v>27</v>
      </c>
      <c r="AG66" s="23">
        <v>0.29166666666666669</v>
      </c>
      <c r="AH66" s="23">
        <v>0.70833333333333337</v>
      </c>
      <c r="AI66" s="23" cm="1">
        <f t="array" ref="AI66">_xlfn.IFS($AG66="","",$AP66&gt;=8,TIME(1,0,0),$AP66&lt;=5,"")</f>
        <v>4.1666666666666664E-2</v>
      </c>
      <c r="AJ66" s="23" t="str" cm="1">
        <f t="array" ref="AJ66">IFERROR(_xlfn.IFS($AG66="","",AND($AP66&gt;12,$AG66&lt;TIME(10,0,0)),TIME(1,0,0),AND($AP66=12,$AG66&gt;=TIME(10,0,0),$AG66&lt;TIME(19,0,0)),TIME(0,30,0),AND($AP66=12,$AG66&gt;=TIME(19,0,0)),""),"")</f>
        <v/>
      </c>
      <c r="AK66" s="23" cm="1">
        <f t="array" ref="AK66">_xlfn.IFS($AG66="","",AND($AP66&lt;=12,$AP66&gt;10,$AJ66=""),TIME(0,35,0),OR(AND($AP66&lt;=10,$AP66&gt;5),$AJ66&lt;&gt;""),TIME(0,20,0),$AP66&gt;12,TIME(0,20,0),$AP66&lt;=5,TIME(0,10,0))</f>
        <v>1.3888888888888888E-2</v>
      </c>
      <c r="AL66" s="23">
        <f t="shared" si="4"/>
        <v>6.9444444444444441E-3</v>
      </c>
      <c r="AM66" s="23"/>
      <c r="AN66" s="23"/>
      <c r="AO66" s="23"/>
      <c r="AP66" s="24">
        <f t="shared" si="11"/>
        <v>10</v>
      </c>
      <c r="AQ66" s="23">
        <f t="shared" si="12"/>
        <v>6.25E-2</v>
      </c>
      <c r="AR66" s="25">
        <f t="shared" si="13"/>
        <v>270</v>
      </c>
      <c r="AS66" s="25">
        <f t="shared" si="14"/>
        <v>229.5</v>
      </c>
      <c r="AT66" s="16">
        <f>IF(OR($AE66=0,$AF66="",$AR66=""),"",SUM($AR66:$AR67)/SUM($AE66:$AE67))</f>
        <v>0.6506024096385542</v>
      </c>
      <c r="AU66" s="16">
        <f t="shared" si="15"/>
        <v>1.537037037037037</v>
      </c>
      <c r="AV66" s="14"/>
      <c r="AW66" s="30"/>
      <c r="AX66" s="79"/>
    </row>
    <row r="67" spans="2:50" ht="15" customHeight="1" x14ac:dyDescent="0.3">
      <c r="B67" s="78">
        <v>46054</v>
      </c>
      <c r="C67" s="21">
        <f t="shared" si="1"/>
        <v>2</v>
      </c>
      <c r="D67" s="18" t="str">
        <f t="shared" si="2"/>
        <v>PUcanh</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22">
        <f t="shared" si="10"/>
        <v>0</v>
      </c>
      <c r="AF67" s="31"/>
      <c r="AG67" s="23"/>
      <c r="AH67" s="23"/>
      <c r="AI67" s="23" t="str" cm="1">
        <f t="array" ref="AI67">_xlfn.IFS($AG67="","",$AP67&gt;=8,TIME(1,0,0),$AP67&lt;=5,"")</f>
        <v/>
      </c>
      <c r="AJ67" s="23" t="str" cm="1">
        <f t="array" ref="AJ67">IFERROR(_xlfn.IFS($AG67="","",AND($AP67&gt;12,$AG67&lt;TIME(10,0,0)),TIME(1,0,0),AND($AP67=12,$AG67&gt;=TIME(10,0,0),$AG67&lt;TIME(19,0,0)),TIME(0,30,0),AND($AP67=12,$AG67&gt;=TIME(19,0,0)),""),"")</f>
        <v/>
      </c>
      <c r="AK67" s="23" t="str" cm="1">
        <f t="array" ref="AK67">_xlfn.IFS($AG67="","",AND($AP67&lt;=12,$AP67&gt;10,$AJ67=""),TIME(0,35,0),OR(AND($AP67&lt;=10,$AP67&gt;5),$AJ67&lt;&gt;""),TIME(0,20,0),$AP67&gt;12,TIME(0,20,0),$AP67&lt;=5,TIME(0,10,0))</f>
        <v/>
      </c>
      <c r="AL67" s="23" t="str">
        <f t="shared" si="4"/>
        <v/>
      </c>
      <c r="AM67" s="23"/>
      <c r="AN67" s="23"/>
      <c r="AO67" s="23"/>
      <c r="AP67" s="24" t="str">
        <f t="shared" si="11"/>
        <v/>
      </c>
      <c r="AQ67" s="23" t="str">
        <f t="shared" si="12"/>
        <v/>
      </c>
      <c r="AR67" s="25" t="str">
        <f t="shared" si="13"/>
        <v/>
      </c>
      <c r="AS67" s="25" t="str">
        <f t="shared" si="14"/>
        <v/>
      </c>
      <c r="AT67" s="16"/>
      <c r="AU67" s="16" t="str">
        <f t="shared" si="15"/>
        <v/>
      </c>
      <c r="AV67" s="14"/>
      <c r="AW67" s="30"/>
      <c r="AX67" s="79"/>
    </row>
    <row r="68" spans="2:50" ht="15" customHeight="1" x14ac:dyDescent="0.3">
      <c r="B68" s="77">
        <v>46055</v>
      </c>
      <c r="C68" s="21">
        <f t="shared" si="1"/>
        <v>2</v>
      </c>
      <c r="D68" s="18" t="str">
        <f t="shared" si="2"/>
        <v>PUcanh</v>
      </c>
      <c r="E68" s="14"/>
      <c r="F68" s="14">
        <v>61</v>
      </c>
      <c r="G68" s="14"/>
      <c r="H68" s="14">
        <v>82</v>
      </c>
      <c r="I68" s="14"/>
      <c r="J68" s="14"/>
      <c r="K68" s="14"/>
      <c r="L68" s="14"/>
      <c r="M68" s="14">
        <v>21</v>
      </c>
      <c r="N68" s="14"/>
      <c r="O68" s="14">
        <v>2</v>
      </c>
      <c r="P68" s="14">
        <v>28</v>
      </c>
      <c r="Q68" s="14"/>
      <c r="R68" s="14"/>
      <c r="S68" s="14"/>
      <c r="T68" s="14"/>
      <c r="U68" s="14"/>
      <c r="V68" s="14">
        <v>22</v>
      </c>
      <c r="W68" s="14"/>
      <c r="X68" s="14"/>
      <c r="Y68" s="14"/>
      <c r="Z68" s="14"/>
      <c r="AA68" s="14">
        <v>186</v>
      </c>
      <c r="AB68" s="14"/>
      <c r="AC68" s="14"/>
      <c r="AD68" s="14"/>
      <c r="AE68" s="22">
        <f t="shared" ref="AE68:AE75" si="16">SUM(E68:AD68)</f>
        <v>402</v>
      </c>
      <c r="AF68" s="31">
        <f>11+11+10</f>
        <v>32</v>
      </c>
      <c r="AG68" s="23">
        <v>0.29166666666666669</v>
      </c>
      <c r="AH68" s="23">
        <v>0.79166666666666663</v>
      </c>
      <c r="AI68" s="23" cm="1">
        <f t="array" ref="AI68">_xlfn.IFS($AG68="","",$AP68&gt;=8,TIME(1,0,0),$AP68&lt;=5,"")</f>
        <v>4.1666666666666664E-2</v>
      </c>
      <c r="AJ68" s="23" t="str" cm="1">
        <f t="array" ref="AJ68">IFERROR(_xlfn.IFS($AG68="","",AND($AP68&gt;12,$AG68&lt;TIME(10,0,0)),TIME(1,0,0),AND($AP68=12,$AG68&gt;=TIME(10,0,0),$AG68&lt;TIME(19,0,0)),TIME(0,30,0),AND($AP68=12,$AG68&gt;=TIME(19,0,0)),""),"")</f>
        <v/>
      </c>
      <c r="AK68" s="23" cm="1">
        <f t="array" ref="AK68">_xlfn.IFS($AG68="","",AND($AP68&lt;=12,$AP68&gt;10,$AJ68=""),TIME(0,35,0),OR(AND($AP68&lt;=10,$AP68&gt;5),$AJ68&lt;&gt;""),TIME(0,20,0),$AP68&gt;12,TIME(0,20,0),$AP68&lt;=5,TIME(0,10,0))</f>
        <v>2.4305555555555556E-2</v>
      </c>
      <c r="AL68" s="23">
        <f t="shared" si="4"/>
        <v>6.9444444444444441E-3</v>
      </c>
      <c r="AM68" s="23">
        <v>7.9861111111111105E-2</v>
      </c>
      <c r="AN68" s="23">
        <v>4.1666666666666664E-2</v>
      </c>
      <c r="AO68" s="23">
        <v>8.3333333333333329E-2</v>
      </c>
      <c r="AP68" s="24">
        <f t="shared" ref="AP68:AP75" si="17">IF($AG68="","",ABS($AH68-$AG68)*24)</f>
        <v>11.999999999999998</v>
      </c>
      <c r="AQ68" s="23">
        <f t="shared" ref="AQ68:AQ75" si="18">IF($AG68="","",SUM($AI68:$AL68))</f>
        <v>7.2916666666666671E-2</v>
      </c>
      <c r="AR68" s="25">
        <f t="shared" ref="AR68:AR75" si="19">IF(OR($AF68="",$AP68=""),"",$AP68*$AF68)</f>
        <v>383.99999999999994</v>
      </c>
      <c r="AS68" s="25">
        <f t="shared" ref="AS68:AS75" si="20">IF(OR($AF68="",$AP68=""),"",($AP68-($AQ68+$AM68+$AN68)*24)*$AF68)</f>
        <v>234.6666666666666</v>
      </c>
      <c r="AT68" s="16">
        <f>IF(OR($AE68=0,$AF68="",$AR68=""),"",SUM($AR68:$AR69)/SUM($AE68:$AE69))</f>
        <v>0.89999999999999991</v>
      </c>
      <c r="AU68" s="16">
        <f t="shared" si="15"/>
        <v>1.1111111111111112</v>
      </c>
      <c r="AV68" s="14"/>
      <c r="AW68" s="30"/>
      <c r="AX68" s="79" t="s">
        <v>90</v>
      </c>
    </row>
    <row r="69" spans="2:50" ht="15" customHeight="1" x14ac:dyDescent="0.3">
      <c r="B69" s="77">
        <v>46055</v>
      </c>
      <c r="C69" s="21">
        <f t="shared" si="1"/>
        <v>2</v>
      </c>
      <c r="D69" s="18" t="str">
        <f t="shared" si="2"/>
        <v>PUcanh</v>
      </c>
      <c r="E69" s="14">
        <v>31</v>
      </c>
      <c r="F69" s="14"/>
      <c r="G69" s="14"/>
      <c r="H69" s="14">
        <v>61</v>
      </c>
      <c r="I69" s="14"/>
      <c r="J69" s="14">
        <v>37</v>
      </c>
      <c r="K69" s="14"/>
      <c r="L69" s="14"/>
      <c r="M69" s="14">
        <v>16</v>
      </c>
      <c r="N69" s="14">
        <v>19</v>
      </c>
      <c r="O69" s="14"/>
      <c r="P69" s="14">
        <v>4</v>
      </c>
      <c r="Q69" s="14"/>
      <c r="R69" s="14"/>
      <c r="S69" s="14"/>
      <c r="T69" s="14"/>
      <c r="U69" s="14"/>
      <c r="V69" s="14">
        <v>18</v>
      </c>
      <c r="W69" s="14"/>
      <c r="X69" s="14"/>
      <c r="Y69" s="14"/>
      <c r="Z69" s="14"/>
      <c r="AA69" s="14">
        <v>292</v>
      </c>
      <c r="AB69" s="14"/>
      <c r="AC69" s="14"/>
      <c r="AD69" s="14"/>
      <c r="AE69" s="22">
        <f t="shared" si="16"/>
        <v>478</v>
      </c>
      <c r="AF69" s="31">
        <f>18+6+10</f>
        <v>34</v>
      </c>
      <c r="AG69" s="23">
        <v>0.79166666666666663</v>
      </c>
      <c r="AH69" s="23">
        <v>0.29166666666666669</v>
      </c>
      <c r="AI69" s="23" cm="1">
        <f t="array" ref="AI69">_xlfn.IFS($AG69="","",$AP69&gt;=8,TIME(1,0,0),$AP69&lt;=5,"")</f>
        <v>4.1666666666666664E-2</v>
      </c>
      <c r="AJ69" s="23" t="str" cm="1">
        <f t="array" ref="AJ69">IFERROR(_xlfn.IFS($AG69="","",AND($AP69&gt;12,$AG69&lt;TIME(10,0,0)),TIME(1,0,0),AND($AP69=12,$AG69&gt;=TIME(10,0,0),$AG69&lt;TIME(19,0,0)),TIME(0,30,0),AND($AP69=12,$AG69&gt;=TIME(19,0,0)),""),"")</f>
        <v/>
      </c>
      <c r="AK69" s="23" cm="1">
        <f t="array" ref="AK69">_xlfn.IFS($AG69="","",AND($AP69&lt;=12,$AP69&gt;10,$AJ69=""),TIME(0,35,0),OR(AND($AP69&lt;=10,$AP69&gt;5),$AJ69&lt;&gt;""),TIME(0,20,0),$AP69&gt;12,TIME(0,20,0),$AP69&lt;=5,TIME(0,10,0))</f>
        <v>2.4305555555555556E-2</v>
      </c>
      <c r="AL69" s="23">
        <f t="shared" si="4"/>
        <v>6.9444444444444441E-3</v>
      </c>
      <c r="AM69" s="23"/>
      <c r="AN69" s="23"/>
      <c r="AO69" s="23">
        <v>6.25E-2</v>
      </c>
      <c r="AP69" s="24">
        <f t="shared" si="17"/>
        <v>11.999999999999998</v>
      </c>
      <c r="AQ69" s="23">
        <f t="shared" si="18"/>
        <v>7.2916666666666671E-2</v>
      </c>
      <c r="AR69" s="25">
        <f t="shared" si="19"/>
        <v>407.99999999999994</v>
      </c>
      <c r="AS69" s="25">
        <f t="shared" si="20"/>
        <v>348.49999999999994</v>
      </c>
      <c r="AT69" s="16"/>
      <c r="AU69" s="16" t="str">
        <f t="shared" si="15"/>
        <v/>
      </c>
      <c r="AV69" s="14"/>
      <c r="AW69" s="30"/>
      <c r="AX69" s="79" t="s">
        <v>91</v>
      </c>
    </row>
    <row r="70" spans="2:50" ht="15" customHeight="1" x14ac:dyDescent="0.3">
      <c r="B70" s="78">
        <v>46056</v>
      </c>
      <c r="C70" s="21">
        <f t="shared" si="1"/>
        <v>2</v>
      </c>
      <c r="D70" s="18" t="str">
        <f t="shared" si="2"/>
        <v>PUcanh</v>
      </c>
      <c r="E70" s="14"/>
      <c r="F70" s="14"/>
      <c r="G70" s="14"/>
      <c r="H70" s="14">
        <v>59</v>
      </c>
      <c r="I70" s="14"/>
      <c r="J70" s="14">
        <v>25</v>
      </c>
      <c r="K70" s="14"/>
      <c r="L70" s="14"/>
      <c r="M70" s="14">
        <v>64</v>
      </c>
      <c r="N70" s="14">
        <v>65</v>
      </c>
      <c r="O70" s="14"/>
      <c r="P70" s="14"/>
      <c r="Q70" s="14"/>
      <c r="R70" s="14"/>
      <c r="S70" s="14"/>
      <c r="T70" s="14"/>
      <c r="U70" s="14"/>
      <c r="V70" s="14"/>
      <c r="W70" s="14"/>
      <c r="X70" s="14"/>
      <c r="Y70" s="14"/>
      <c r="Z70" s="14">
        <v>10</v>
      </c>
      <c r="AA70" s="14">
        <v>266</v>
      </c>
      <c r="AB70" s="14"/>
      <c r="AC70" s="14"/>
      <c r="AD70" s="14"/>
      <c r="AE70" s="22">
        <f t="shared" si="16"/>
        <v>489</v>
      </c>
      <c r="AF70" s="31">
        <f>15+9+12</f>
        <v>36</v>
      </c>
      <c r="AG70" s="23">
        <v>0.29166666666666669</v>
      </c>
      <c r="AH70" s="23">
        <v>0.79166666666666663</v>
      </c>
      <c r="AI70" s="23" cm="1">
        <f t="array" ref="AI70">_xlfn.IFS($AG70="","",$AP70&gt;=8,TIME(1,0,0),$AP70&lt;=5,"")</f>
        <v>4.1666666666666664E-2</v>
      </c>
      <c r="AJ70" s="23" t="str" cm="1">
        <f t="array" ref="AJ70">IFERROR(_xlfn.IFS($AG70="","",AND($AP70&gt;12,$AG70&lt;TIME(10,0,0)),TIME(1,0,0),AND($AP70=12,$AG70&gt;=TIME(10,0,0),$AG70&lt;TIME(19,0,0)),TIME(0,30,0),AND($AP70=12,$AG70&gt;=TIME(19,0,0)),""),"")</f>
        <v/>
      </c>
      <c r="AK70" s="23" cm="1">
        <f t="array" ref="AK70">_xlfn.IFS($AG70="","",AND($AP70&lt;=12,$AP70&gt;10,$AJ70=""),TIME(0,35,0),OR(AND($AP70&lt;=10,$AP70&gt;5),$AJ70&lt;&gt;""),TIME(0,20,0),$AP70&gt;12,TIME(0,20,0),$AP70&lt;=5,TIME(0,10,0))</f>
        <v>2.4305555555555556E-2</v>
      </c>
      <c r="AL70" s="23">
        <f t="shared" si="4"/>
        <v>6.9444444444444441E-3</v>
      </c>
      <c r="AM70" s="23"/>
      <c r="AN70" s="23"/>
      <c r="AO70" s="23"/>
      <c r="AP70" s="24">
        <f t="shared" si="17"/>
        <v>11.999999999999998</v>
      </c>
      <c r="AQ70" s="23">
        <f t="shared" si="18"/>
        <v>7.2916666666666671E-2</v>
      </c>
      <c r="AR70" s="25">
        <f t="shared" si="19"/>
        <v>431.99999999999994</v>
      </c>
      <c r="AS70" s="25">
        <f t="shared" si="20"/>
        <v>368.99999999999994</v>
      </c>
      <c r="AT70" s="16">
        <f>IF(OR($AE70=0,$AF70="",$AR70=""),"",SUM($AR70:$AR71)/SUM($AE70:$AE71))</f>
        <v>0.79852125693160803</v>
      </c>
      <c r="AU70" s="16">
        <f t="shared" si="15"/>
        <v>1.2523148148148149</v>
      </c>
      <c r="AV70" s="14"/>
      <c r="AW70" s="30"/>
      <c r="AX70" s="79"/>
    </row>
    <row r="71" spans="2:50" ht="15" customHeight="1" x14ac:dyDescent="0.3">
      <c r="B71" s="78">
        <v>46056</v>
      </c>
      <c r="C71" s="21">
        <f t="shared" si="1"/>
        <v>2</v>
      </c>
      <c r="D71" s="18" t="str">
        <f t="shared" si="2"/>
        <v>PUcanh</v>
      </c>
      <c r="E71" s="14"/>
      <c r="F71" s="14"/>
      <c r="G71" s="14"/>
      <c r="H71" s="14">
        <v>21</v>
      </c>
      <c r="I71" s="14"/>
      <c r="J71" s="14">
        <v>27</v>
      </c>
      <c r="K71" s="14">
        <v>70</v>
      </c>
      <c r="L71" s="14"/>
      <c r="M71" s="14">
        <v>1</v>
      </c>
      <c r="N71" s="14">
        <v>9</v>
      </c>
      <c r="O71" s="14"/>
      <c r="P71" s="14">
        <f>95+2/2</f>
        <v>96</v>
      </c>
      <c r="Q71" s="14"/>
      <c r="R71" s="14"/>
      <c r="S71" s="14"/>
      <c r="T71" s="14">
        <v>63</v>
      </c>
      <c r="U71" s="14"/>
      <c r="V71" s="14"/>
      <c r="W71" s="14"/>
      <c r="X71" s="14"/>
      <c r="Y71" s="14"/>
      <c r="Z71" s="14"/>
      <c r="AA71" s="14">
        <v>306</v>
      </c>
      <c r="AB71" s="14"/>
      <c r="AC71" s="14"/>
      <c r="AD71" s="14"/>
      <c r="AE71" s="22">
        <f t="shared" si="16"/>
        <v>593</v>
      </c>
      <c r="AF71" s="31">
        <f>18+6+12</f>
        <v>36</v>
      </c>
      <c r="AG71" s="23">
        <v>0.79166666666666663</v>
      </c>
      <c r="AH71" s="23">
        <v>0.29166666666666669</v>
      </c>
      <c r="AI71" s="23" cm="1">
        <f t="array" ref="AI71">_xlfn.IFS($AG71="","",$AP71&gt;=8,TIME(1,0,0),$AP71&lt;=5,"")</f>
        <v>4.1666666666666664E-2</v>
      </c>
      <c r="AJ71" s="23" t="str" cm="1">
        <f t="array" ref="AJ71">IFERROR(_xlfn.IFS($AG71="","",AND($AP71&gt;12,$AG71&lt;TIME(10,0,0)),TIME(1,0,0),AND($AP71=12,$AG71&gt;=TIME(10,0,0),$AG71&lt;TIME(19,0,0)),TIME(0,30,0),AND($AP71=12,$AG71&gt;=TIME(19,0,0)),""),"")</f>
        <v/>
      </c>
      <c r="AK71" s="23" cm="1">
        <f t="array" ref="AK71">_xlfn.IFS($AG71="","",AND($AP71&lt;=12,$AP71&gt;10,$AJ71=""),TIME(0,35,0),OR(AND($AP71&lt;=10,$AP71&gt;5),$AJ71&lt;&gt;""),TIME(0,20,0),$AP71&gt;12,TIME(0,20,0),$AP71&lt;=5,TIME(0,10,0))</f>
        <v>2.4305555555555556E-2</v>
      </c>
      <c r="AL71" s="23">
        <f t="shared" si="4"/>
        <v>6.9444444444444441E-3</v>
      </c>
      <c r="AM71" s="23"/>
      <c r="AN71" s="23"/>
      <c r="AO71" s="23"/>
      <c r="AP71" s="24">
        <f t="shared" si="17"/>
        <v>11.999999999999998</v>
      </c>
      <c r="AQ71" s="23">
        <f t="shared" si="18"/>
        <v>7.2916666666666671E-2</v>
      </c>
      <c r="AR71" s="25">
        <f t="shared" si="19"/>
        <v>431.99999999999994</v>
      </c>
      <c r="AS71" s="25">
        <f t="shared" si="20"/>
        <v>368.99999999999994</v>
      </c>
      <c r="AT71" s="16"/>
      <c r="AU71" s="16" t="str">
        <f t="shared" si="15"/>
        <v/>
      </c>
      <c r="AV71" s="14"/>
      <c r="AW71" s="30"/>
      <c r="AX71" s="79"/>
    </row>
    <row r="72" spans="2:50" ht="15" customHeight="1" x14ac:dyDescent="0.3">
      <c r="B72" s="77">
        <v>46057</v>
      </c>
      <c r="C72" s="21">
        <f t="shared" si="1"/>
        <v>2</v>
      </c>
      <c r="D72" s="18" t="str">
        <f t="shared" si="2"/>
        <v>PUcanh</v>
      </c>
      <c r="E72" s="14">
        <v>47</v>
      </c>
      <c r="F72" s="14"/>
      <c r="G72" s="14"/>
      <c r="H72" s="14">
        <v>90</v>
      </c>
      <c r="I72" s="14"/>
      <c r="J72" s="14">
        <v>53</v>
      </c>
      <c r="K72" s="14">
        <v>55</v>
      </c>
      <c r="L72" s="14"/>
      <c r="M72" s="14"/>
      <c r="N72" s="14"/>
      <c r="O72" s="14"/>
      <c r="P72" s="14">
        <v>76</v>
      </c>
      <c r="Q72" s="14"/>
      <c r="R72" s="14"/>
      <c r="S72" s="14"/>
      <c r="T72" s="14">
        <v>20</v>
      </c>
      <c r="U72" s="14"/>
      <c r="V72" s="14"/>
      <c r="W72" s="14"/>
      <c r="X72" s="14"/>
      <c r="Y72" s="14"/>
      <c r="Z72" s="14">
        <f>10+8/2</f>
        <v>14</v>
      </c>
      <c r="AA72" s="14">
        <v>266</v>
      </c>
      <c r="AB72" s="14"/>
      <c r="AC72" s="14"/>
      <c r="AD72" s="14"/>
      <c r="AE72" s="22">
        <f t="shared" si="16"/>
        <v>621</v>
      </c>
      <c r="AF72" s="31">
        <f>20+6+11</f>
        <v>37</v>
      </c>
      <c r="AG72" s="23">
        <v>0.29166666666666669</v>
      </c>
      <c r="AH72" s="23">
        <v>0.79166666666666663</v>
      </c>
      <c r="AI72" s="23" cm="1">
        <f t="array" ref="AI72">_xlfn.IFS($AG72="","",$AP72&gt;=8,TIME(1,0,0),$AP72&lt;=5,"")</f>
        <v>4.1666666666666664E-2</v>
      </c>
      <c r="AJ72" s="23" t="str" cm="1">
        <f t="array" ref="AJ72">IFERROR(_xlfn.IFS($AG72="","",AND($AP72&gt;12,$AG72&lt;TIME(10,0,0)),TIME(1,0,0),AND($AP72=12,$AG72&gt;=TIME(10,0,0),$AG72&lt;TIME(19,0,0)),TIME(0,30,0),AND($AP72=12,$AG72&gt;=TIME(19,0,0)),""),"")</f>
        <v/>
      </c>
      <c r="AK72" s="23" cm="1">
        <f t="array" ref="AK72">_xlfn.IFS($AG72="","",AND($AP72&lt;=12,$AP72&gt;10,$AJ72=""),TIME(0,35,0),OR(AND($AP72&lt;=10,$AP72&gt;5),$AJ72&lt;&gt;""),TIME(0,20,0),$AP72&gt;12,TIME(0,20,0),$AP72&lt;=5,TIME(0,10,0))</f>
        <v>2.4305555555555556E-2</v>
      </c>
      <c r="AL72" s="23">
        <f t="shared" si="4"/>
        <v>6.9444444444444441E-3</v>
      </c>
      <c r="AM72" s="23"/>
      <c r="AN72" s="23"/>
      <c r="AO72" s="23">
        <v>0.20833333333333334</v>
      </c>
      <c r="AP72" s="24">
        <f t="shared" si="17"/>
        <v>11.999999999999998</v>
      </c>
      <c r="AQ72" s="23">
        <f t="shared" si="18"/>
        <v>7.2916666666666671E-2</v>
      </c>
      <c r="AR72" s="25">
        <f t="shared" si="19"/>
        <v>443.99999999999994</v>
      </c>
      <c r="AS72" s="25">
        <f t="shared" si="20"/>
        <v>379.24999999999994</v>
      </c>
      <c r="AT72" s="16">
        <f>IF(OR($AE72=0,$AF72="",$AR72=""),"",SUM($AR72:$AR73)/SUM($AE72:$AE73))</f>
        <v>0.7468030690537083</v>
      </c>
      <c r="AU72" s="16">
        <f t="shared" si="15"/>
        <v>1.3390410958904113</v>
      </c>
      <c r="AV72" s="14"/>
      <c r="AW72" s="30"/>
      <c r="AX72" s="79" t="s">
        <v>92</v>
      </c>
    </row>
    <row r="73" spans="2:50" ht="15" customHeight="1" x14ac:dyDescent="0.3">
      <c r="B73" s="77">
        <v>46057</v>
      </c>
      <c r="C73" s="21">
        <f t="shared" ref="C73:C75" si="21">IF($B73="","",MONTH(B73))</f>
        <v>2</v>
      </c>
      <c r="D73" s="18" t="str">
        <f t="shared" ref="D73:D75" si="22">IF(B73="","","PUcanh")</f>
        <v>PUcanh</v>
      </c>
      <c r="E73" s="14"/>
      <c r="F73" s="14"/>
      <c r="G73" s="14"/>
      <c r="H73" s="14">
        <v>54</v>
      </c>
      <c r="I73" s="14"/>
      <c r="J73" s="14"/>
      <c r="K73" s="14">
        <v>124</v>
      </c>
      <c r="L73" s="14"/>
      <c r="M73" s="14"/>
      <c r="N73" s="14">
        <v>45</v>
      </c>
      <c r="O73" s="14"/>
      <c r="P73" s="14">
        <v>24</v>
      </c>
      <c r="Q73" s="14"/>
      <c r="R73" s="14"/>
      <c r="S73" s="14"/>
      <c r="T73" s="14">
        <v>24</v>
      </c>
      <c r="U73" s="14"/>
      <c r="V73" s="14"/>
      <c r="W73" s="14"/>
      <c r="X73" s="14"/>
      <c r="Y73" s="14"/>
      <c r="Z73" s="14"/>
      <c r="AA73" s="14">
        <f>24+66+191</f>
        <v>281</v>
      </c>
      <c r="AB73" s="14"/>
      <c r="AC73" s="14"/>
      <c r="AD73" s="14"/>
      <c r="AE73" s="22">
        <f t="shared" si="16"/>
        <v>552</v>
      </c>
      <c r="AF73" s="31">
        <f>18+6+12</f>
        <v>36</v>
      </c>
      <c r="AG73" s="23">
        <v>0.79166666666666663</v>
      </c>
      <c r="AH73" s="23">
        <v>0.29166666666666669</v>
      </c>
      <c r="AI73" s="23" cm="1">
        <f t="array" ref="AI73">_xlfn.IFS($AG73="","",$AP73&gt;=8,TIME(1,0,0),$AP73&lt;=5,"")</f>
        <v>4.1666666666666664E-2</v>
      </c>
      <c r="AJ73" s="23" t="str" cm="1">
        <f t="array" ref="AJ73">IFERROR(_xlfn.IFS($AG73="","",AND($AP73&gt;12,$AG73&lt;TIME(10,0,0)),TIME(1,0,0),AND($AP73=12,$AG73&gt;=TIME(10,0,0),$AG73&lt;TIME(19,0,0)),TIME(0,30,0),AND($AP73=12,$AG73&gt;=TIME(19,0,0)),""),"")</f>
        <v/>
      </c>
      <c r="AK73" s="23" cm="1">
        <f t="array" ref="AK73">_xlfn.IFS($AG73="","",AND($AP73&lt;=12,$AP73&gt;10,$AJ73=""),TIME(0,35,0),OR(AND($AP73&lt;=10,$AP73&gt;5),$AJ73&lt;&gt;""),TIME(0,20,0),$AP73&gt;12,TIME(0,20,0),$AP73&lt;=5,TIME(0,10,0))</f>
        <v>2.4305555555555556E-2</v>
      </c>
      <c r="AL73" s="23">
        <f>IF($AG73&lt;&gt;"",TIME(0,10,0),"")</f>
        <v>6.9444444444444441E-3</v>
      </c>
      <c r="AM73" s="23"/>
      <c r="AN73" s="23"/>
      <c r="AO73" s="23">
        <v>0.20833333333333334</v>
      </c>
      <c r="AP73" s="24">
        <f t="shared" si="17"/>
        <v>11.999999999999998</v>
      </c>
      <c r="AQ73" s="23">
        <f t="shared" si="18"/>
        <v>7.2916666666666671E-2</v>
      </c>
      <c r="AR73" s="25">
        <f t="shared" si="19"/>
        <v>431.99999999999994</v>
      </c>
      <c r="AS73" s="25">
        <f t="shared" si="20"/>
        <v>368.99999999999994</v>
      </c>
      <c r="AT73" s="16"/>
      <c r="AU73" s="16" t="str">
        <f t="shared" si="15"/>
        <v/>
      </c>
      <c r="AV73" s="14"/>
      <c r="AW73" s="30"/>
      <c r="AX73" s="79" t="s">
        <v>93</v>
      </c>
    </row>
    <row r="74" spans="2:50" ht="15" customHeight="1" x14ac:dyDescent="0.3">
      <c r="B74" s="78">
        <v>46058</v>
      </c>
      <c r="C74" s="21">
        <f t="shared" si="21"/>
        <v>2</v>
      </c>
      <c r="D74" s="18" t="str">
        <f t="shared" si="22"/>
        <v>PUcanh</v>
      </c>
      <c r="E74" s="14">
        <v>71</v>
      </c>
      <c r="F74" s="14">
        <v>3</v>
      </c>
      <c r="G74" s="14"/>
      <c r="H74" s="14">
        <v>145</v>
      </c>
      <c r="I74" s="14"/>
      <c r="J74" s="14">
        <v>49</v>
      </c>
      <c r="K74" s="14">
        <v>93</v>
      </c>
      <c r="L74" s="14"/>
      <c r="M74" s="14"/>
      <c r="N74" s="14">
        <v>37</v>
      </c>
      <c r="O74" s="14"/>
      <c r="P74" s="14">
        <v>105</v>
      </c>
      <c r="Q74" s="14"/>
      <c r="R74" s="14"/>
      <c r="S74" s="14"/>
      <c r="T74" s="14">
        <v>29</v>
      </c>
      <c r="U74" s="14"/>
      <c r="V74" s="14">
        <f>9+12/2</f>
        <v>15</v>
      </c>
      <c r="W74" s="14"/>
      <c r="X74" s="14"/>
      <c r="Y74" s="14"/>
      <c r="Z74" s="14"/>
      <c r="AA74" s="14">
        <f>27+125+73</f>
        <v>225</v>
      </c>
      <c r="AB74" s="14"/>
      <c r="AC74" s="14"/>
      <c r="AD74" s="14"/>
      <c r="AE74" s="22">
        <f t="shared" si="16"/>
        <v>772</v>
      </c>
      <c r="AF74" s="31">
        <f>18+11+11</f>
        <v>40</v>
      </c>
      <c r="AG74" s="23">
        <v>0.29166666666666669</v>
      </c>
      <c r="AH74" s="23">
        <v>0.79166666666666663</v>
      </c>
      <c r="AI74" s="23" cm="1">
        <f t="array" ref="AI74">_xlfn.IFS($AG74="","",$AP74&gt;=8,TIME(1,0,0),$AP74&lt;=5,"")</f>
        <v>4.1666666666666664E-2</v>
      </c>
      <c r="AJ74" s="23" t="str" cm="1">
        <f t="array" ref="AJ74">IFERROR(_xlfn.IFS($AG74="","",AND($AP74&gt;12,$AG74&lt;TIME(10,0,0)),TIME(1,0,0),AND($AP74=12,$AG74&gt;=TIME(10,0,0),$AG74&lt;TIME(19,0,0)),TIME(0,30,0),AND($AP74=12,$AG74&gt;=TIME(19,0,0)),""),"")</f>
        <v/>
      </c>
      <c r="AK74" s="23" cm="1">
        <f t="array" ref="AK74">_xlfn.IFS($AG74="","",AND($AP74&lt;=12,$AP74&gt;10,$AJ74=""),TIME(0,35,0),OR(AND($AP74&lt;=10,$AP74&gt;5),$AJ74&lt;&gt;""),TIME(0,20,0),$AP74&gt;12,TIME(0,20,0),$AP74&lt;=5,TIME(0,10,0))</f>
        <v>2.4305555555555556E-2</v>
      </c>
      <c r="AL74" s="23">
        <f>IF($AG74&lt;&gt;"",TIME(0,10,0),"")</f>
        <v>6.9444444444444441E-3</v>
      </c>
      <c r="AM74" s="23"/>
      <c r="AN74" s="23"/>
      <c r="AO74" s="23">
        <v>0.125</v>
      </c>
      <c r="AP74" s="24">
        <f t="shared" si="17"/>
        <v>11.999999999999998</v>
      </c>
      <c r="AQ74" s="23">
        <f t="shared" si="18"/>
        <v>7.2916666666666671E-2</v>
      </c>
      <c r="AR74" s="25">
        <f t="shared" si="19"/>
        <v>479.99999999999994</v>
      </c>
      <c r="AS74" s="25">
        <f t="shared" si="20"/>
        <v>409.99999999999994</v>
      </c>
      <c r="AT74" s="16">
        <f>IF(OR($AE74=0,$AF74="",$AR74=""),"",SUM($AR74:$AR75)/SUM($AE74:$AE75))</f>
        <v>0.64936990363232017</v>
      </c>
      <c r="AU74" s="16"/>
      <c r="AV74" s="14"/>
      <c r="AW74" s="30"/>
      <c r="AX74" s="79" t="s">
        <v>94</v>
      </c>
    </row>
    <row r="75" spans="2:50" ht="15" customHeight="1" x14ac:dyDescent="0.3">
      <c r="B75" s="83">
        <v>46058</v>
      </c>
      <c r="C75" s="84">
        <f t="shared" si="21"/>
        <v>2</v>
      </c>
      <c r="D75" s="85" t="str">
        <f t="shared" si="22"/>
        <v>PUcanh</v>
      </c>
      <c r="E75" s="86">
        <v>2</v>
      </c>
      <c r="F75" s="86"/>
      <c r="G75" s="86"/>
      <c r="H75" s="86">
        <v>44</v>
      </c>
      <c r="I75" s="86"/>
      <c r="J75" s="86">
        <v>69</v>
      </c>
      <c r="K75" s="86"/>
      <c r="L75" s="86"/>
      <c r="M75" s="86"/>
      <c r="N75" s="86"/>
      <c r="O75" s="86"/>
      <c r="P75" s="86">
        <v>110</v>
      </c>
      <c r="Q75" s="86"/>
      <c r="R75" s="86"/>
      <c r="S75" s="86"/>
      <c r="T75" s="86">
        <v>52</v>
      </c>
      <c r="U75" s="86"/>
      <c r="V75" s="86"/>
      <c r="W75" s="86"/>
      <c r="X75" s="86"/>
      <c r="Y75" s="86"/>
      <c r="Z75" s="86"/>
      <c r="AA75" s="86">
        <v>300</v>
      </c>
      <c r="AB75" s="86"/>
      <c r="AC75" s="86"/>
      <c r="AD75" s="86"/>
      <c r="AE75" s="87">
        <f t="shared" si="16"/>
        <v>577</v>
      </c>
      <c r="AF75" s="88">
        <f>17+5+11</f>
        <v>33</v>
      </c>
      <c r="AG75" s="89">
        <v>0.79166666666666663</v>
      </c>
      <c r="AH75" s="89">
        <v>0.29166666666666669</v>
      </c>
      <c r="AI75" s="89" cm="1">
        <f t="array" ref="AI75">_xlfn.IFS($AG75="","",$AP75&gt;=8,TIME(1,0,0),$AP75&lt;=5,"")</f>
        <v>4.1666666666666664E-2</v>
      </c>
      <c r="AJ75" s="89" t="str" cm="1">
        <f t="array" ref="AJ75">IFERROR(_xlfn.IFS($AG75="","",AND($AP75&gt;12,$AG75&lt;TIME(10,0,0)),TIME(1,0,0),AND($AP75=12,$AG75&gt;=TIME(10,0,0),$AG75&lt;TIME(19,0,0)),TIME(0,30,0),AND($AP75=12,$AG75&gt;=TIME(19,0,0)),""),"")</f>
        <v/>
      </c>
      <c r="AK75" s="89" cm="1">
        <f t="array" ref="AK75">_xlfn.IFS($AG75="","",AND($AP75&lt;=12,$AP75&gt;10,$AJ75=""),TIME(0,35,0),OR(AND($AP75&lt;=10,$AP75&gt;5),$AJ75&lt;&gt;""),TIME(0,20,0),$AP75&gt;12,TIME(0,20,0),$AP75&lt;=5,TIME(0,10,0))</f>
        <v>2.4305555555555556E-2</v>
      </c>
      <c r="AL75" s="89">
        <f>IF($AG75&lt;&gt;"",TIME(0,10,0),"")</f>
        <v>6.9444444444444441E-3</v>
      </c>
      <c r="AM75" s="89"/>
      <c r="AN75" s="89"/>
      <c r="AO75" s="89"/>
      <c r="AP75" s="90">
        <f t="shared" si="17"/>
        <v>11.999999999999998</v>
      </c>
      <c r="AQ75" s="89">
        <f t="shared" si="18"/>
        <v>7.2916666666666671E-2</v>
      </c>
      <c r="AR75" s="91">
        <f t="shared" si="19"/>
        <v>395.99999999999994</v>
      </c>
      <c r="AS75" s="91">
        <f t="shared" si="20"/>
        <v>338.24999999999994</v>
      </c>
      <c r="AT75" s="92"/>
      <c r="AU75" s="92"/>
      <c r="AV75" s="86"/>
      <c r="AW75" s="93"/>
      <c r="AX75" s="94" t="s">
        <v>95</v>
      </c>
    </row>
  </sheetData>
  <sheetProtection autoFilter="0"/>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8B8B-F48E-4D0A-8018-903C6FF0C5E1}">
  <sheetPr>
    <tabColor rgb="FF7030A0"/>
  </sheetPr>
  <dimension ref="A1:AO131"/>
  <sheetViews>
    <sheetView zoomScale="70" zoomScaleNormal="70" workbookViewId="0">
      <pane ySplit="3" topLeftCell="A4" activePane="bottomLeft" state="frozen"/>
      <selection activeCell="K18" sqref="K18"/>
      <selection pane="bottomLeft" activeCell="F10" sqref="F10"/>
    </sheetView>
  </sheetViews>
  <sheetFormatPr defaultRowHeight="15" customHeight="1" x14ac:dyDescent="0.3"/>
  <cols>
    <col min="1" max="1" width="10.33203125" customWidth="1"/>
    <col min="2" max="2" width="8.88671875" customWidth="1"/>
    <col min="3" max="3" width="9.109375" style="15" customWidth="1"/>
    <col min="4" max="12" width="7" customWidth="1"/>
    <col min="13" max="13" width="8" customWidth="1"/>
    <col min="14" max="15" width="7" customWidth="1"/>
    <col min="16" max="17" width="7.6640625" customWidth="1"/>
    <col min="18" max="18" width="9.33203125" bestFit="1" customWidth="1"/>
    <col min="19" max="19" width="10.5546875" bestFit="1" customWidth="1"/>
    <col min="20" max="20" width="10.6640625" style="32" customWidth="1"/>
    <col min="21" max="21" width="11.6640625" customWidth="1"/>
    <col min="22" max="22" width="11.33203125" customWidth="1"/>
    <col min="23" max="23" width="11.6640625" customWidth="1"/>
    <col min="24" max="24" width="12" customWidth="1"/>
    <col min="25" max="25" width="13.44140625" customWidth="1"/>
    <col min="26" max="26" width="15.88671875" customWidth="1"/>
    <col min="27" max="27" width="11.77734375" customWidth="1"/>
    <col min="28" max="28" width="13.33203125" customWidth="1"/>
    <col min="29" max="29" width="12.109375" customWidth="1"/>
    <col min="30" max="30" width="12.21875" customWidth="1"/>
    <col min="31" max="32" width="11.6640625" customWidth="1"/>
    <col min="33" max="33" width="12.109375" customWidth="1"/>
    <col min="34" max="34" width="12.77734375" customWidth="1"/>
    <col min="35" max="35" width="8.44140625" customWidth="1"/>
    <col min="36" max="36" width="19.6640625" style="17" customWidth="1"/>
    <col min="37" max="37" width="20.44140625" customWidth="1"/>
    <col min="38" max="38" width="65.5546875" customWidth="1"/>
    <col min="40" max="40" width="13.88671875" bestFit="1" customWidth="1"/>
    <col min="41" max="41" width="11.33203125" bestFit="1" customWidth="1"/>
    <col min="42" max="42" width="13" bestFit="1" customWidth="1"/>
    <col min="43" max="49" width="4" bestFit="1" customWidth="1"/>
    <col min="50" max="50" width="4" customWidth="1"/>
    <col min="51" max="59" width="4" bestFit="1" customWidth="1"/>
    <col min="60" max="60" width="11.44140625" bestFit="1" customWidth="1"/>
  </cols>
  <sheetData>
    <row r="1" spans="1:41" ht="15" customHeight="1" x14ac:dyDescent="0.3">
      <c r="T1"/>
    </row>
    <row r="2" spans="1:41" ht="27.6" customHeight="1" x14ac:dyDescent="0.3">
      <c r="D2" s="26">
        <f>SUBTOTAL(9,D4:D1847)</f>
        <v>11120</v>
      </c>
      <c r="E2" s="26">
        <f t="shared" ref="E2:T2" si="0">SUBTOTAL(9,E4:E1847)</f>
        <v>1019</v>
      </c>
      <c r="F2" s="26">
        <f t="shared" si="0"/>
        <v>10531</v>
      </c>
      <c r="G2" s="26">
        <f t="shared" si="0"/>
        <v>6045</v>
      </c>
      <c r="H2" s="26">
        <f t="shared" si="0"/>
        <v>10970</v>
      </c>
      <c r="I2" s="26">
        <f t="shared" si="0"/>
        <v>884</v>
      </c>
      <c r="J2" s="26">
        <f t="shared" si="0"/>
        <v>9636</v>
      </c>
      <c r="K2" s="26">
        <f t="shared" si="0"/>
        <v>248</v>
      </c>
      <c r="L2" s="26">
        <f t="shared" si="0"/>
        <v>2</v>
      </c>
      <c r="M2" s="60">
        <f t="shared" si="0"/>
        <v>1</v>
      </c>
      <c r="N2" s="26">
        <f t="shared" si="0"/>
        <v>218</v>
      </c>
      <c r="O2" s="60">
        <f t="shared" si="0"/>
        <v>1</v>
      </c>
      <c r="P2" s="26">
        <f t="shared" si="0"/>
        <v>65</v>
      </c>
      <c r="Q2" s="26">
        <f t="shared" si="0"/>
        <v>354</v>
      </c>
      <c r="R2" s="26">
        <f t="shared" si="0"/>
        <v>51094</v>
      </c>
      <c r="S2" s="26">
        <f t="shared" si="0"/>
        <v>0</v>
      </c>
      <c r="T2" s="26">
        <f t="shared" si="0"/>
        <v>2128</v>
      </c>
      <c r="W2" s="39" t="s">
        <v>0</v>
      </c>
      <c r="X2" s="39" t="s">
        <v>0</v>
      </c>
      <c r="Y2" s="39" t="s">
        <v>0</v>
      </c>
      <c r="Z2" s="39" t="s">
        <v>0</v>
      </c>
      <c r="AA2" s="28">
        <f>(SUBTOTAL(9,AA4:AA1847))*24</f>
        <v>61.783333333333331</v>
      </c>
      <c r="AB2" s="28">
        <f>(SUBTOTAL(9,AB4:AB1847))*24</f>
        <v>0</v>
      </c>
      <c r="AC2" s="28">
        <f>(SUBTOTAL(9,AC4:AC1847))*24</f>
        <v>0</v>
      </c>
      <c r="AD2" s="28">
        <f>SUBTOTAL(9,AD4:AD1847)</f>
        <v>1523.9999999999998</v>
      </c>
      <c r="AE2" s="28">
        <f>(SUBTOTAL(9,AE4:AE1847))*24</f>
        <v>221.25000000000009</v>
      </c>
      <c r="AF2" s="28">
        <f>SUBTOTAL(9,AF4:AF1847)</f>
        <v>25478.999999999996</v>
      </c>
      <c r="AG2" s="28">
        <f>SUBTOTAL(9,AG4:AG1847)</f>
        <v>20499.916666666664</v>
      </c>
      <c r="AH2" s="29">
        <f>SUBTOTAL(1,AH4:AH1847)</f>
        <v>0.53810961251294387</v>
      </c>
      <c r="AI2" s="29"/>
      <c r="AK2" s="26" t="e">
        <f>SUBTOTAL(3,#REF!)</f>
        <v>#REF!</v>
      </c>
    </row>
    <row r="3" spans="1:41" ht="14.4" x14ac:dyDescent="0.3">
      <c r="A3" s="80" t="s">
        <v>1</v>
      </c>
      <c r="B3" s="81" t="s">
        <v>2</v>
      </c>
      <c r="C3" s="81" t="s">
        <v>3</v>
      </c>
      <c r="D3" s="81" t="s">
        <v>395</v>
      </c>
      <c r="E3" s="81" t="s">
        <v>393</v>
      </c>
      <c r="F3" s="81" t="s">
        <v>4</v>
      </c>
      <c r="G3" s="81" t="s">
        <v>396</v>
      </c>
      <c r="H3" s="81" t="s">
        <v>397</v>
      </c>
      <c r="I3" s="81" t="s">
        <v>394</v>
      </c>
      <c r="J3" s="81" t="s">
        <v>5</v>
      </c>
      <c r="K3" s="81" t="s">
        <v>162</v>
      </c>
      <c r="L3" s="81" t="s">
        <v>163</v>
      </c>
      <c r="M3" s="96" t="s">
        <v>165</v>
      </c>
      <c r="N3" s="81" t="s">
        <v>398</v>
      </c>
      <c r="O3" s="96" t="s">
        <v>170</v>
      </c>
      <c r="P3" s="81" t="s">
        <v>6</v>
      </c>
      <c r="Q3" s="81" t="s">
        <v>7</v>
      </c>
      <c r="R3" s="81" t="s">
        <v>8</v>
      </c>
      <c r="S3" s="81" t="s">
        <v>9</v>
      </c>
      <c r="T3" s="81" t="s">
        <v>10</v>
      </c>
      <c r="U3" s="81" t="s">
        <v>11</v>
      </c>
      <c r="V3" s="81" t="s">
        <v>12</v>
      </c>
      <c r="W3" s="81" t="s">
        <v>13</v>
      </c>
      <c r="X3" s="81" t="s">
        <v>14</v>
      </c>
      <c r="Y3" s="81" t="s">
        <v>15</v>
      </c>
      <c r="Z3" s="81" t="s">
        <v>16</v>
      </c>
      <c r="AA3" s="81" t="s">
        <v>17</v>
      </c>
      <c r="AB3" s="81" t="s">
        <v>38</v>
      </c>
      <c r="AC3" s="81" t="s">
        <v>18</v>
      </c>
      <c r="AD3" s="81" t="s">
        <v>19</v>
      </c>
      <c r="AE3" s="81" t="s">
        <v>20</v>
      </c>
      <c r="AF3" s="81" t="s">
        <v>21</v>
      </c>
      <c r="AG3" s="81" t="s">
        <v>22</v>
      </c>
      <c r="AH3" s="81" t="s">
        <v>23</v>
      </c>
      <c r="AI3" s="81" t="s">
        <v>24</v>
      </c>
      <c r="AJ3" s="81" t="s">
        <v>25</v>
      </c>
      <c r="AK3" s="81" t="s">
        <v>26</v>
      </c>
      <c r="AL3" s="81" t="s">
        <v>27</v>
      </c>
      <c r="AO3" s="1"/>
    </row>
    <row r="4" spans="1:41" ht="15" customHeight="1" x14ac:dyDescent="0.3">
      <c r="A4" s="78">
        <v>46023</v>
      </c>
      <c r="B4" s="21">
        <f t="shared" ref="B4:B32" si="1">IF($A4="","",MONTH(A4))</f>
        <v>1</v>
      </c>
      <c r="C4" s="18" t="s">
        <v>96</v>
      </c>
      <c r="D4" s="14"/>
      <c r="E4" s="14"/>
      <c r="F4" s="14">
        <v>140</v>
      </c>
      <c r="G4" s="14"/>
      <c r="H4" s="14"/>
      <c r="I4" s="14"/>
      <c r="J4" s="14">
        <v>150</v>
      </c>
      <c r="K4" s="14">
        <v>60</v>
      </c>
      <c r="L4" s="14"/>
      <c r="M4" s="14"/>
      <c r="N4" s="14"/>
      <c r="O4" s="14"/>
      <c r="P4" s="14"/>
      <c r="Q4" s="14"/>
      <c r="R4" s="22">
        <f t="shared" ref="R4:R35" si="2">SUM(D4:Q4)</f>
        <v>350</v>
      </c>
      <c r="S4" s="14"/>
      <c r="T4" s="31">
        <f>15+6+4-1</f>
        <v>24</v>
      </c>
      <c r="U4" s="23">
        <v>0.29166666666666669</v>
      </c>
      <c r="V4" s="23">
        <v>0.79166666666666663</v>
      </c>
      <c r="W4" s="23" cm="1">
        <f t="array" ref="W4">_xlfn.IFS($U4="","",$AD4&gt;=6,TIME(1,0,0),$AD4&lt;=5,"")</f>
        <v>4.1666666666666664E-2</v>
      </c>
      <c r="X4" s="23" t="str">
        <f t="shared" ref="X4:X30" si="3">IF($V4&gt;=TIME(21,0,0),TIME(1,0,0),"")</f>
        <v/>
      </c>
      <c r="Y4" s="23" cm="1">
        <f t="array" ref="Y4">_xlfn.IFS($U4="","",AND($AD4&lt;=12,$AD4&gt;10),TIME(0,35,0),AND($AD4&lt;=10,$AD4&gt;5),TIME(0,20,0),AND($AD4&gt;12,$X4&lt;&gt;""),TIME(0,20,0),AND($AD4&gt;12,$X4=""),TIME(0,35,0),AND($AD4&gt;3,$AD4&lt;=5),TIME(0,10,0),$AD4&lt;=3,"")</f>
        <v>2.4305555555555556E-2</v>
      </c>
      <c r="Z4" s="23">
        <f t="shared" ref="Z4:Z7" si="4">IF($U4&lt;&gt;"",TIME(0,10,0),"")</f>
        <v>6.9444444444444441E-3</v>
      </c>
      <c r="AA4" s="23"/>
      <c r="AB4" s="23"/>
      <c r="AC4" s="30"/>
      <c r="AD4" s="24">
        <f t="shared" ref="AD4:AD58" si="5">IF($U4="","",MOD($V4-$U4,1)*24)</f>
        <v>11.999999999999998</v>
      </c>
      <c r="AE4" s="23">
        <f t="shared" ref="AE4:AE58" si="6">IF($U4="","",SUM($W4:$Z4))</f>
        <v>7.2916666666666671E-2</v>
      </c>
      <c r="AF4" s="25">
        <f t="shared" ref="AF4:AF58" si="7">IF(OR($T4="",$AD4=""),"",$AD4*$T4)</f>
        <v>287.99999999999994</v>
      </c>
      <c r="AG4" s="25">
        <f t="shared" ref="AG4:AG58" si="8">IF(OR($T4="",$AD4=""),"",($AD4-($AE4+$AA4)*24)*$T4)</f>
        <v>245.99999999999994</v>
      </c>
      <c r="AH4" s="16">
        <f t="shared" ref="AH4:AH58" si="9">IF(OR($R4=0,$T4="",$AF4=""),"",$AF4/$R4)</f>
        <v>0.82285714285714273</v>
      </c>
      <c r="AI4" s="30"/>
      <c r="AJ4" s="14"/>
      <c r="AK4" s="30"/>
      <c r="AL4" s="30" t="s">
        <v>101</v>
      </c>
    </row>
    <row r="5" spans="1:41" ht="15" customHeight="1" x14ac:dyDescent="0.3">
      <c r="A5" s="78">
        <v>46023</v>
      </c>
      <c r="B5" s="21">
        <f t="shared" si="1"/>
        <v>1</v>
      </c>
      <c r="C5" s="18" t="s">
        <v>97</v>
      </c>
      <c r="D5" s="14"/>
      <c r="E5" s="14"/>
      <c r="F5" s="14">
        <v>115</v>
      </c>
      <c r="G5" s="14"/>
      <c r="H5" s="14"/>
      <c r="I5" s="14"/>
      <c r="J5" s="14">
        <v>157</v>
      </c>
      <c r="K5" s="14">
        <v>9</v>
      </c>
      <c r="L5" s="14"/>
      <c r="M5" s="14"/>
      <c r="N5" s="14">
        <v>43</v>
      </c>
      <c r="O5" s="14"/>
      <c r="P5" s="14"/>
      <c r="Q5" s="14">
        <v>31</v>
      </c>
      <c r="R5" s="22">
        <f t="shared" si="2"/>
        <v>355</v>
      </c>
      <c r="S5" s="14"/>
      <c r="T5" s="31">
        <f>1+4</f>
        <v>5</v>
      </c>
      <c r="U5" s="23">
        <v>0.29166666666666669</v>
      </c>
      <c r="V5" s="23">
        <v>0.79166666666666663</v>
      </c>
      <c r="W5" s="23" cm="1">
        <f t="array" ref="W5">_xlfn.IFS($U5="","",$AD5&gt;=6,TIME(1,0,0),$AD5&lt;=5,"")</f>
        <v>4.1666666666666664E-2</v>
      </c>
      <c r="X5" s="23" t="str">
        <f t="shared" si="3"/>
        <v/>
      </c>
      <c r="Y5" s="23" cm="1">
        <f t="array" ref="Y5">_xlfn.IFS($U5="","",AND($AD5&lt;=12,$AD5&gt;10),TIME(0,35,0),AND($AD5&lt;=10,$AD5&gt;5),TIME(0,20,0),AND($AD5&gt;12,$X5&lt;&gt;""),TIME(0,20,0),AND($AD5&gt;12,$X5=""),TIME(0,35,0),AND($AD5&gt;3,$AD5&lt;=5),TIME(0,10,0),$AD5&lt;=3,"")</f>
        <v>2.4305555555555556E-2</v>
      </c>
      <c r="Z5" s="23">
        <f t="shared" si="4"/>
        <v>6.9444444444444441E-3</v>
      </c>
      <c r="AA5" s="23"/>
      <c r="AB5" s="23"/>
      <c r="AC5" s="30"/>
      <c r="AD5" s="24">
        <f t="shared" si="5"/>
        <v>11.999999999999998</v>
      </c>
      <c r="AE5" s="23">
        <f t="shared" si="6"/>
        <v>7.2916666666666671E-2</v>
      </c>
      <c r="AF5" s="25">
        <f t="shared" si="7"/>
        <v>59.999999999999993</v>
      </c>
      <c r="AG5" s="25">
        <f t="shared" si="8"/>
        <v>51.249999999999993</v>
      </c>
      <c r="AH5" s="16">
        <f t="shared" si="9"/>
        <v>0.16901408450704222</v>
      </c>
      <c r="AI5" s="30"/>
      <c r="AJ5" s="14"/>
      <c r="AK5" s="30"/>
      <c r="AL5" s="30"/>
    </row>
    <row r="6" spans="1:41" ht="15" customHeight="1" x14ac:dyDescent="0.3">
      <c r="A6" s="78">
        <v>46023</v>
      </c>
      <c r="B6" s="21">
        <f t="shared" si="1"/>
        <v>1</v>
      </c>
      <c r="C6" s="18" t="s">
        <v>98</v>
      </c>
      <c r="D6" s="14"/>
      <c r="E6" s="14"/>
      <c r="F6" s="14">
        <v>137</v>
      </c>
      <c r="G6" s="14"/>
      <c r="H6" s="14"/>
      <c r="I6" s="14"/>
      <c r="J6" s="14">
        <v>156</v>
      </c>
      <c r="K6" s="14"/>
      <c r="L6" s="14"/>
      <c r="M6" s="14"/>
      <c r="N6" s="14">
        <v>37</v>
      </c>
      <c r="O6" s="14"/>
      <c r="P6" s="14"/>
      <c r="Q6" s="14">
        <v>32</v>
      </c>
      <c r="R6" s="22">
        <f t="shared" si="2"/>
        <v>362</v>
      </c>
      <c r="S6" s="14"/>
      <c r="T6" s="31">
        <f>13+3+3+4</f>
        <v>23</v>
      </c>
      <c r="U6" s="23">
        <v>0.29166666666666669</v>
      </c>
      <c r="V6" s="23">
        <v>0.79166666666666663</v>
      </c>
      <c r="W6" s="23" cm="1">
        <f t="array" ref="W6">_xlfn.IFS($U6="","",$AD6&gt;=6,TIME(1,0,0),$AD6&lt;=5,"")</f>
        <v>4.1666666666666664E-2</v>
      </c>
      <c r="X6" s="23" t="str">
        <f t="shared" si="3"/>
        <v/>
      </c>
      <c r="Y6" s="23" cm="1">
        <f t="array" ref="Y6">_xlfn.IFS($U6="","",AND($AD6&lt;=12,$AD6&gt;10),TIME(0,35,0),AND($AD6&lt;=10,$AD6&gt;5),TIME(0,20,0),AND($AD6&gt;12,$X6&lt;&gt;""),TIME(0,20,0),AND($AD6&gt;12,$X6=""),TIME(0,35,0),AND($AD6&gt;3,$AD6&lt;=5),TIME(0,10,0),$AD6&lt;=3,"")</f>
        <v>2.4305555555555556E-2</v>
      </c>
      <c r="Z6" s="23">
        <f t="shared" si="4"/>
        <v>6.9444444444444441E-3</v>
      </c>
      <c r="AA6" s="23"/>
      <c r="AB6" s="23"/>
      <c r="AC6" s="30"/>
      <c r="AD6" s="24">
        <f t="shared" si="5"/>
        <v>11.999999999999998</v>
      </c>
      <c r="AE6" s="23">
        <f t="shared" si="6"/>
        <v>7.2916666666666671E-2</v>
      </c>
      <c r="AF6" s="25">
        <f t="shared" si="7"/>
        <v>275.99999999999994</v>
      </c>
      <c r="AG6" s="25">
        <f t="shared" si="8"/>
        <v>235.74999999999997</v>
      </c>
      <c r="AH6" s="16">
        <f t="shared" si="9"/>
        <v>0.76243093922651917</v>
      </c>
      <c r="AI6" s="30"/>
      <c r="AJ6" s="14"/>
      <c r="AK6" s="30"/>
      <c r="AL6" s="30"/>
    </row>
    <row r="7" spans="1:41" ht="15" customHeight="1" x14ac:dyDescent="0.3">
      <c r="A7" s="78">
        <v>46023</v>
      </c>
      <c r="B7" s="21">
        <f t="shared" si="1"/>
        <v>1</v>
      </c>
      <c r="C7" s="18" t="s">
        <v>99</v>
      </c>
      <c r="D7" s="14">
        <v>1</v>
      </c>
      <c r="E7" s="14"/>
      <c r="F7" s="14">
        <f>36+16</f>
        <v>52</v>
      </c>
      <c r="G7" s="14"/>
      <c r="H7" s="14">
        <v>3</v>
      </c>
      <c r="I7" s="14"/>
      <c r="J7" s="14">
        <f>66+54</f>
        <v>120</v>
      </c>
      <c r="K7" s="14"/>
      <c r="L7" s="14"/>
      <c r="M7" s="14">
        <v>1</v>
      </c>
      <c r="N7" s="14">
        <v>50</v>
      </c>
      <c r="O7" s="14"/>
      <c r="P7" s="14">
        <v>4</v>
      </c>
      <c r="Q7" s="14">
        <v>23</v>
      </c>
      <c r="R7" s="22">
        <f t="shared" si="2"/>
        <v>254</v>
      </c>
      <c r="S7" s="14"/>
      <c r="T7" s="31">
        <v>24</v>
      </c>
      <c r="U7" s="23">
        <v>0.29166666666666669</v>
      </c>
      <c r="V7" s="23">
        <v>0.79166666666666663</v>
      </c>
      <c r="W7" s="23" cm="1">
        <f t="array" ref="W7">_xlfn.IFS($U7="","",$AD7&gt;=6,TIME(1,0,0),$AD7&lt;=5,"")</f>
        <v>4.1666666666666664E-2</v>
      </c>
      <c r="X7" s="23" t="str">
        <f t="shared" si="3"/>
        <v/>
      </c>
      <c r="Y7" s="23" cm="1">
        <f t="array" ref="Y7">_xlfn.IFS($U7="","",AND($AD7&lt;=12,$AD7&gt;10),TIME(0,35,0),AND($AD7&lt;=10,$AD7&gt;5),TIME(0,20,0),AND($AD7&gt;12,$X7&lt;&gt;""),TIME(0,20,0),AND($AD7&gt;12,$X7=""),TIME(0,35,0),AND($AD7&gt;3,$AD7&lt;=5),TIME(0,10,0),$AD7&lt;=3,"")</f>
        <v>2.4305555555555556E-2</v>
      </c>
      <c r="Z7" s="23">
        <f t="shared" si="4"/>
        <v>6.9444444444444441E-3</v>
      </c>
      <c r="AA7" s="23"/>
      <c r="AB7" s="23"/>
      <c r="AC7" s="30"/>
      <c r="AD7" s="24">
        <f t="shared" si="5"/>
        <v>11.999999999999998</v>
      </c>
      <c r="AE7" s="23">
        <f t="shared" si="6"/>
        <v>7.2916666666666671E-2</v>
      </c>
      <c r="AF7" s="25">
        <f t="shared" si="7"/>
        <v>287.99999999999994</v>
      </c>
      <c r="AG7" s="25">
        <f t="shared" si="8"/>
        <v>245.99999999999994</v>
      </c>
      <c r="AH7" s="16">
        <f t="shared" si="9"/>
        <v>1.1338582677165352</v>
      </c>
      <c r="AI7" s="16">
        <f>IF(COUNTIF(A4:A7,A4)=4,1/SUM(AH4:AH7),"")</f>
        <v>0.34624115340734607</v>
      </c>
      <c r="AJ7" s="14"/>
      <c r="AK7" s="30"/>
      <c r="AL7" s="30"/>
    </row>
    <row r="8" spans="1:41" ht="15" customHeight="1" x14ac:dyDescent="0.3">
      <c r="A8" s="95">
        <v>46024</v>
      </c>
      <c r="B8" s="21">
        <f t="shared" si="1"/>
        <v>1</v>
      </c>
      <c r="C8" s="18" t="s">
        <v>96</v>
      </c>
      <c r="D8" s="14"/>
      <c r="E8" s="14"/>
      <c r="F8" s="14">
        <v>210</v>
      </c>
      <c r="G8" s="14">
        <v>32</v>
      </c>
      <c r="H8" s="14"/>
      <c r="I8" s="14"/>
      <c r="J8" s="14">
        <v>210</v>
      </c>
      <c r="K8" s="14"/>
      <c r="L8" s="14"/>
      <c r="M8" s="14"/>
      <c r="N8" s="14"/>
      <c r="O8" s="14"/>
      <c r="P8" s="14"/>
      <c r="Q8" s="14"/>
      <c r="R8" s="22">
        <f t="shared" si="2"/>
        <v>452</v>
      </c>
      <c r="S8" s="14"/>
      <c r="T8" s="31">
        <f>15+6+4</f>
        <v>25</v>
      </c>
      <c r="U8" s="23">
        <v>0.29166666666666669</v>
      </c>
      <c r="V8" s="23">
        <v>0.79166666666666663</v>
      </c>
      <c r="W8" s="23" cm="1">
        <f t="array" ref="W8">_xlfn.IFS($U8="","",$AD8&gt;=6,TIME(1,0,0),$AD8&lt;=5,"")</f>
        <v>4.1666666666666664E-2</v>
      </c>
      <c r="X8" s="23" t="str">
        <f t="shared" si="3"/>
        <v/>
      </c>
      <c r="Y8" s="23" cm="1">
        <f t="array" ref="Y8">_xlfn.IFS($U8="","",AND($AD8&lt;=12,$AD8&gt;10),TIME(0,35,0),AND($AD8&lt;=10,$AD8&gt;5),TIME(0,20,0),AND($AD8&gt;12,$X8&lt;&gt;""),TIME(0,20,0),AND($AD8&gt;12,$X8=""),TIME(0,35,0),AND($AD8&gt;3,$AD8&lt;=5),TIME(0,10,0),$AD8&lt;=3,"")</f>
        <v>2.4305555555555556E-2</v>
      </c>
      <c r="Z8" s="23">
        <f t="shared" ref="Z8:Z64" si="10">IF($U8&lt;&gt;"",TIME(0,10,0),"")</f>
        <v>6.9444444444444441E-3</v>
      </c>
      <c r="AA8" s="23"/>
      <c r="AB8" s="23"/>
      <c r="AC8" s="30"/>
      <c r="AD8" s="24">
        <f t="shared" si="5"/>
        <v>11.999999999999998</v>
      </c>
      <c r="AE8" s="23">
        <f t="shared" si="6"/>
        <v>7.2916666666666671E-2</v>
      </c>
      <c r="AF8" s="25">
        <f t="shared" si="7"/>
        <v>299.99999999999994</v>
      </c>
      <c r="AG8" s="25">
        <f t="shared" si="8"/>
        <v>256.24999999999994</v>
      </c>
      <c r="AH8" s="16">
        <f t="shared" si="9"/>
        <v>0.66371681415929196</v>
      </c>
      <c r="AI8" s="30"/>
      <c r="AJ8" s="14"/>
      <c r="AK8" s="30"/>
      <c r="AL8" s="30" t="s">
        <v>102</v>
      </c>
    </row>
    <row r="9" spans="1:41" ht="15" customHeight="1" x14ac:dyDescent="0.3">
      <c r="A9" s="95">
        <v>46024</v>
      </c>
      <c r="B9" s="21">
        <f t="shared" si="1"/>
        <v>1</v>
      </c>
      <c r="C9" s="18" t="s">
        <v>97</v>
      </c>
      <c r="D9" s="14"/>
      <c r="E9" s="14">
        <v>149</v>
      </c>
      <c r="F9" s="14"/>
      <c r="G9" s="14">
        <v>9</v>
      </c>
      <c r="H9" s="14"/>
      <c r="I9" s="14"/>
      <c r="J9" s="14">
        <v>150</v>
      </c>
      <c r="K9" s="14">
        <v>51</v>
      </c>
      <c r="L9" s="14"/>
      <c r="M9" s="14"/>
      <c r="N9" s="14"/>
      <c r="O9" s="14"/>
      <c r="P9" s="14"/>
      <c r="Q9" s="14">
        <v>25</v>
      </c>
      <c r="R9" s="22">
        <f t="shared" si="2"/>
        <v>384</v>
      </c>
      <c r="S9" s="14"/>
      <c r="T9" s="31">
        <f>1+4</f>
        <v>5</v>
      </c>
      <c r="U9" s="23">
        <v>0.29166666666666669</v>
      </c>
      <c r="V9" s="23">
        <v>0.79166666666666663</v>
      </c>
      <c r="W9" s="23" cm="1">
        <f t="array" ref="W9">_xlfn.IFS($U9="","",$AD9&gt;=6,TIME(1,0,0),$AD9&lt;=5,"")</f>
        <v>4.1666666666666664E-2</v>
      </c>
      <c r="X9" s="23" t="str">
        <f t="shared" si="3"/>
        <v/>
      </c>
      <c r="Y9" s="23" cm="1">
        <f t="array" ref="Y9">_xlfn.IFS($U9="","",AND($AD9&lt;=12,$AD9&gt;10),TIME(0,35,0),AND($AD9&lt;=10,$AD9&gt;5),TIME(0,20,0),AND($AD9&gt;12,$X9&lt;&gt;""),TIME(0,20,0),AND($AD9&gt;12,$X9=""),TIME(0,35,0),AND($AD9&gt;3,$AD9&lt;=5),TIME(0,10,0),$AD9&lt;=3,"")</f>
        <v>2.4305555555555556E-2</v>
      </c>
      <c r="Z9" s="23">
        <f t="shared" si="10"/>
        <v>6.9444444444444441E-3</v>
      </c>
      <c r="AA9" s="23"/>
      <c r="AB9" s="23"/>
      <c r="AC9" s="30"/>
      <c r="AD9" s="24">
        <f t="shared" si="5"/>
        <v>11.999999999999998</v>
      </c>
      <c r="AE9" s="23">
        <f t="shared" si="6"/>
        <v>7.2916666666666671E-2</v>
      </c>
      <c r="AF9" s="25">
        <f t="shared" si="7"/>
        <v>59.999999999999993</v>
      </c>
      <c r="AG9" s="25">
        <f t="shared" si="8"/>
        <v>51.249999999999993</v>
      </c>
      <c r="AH9" s="16">
        <f t="shared" si="9"/>
        <v>0.15624999999999997</v>
      </c>
      <c r="AI9" s="30"/>
      <c r="AJ9" s="14"/>
      <c r="AK9" s="30"/>
      <c r="AL9" s="30"/>
    </row>
    <row r="10" spans="1:41" ht="15" customHeight="1" x14ac:dyDescent="0.3">
      <c r="A10" s="95">
        <v>46024</v>
      </c>
      <c r="B10" s="21">
        <f t="shared" si="1"/>
        <v>1</v>
      </c>
      <c r="C10" s="18" t="s">
        <v>98</v>
      </c>
      <c r="D10" s="14">
        <v>2</v>
      </c>
      <c r="E10" s="14"/>
      <c r="F10" s="14">
        <v>125</v>
      </c>
      <c r="G10" s="14"/>
      <c r="H10" s="14">
        <v>3</v>
      </c>
      <c r="I10" s="14"/>
      <c r="J10" s="14">
        <v>96</v>
      </c>
      <c r="K10" s="14">
        <v>61</v>
      </c>
      <c r="L10" s="14"/>
      <c r="M10" s="14"/>
      <c r="N10" s="14">
        <v>9</v>
      </c>
      <c r="O10" s="14"/>
      <c r="P10" s="14">
        <v>25</v>
      </c>
      <c r="Q10" s="14">
        <v>25</v>
      </c>
      <c r="R10" s="22">
        <f t="shared" si="2"/>
        <v>346</v>
      </c>
      <c r="S10" s="14"/>
      <c r="T10" s="31">
        <f>13+2+2+5</f>
        <v>22</v>
      </c>
      <c r="U10" s="23">
        <v>0.29166666666666669</v>
      </c>
      <c r="V10" s="23">
        <v>0.79166666666666663</v>
      </c>
      <c r="W10" s="23" cm="1">
        <f t="array" ref="W10">_xlfn.IFS($U10="","",$AD10&gt;=6,TIME(1,0,0),$AD10&lt;=5,"")</f>
        <v>4.1666666666666664E-2</v>
      </c>
      <c r="X10" s="23" t="str">
        <f t="shared" si="3"/>
        <v/>
      </c>
      <c r="Y10" s="23" cm="1">
        <f t="array" ref="Y10">_xlfn.IFS($U10="","",AND($AD10&lt;=12,$AD10&gt;10),TIME(0,35,0),AND($AD10&lt;=10,$AD10&gt;5),TIME(0,20,0),AND($AD10&gt;12,$X10&lt;&gt;""),TIME(0,20,0),AND($AD10&gt;12,$X10=""),TIME(0,35,0),AND($AD10&gt;3,$AD10&lt;=5),TIME(0,10,0),$AD10&lt;=3,"")</f>
        <v>2.4305555555555556E-2</v>
      </c>
      <c r="Z10" s="23">
        <f t="shared" si="10"/>
        <v>6.9444444444444441E-3</v>
      </c>
      <c r="AA10" s="23"/>
      <c r="AB10" s="23"/>
      <c r="AC10" s="30"/>
      <c r="AD10" s="24">
        <f t="shared" si="5"/>
        <v>11.999999999999998</v>
      </c>
      <c r="AE10" s="23">
        <f t="shared" si="6"/>
        <v>7.2916666666666671E-2</v>
      </c>
      <c r="AF10" s="25">
        <f t="shared" si="7"/>
        <v>263.99999999999994</v>
      </c>
      <c r="AG10" s="25">
        <f t="shared" si="8"/>
        <v>225.49999999999997</v>
      </c>
      <c r="AH10" s="16">
        <f t="shared" si="9"/>
        <v>0.76300578034682065</v>
      </c>
      <c r="AI10" s="30"/>
      <c r="AJ10" s="14"/>
      <c r="AK10" s="30"/>
      <c r="AL10" s="30"/>
    </row>
    <row r="11" spans="1:41" ht="15" customHeight="1" x14ac:dyDescent="0.3">
      <c r="A11" s="95">
        <v>46024</v>
      </c>
      <c r="B11" s="21">
        <f t="shared" si="1"/>
        <v>1</v>
      </c>
      <c r="C11" s="18" t="s">
        <v>99</v>
      </c>
      <c r="D11" s="14">
        <v>2</v>
      </c>
      <c r="E11" s="14"/>
      <c r="F11" s="14">
        <f>22+22</f>
        <v>44</v>
      </c>
      <c r="G11" s="14"/>
      <c r="H11" s="14">
        <v>2</v>
      </c>
      <c r="I11" s="14">
        <v>2</v>
      </c>
      <c r="J11" s="14">
        <v>141</v>
      </c>
      <c r="K11" s="14"/>
      <c r="L11" s="14"/>
      <c r="M11" s="14"/>
      <c r="N11" s="14">
        <v>40</v>
      </c>
      <c r="O11" s="14"/>
      <c r="P11" s="14">
        <v>23</v>
      </c>
      <c r="Q11" s="14">
        <v>36</v>
      </c>
      <c r="R11" s="22">
        <f t="shared" si="2"/>
        <v>290</v>
      </c>
      <c r="S11" s="14"/>
      <c r="T11" s="31">
        <f>9+12+4</f>
        <v>25</v>
      </c>
      <c r="U11" s="23">
        <v>0.29166666666666669</v>
      </c>
      <c r="V11" s="23">
        <v>0.79166666666666663</v>
      </c>
      <c r="W11" s="23" cm="1">
        <f t="array" ref="W11">_xlfn.IFS($U11="","",$AD11&gt;=6,TIME(1,0,0),$AD11&lt;=5,"")</f>
        <v>4.1666666666666664E-2</v>
      </c>
      <c r="X11" s="23" t="str">
        <f t="shared" si="3"/>
        <v/>
      </c>
      <c r="Y11" s="23" cm="1">
        <f t="array" ref="Y11">_xlfn.IFS($U11="","",AND($AD11&lt;=12,$AD11&gt;10),TIME(0,35,0),AND($AD11&lt;=10,$AD11&gt;5),TIME(0,20,0),AND($AD11&gt;12,$X11&lt;&gt;""),TIME(0,20,0),AND($AD11&gt;12,$X11=""),TIME(0,35,0),AND($AD11&gt;3,$AD11&lt;=5),TIME(0,10,0),$AD11&lt;=3,"")</f>
        <v>2.4305555555555556E-2</v>
      </c>
      <c r="Z11" s="23">
        <f t="shared" si="10"/>
        <v>6.9444444444444441E-3</v>
      </c>
      <c r="AA11" s="23"/>
      <c r="AB11" s="23"/>
      <c r="AC11" s="30"/>
      <c r="AD11" s="24">
        <f t="shared" si="5"/>
        <v>11.999999999999998</v>
      </c>
      <c r="AE11" s="23">
        <f t="shared" si="6"/>
        <v>7.2916666666666671E-2</v>
      </c>
      <c r="AF11" s="25">
        <f t="shared" si="7"/>
        <v>299.99999999999994</v>
      </c>
      <c r="AG11" s="25">
        <f t="shared" si="8"/>
        <v>256.24999999999994</v>
      </c>
      <c r="AH11" s="16">
        <f t="shared" si="9"/>
        <v>1.0344827586206895</v>
      </c>
      <c r="AI11" s="16">
        <f>IF(COUNTIF(A8:A11,A8)=4,1/SUM(AH8:AH11),"")</f>
        <v>0.38205045171273078</v>
      </c>
      <c r="AJ11" s="14"/>
      <c r="AK11" s="30"/>
      <c r="AL11" s="30"/>
    </row>
    <row r="12" spans="1:41" ht="15" customHeight="1" x14ac:dyDescent="0.3">
      <c r="A12" s="78">
        <v>46025</v>
      </c>
      <c r="B12" s="21">
        <f t="shared" si="1"/>
        <v>1</v>
      </c>
      <c r="C12" s="18" t="s">
        <v>97</v>
      </c>
      <c r="D12" s="14"/>
      <c r="E12" s="14"/>
      <c r="F12" s="14">
        <v>238</v>
      </c>
      <c r="G12" s="14">
        <v>23</v>
      </c>
      <c r="H12" s="14"/>
      <c r="I12" s="14"/>
      <c r="J12" s="14">
        <v>129</v>
      </c>
      <c r="K12" s="14"/>
      <c r="L12" s="14"/>
      <c r="M12" s="14"/>
      <c r="N12" s="14"/>
      <c r="O12" s="14"/>
      <c r="P12" s="14"/>
      <c r="Q12" s="14">
        <v>22</v>
      </c>
      <c r="R12" s="22">
        <f t="shared" si="2"/>
        <v>412</v>
      </c>
      <c r="S12" s="14"/>
      <c r="T12" s="31">
        <f>1+4</f>
        <v>5</v>
      </c>
      <c r="U12" s="23">
        <v>0.29166666666666669</v>
      </c>
      <c r="V12" s="23">
        <v>0.79166666666666663</v>
      </c>
      <c r="W12" s="23" cm="1">
        <f t="array" ref="W12">_xlfn.IFS($U12="","",$AD12&gt;=6,TIME(1,0,0),$AD12&lt;=5,"")</f>
        <v>4.1666666666666664E-2</v>
      </c>
      <c r="X12" s="23" t="str">
        <f t="shared" si="3"/>
        <v/>
      </c>
      <c r="Y12" s="23" cm="1">
        <f t="array" ref="Y12">_xlfn.IFS($U12="","",AND($AD12&lt;=12,$AD12&gt;10),TIME(0,35,0),AND($AD12&lt;=10,$AD12&gt;5),TIME(0,20,0),AND($AD12&gt;12,$X12&lt;&gt;""),TIME(0,20,0),AND($AD12&gt;12,$X12=""),TIME(0,35,0),AND($AD12&gt;3,$AD12&lt;=5),TIME(0,10,0),$AD12&lt;=3,"")</f>
        <v>2.4305555555555556E-2</v>
      </c>
      <c r="Z12" s="23">
        <f t="shared" si="10"/>
        <v>6.9444444444444441E-3</v>
      </c>
      <c r="AA12" s="23"/>
      <c r="AB12" s="23"/>
      <c r="AC12" s="30"/>
      <c r="AD12" s="24">
        <f t="shared" si="5"/>
        <v>11.999999999999998</v>
      </c>
      <c r="AE12" s="23">
        <f t="shared" si="6"/>
        <v>7.2916666666666671E-2</v>
      </c>
      <c r="AF12" s="25">
        <f t="shared" si="7"/>
        <v>59.999999999999993</v>
      </c>
      <c r="AG12" s="25">
        <f t="shared" si="8"/>
        <v>51.249999999999993</v>
      </c>
      <c r="AH12" s="16">
        <f t="shared" si="9"/>
        <v>0.14563106796116504</v>
      </c>
      <c r="AI12" s="30"/>
      <c r="AJ12" s="14"/>
      <c r="AK12" s="30"/>
      <c r="AL12" s="30"/>
    </row>
    <row r="13" spans="1:41" ht="15" customHeight="1" x14ac:dyDescent="0.3">
      <c r="A13" s="78">
        <v>46025</v>
      </c>
      <c r="B13" s="21">
        <f t="shared" si="1"/>
        <v>1</v>
      </c>
      <c r="C13" s="18" t="s">
        <v>98</v>
      </c>
      <c r="D13" s="14">
        <v>2</v>
      </c>
      <c r="E13" s="14"/>
      <c r="F13" s="14">
        <v>151</v>
      </c>
      <c r="G13" s="14">
        <v>33</v>
      </c>
      <c r="H13" s="14"/>
      <c r="I13" s="14"/>
      <c r="J13" s="14">
        <v>135</v>
      </c>
      <c r="K13" s="14"/>
      <c r="L13" s="14"/>
      <c r="M13" s="14"/>
      <c r="N13" s="14"/>
      <c r="O13" s="14"/>
      <c r="P13" s="14"/>
      <c r="Q13" s="14">
        <v>27</v>
      </c>
      <c r="R13" s="22">
        <f t="shared" si="2"/>
        <v>348</v>
      </c>
      <c r="S13" s="14"/>
      <c r="T13" s="31">
        <f>13+3+2+5</f>
        <v>23</v>
      </c>
      <c r="U13" s="23">
        <v>0.29166666666666669</v>
      </c>
      <c r="V13" s="23">
        <v>0.875</v>
      </c>
      <c r="W13" s="23" cm="1">
        <f t="array" ref="W13">_xlfn.IFS($U13="","",$AD13&gt;=6,TIME(1,0,0),$AD13&lt;=5,"")</f>
        <v>4.1666666666666664E-2</v>
      </c>
      <c r="X13" s="23">
        <f t="shared" si="3"/>
        <v>4.1666666666666664E-2</v>
      </c>
      <c r="Y13" s="23" cm="1">
        <f t="array" ref="Y13">_xlfn.IFS($U13="","",AND($AD13&lt;=12,$AD13&gt;10),TIME(0,35,0),AND($AD13&lt;=10,$AD13&gt;5),TIME(0,20,0),AND($AD13&gt;12,$X13&lt;&gt;""),TIME(0,20,0),AND($AD13&gt;12,$X13=""),TIME(0,35,0),AND($AD13&gt;3,$AD13&lt;=5),TIME(0,10,0),$AD13&lt;=3,"")</f>
        <v>1.3888888888888888E-2</v>
      </c>
      <c r="Z13" s="23">
        <f t="shared" si="10"/>
        <v>6.9444444444444441E-3</v>
      </c>
      <c r="AA13" s="23">
        <v>0.12083333333333333</v>
      </c>
      <c r="AB13" s="23"/>
      <c r="AC13" s="30"/>
      <c r="AD13" s="24">
        <f t="shared" si="5"/>
        <v>13.999999999999998</v>
      </c>
      <c r="AE13" s="23">
        <f t="shared" si="6"/>
        <v>0.10416666666666666</v>
      </c>
      <c r="AF13" s="25">
        <f t="shared" si="7"/>
        <v>321.99999999999994</v>
      </c>
      <c r="AG13" s="25">
        <f t="shared" si="8"/>
        <v>197.79999999999995</v>
      </c>
      <c r="AH13" s="16">
        <f t="shared" si="9"/>
        <v>0.92528735632183889</v>
      </c>
      <c r="AI13" s="30"/>
      <c r="AJ13" s="14"/>
      <c r="AK13" s="30"/>
      <c r="AL13" s="30" t="s">
        <v>103</v>
      </c>
    </row>
    <row r="14" spans="1:41" ht="15" customHeight="1" x14ac:dyDescent="0.3">
      <c r="A14" s="78">
        <v>46025</v>
      </c>
      <c r="B14" s="21">
        <f t="shared" si="1"/>
        <v>1</v>
      </c>
      <c r="C14" s="18" t="s">
        <v>99</v>
      </c>
      <c r="D14" s="14"/>
      <c r="E14" s="14"/>
      <c r="F14" s="14">
        <f>85+53</f>
        <v>138</v>
      </c>
      <c r="G14" s="14"/>
      <c r="H14" s="14">
        <v>1</v>
      </c>
      <c r="I14" s="14"/>
      <c r="J14" s="14">
        <v>121</v>
      </c>
      <c r="K14" s="14">
        <v>52</v>
      </c>
      <c r="L14" s="14"/>
      <c r="M14" s="14"/>
      <c r="N14" s="14">
        <v>4</v>
      </c>
      <c r="O14" s="14"/>
      <c r="P14" s="14">
        <v>1</v>
      </c>
      <c r="Q14" s="14">
        <v>23</v>
      </c>
      <c r="R14" s="22">
        <f t="shared" si="2"/>
        <v>340</v>
      </c>
      <c r="S14" s="14"/>
      <c r="T14" s="31">
        <f>9+11+3</f>
        <v>23</v>
      </c>
      <c r="U14" s="23">
        <v>0.29166666666666669</v>
      </c>
      <c r="V14" s="23">
        <v>0.875</v>
      </c>
      <c r="W14" s="23" cm="1">
        <f t="array" ref="W14">_xlfn.IFS($U14="","",$AD14&gt;=6,TIME(1,0,0),$AD14&lt;=5,"")</f>
        <v>4.1666666666666664E-2</v>
      </c>
      <c r="X14" s="23">
        <f t="shared" si="3"/>
        <v>4.1666666666666664E-2</v>
      </c>
      <c r="Y14" s="23" cm="1">
        <f t="array" ref="Y14">_xlfn.IFS($U14="","",AND($AD14&lt;=12,$AD14&gt;10),TIME(0,35,0),AND($AD14&lt;=10,$AD14&gt;5),TIME(0,20,0),AND($AD14&gt;12,$X14&lt;&gt;""),TIME(0,20,0),AND($AD14&gt;12,$X14=""),TIME(0,35,0),AND($AD14&gt;3,$AD14&lt;=5),TIME(0,10,0),$AD14&lt;=3,"")</f>
        <v>1.3888888888888888E-2</v>
      </c>
      <c r="Z14" s="23">
        <f t="shared" si="10"/>
        <v>6.9444444444444441E-3</v>
      </c>
      <c r="AA14" s="23"/>
      <c r="AB14" s="23"/>
      <c r="AC14" s="30"/>
      <c r="AD14" s="24">
        <f t="shared" si="5"/>
        <v>13.999999999999998</v>
      </c>
      <c r="AE14" s="23">
        <f t="shared" si="6"/>
        <v>0.10416666666666666</v>
      </c>
      <c r="AF14" s="25">
        <f t="shared" si="7"/>
        <v>321.99999999999994</v>
      </c>
      <c r="AG14" s="25">
        <f t="shared" si="8"/>
        <v>264.49999999999994</v>
      </c>
      <c r="AH14" s="16">
        <f t="shared" si="9"/>
        <v>0.94705882352941162</v>
      </c>
      <c r="AI14" s="16" t="str">
        <f>IF(COUNTIF(A12:A14,#REF!)=4,1/SUM(AH12:AH14),"")</f>
        <v/>
      </c>
      <c r="AJ14" s="14"/>
      <c r="AK14" s="30"/>
      <c r="AL14" s="30"/>
    </row>
    <row r="15" spans="1:41" ht="15" customHeight="1" x14ac:dyDescent="0.3">
      <c r="A15" s="95">
        <v>46026</v>
      </c>
      <c r="B15" s="21">
        <f t="shared" si="1"/>
        <v>1</v>
      </c>
      <c r="C15" s="18" t="s">
        <v>99</v>
      </c>
      <c r="D15" s="14"/>
      <c r="E15" s="14"/>
      <c r="F15" s="14">
        <f>44+73+64</f>
        <v>181</v>
      </c>
      <c r="G15" s="14">
        <v>31</v>
      </c>
      <c r="H15" s="14"/>
      <c r="I15" s="14"/>
      <c r="J15" s="14">
        <v>13</v>
      </c>
      <c r="K15" s="14"/>
      <c r="L15" s="14"/>
      <c r="M15" s="14"/>
      <c r="N15" s="14"/>
      <c r="O15" s="14"/>
      <c r="P15" s="14"/>
      <c r="Q15" s="14"/>
      <c r="R15" s="22">
        <f t="shared" si="2"/>
        <v>225</v>
      </c>
      <c r="S15" s="14"/>
      <c r="T15" s="31">
        <f>21</f>
        <v>21</v>
      </c>
      <c r="U15" s="23">
        <v>0.29166666666666669</v>
      </c>
      <c r="V15" s="23">
        <v>0.79166666666666663</v>
      </c>
      <c r="W15" s="23" cm="1">
        <f t="array" ref="W15">_xlfn.IFS($U15="","",$AD15&gt;=6,TIME(1,0,0),$AD15&lt;=5,"")</f>
        <v>4.1666666666666664E-2</v>
      </c>
      <c r="X15" s="23" t="str">
        <f t="shared" si="3"/>
        <v/>
      </c>
      <c r="Y15" s="23" cm="1">
        <f t="array" ref="Y15">_xlfn.IFS($U15="","",AND($AD15&lt;=12,$AD15&gt;10),TIME(0,35,0),AND($AD15&lt;=10,$AD15&gt;5),TIME(0,20,0),AND($AD15&gt;12,$X15&lt;&gt;""),TIME(0,20,0),AND($AD15&gt;12,$X15=""),TIME(0,35,0),AND($AD15&gt;3,$AD15&lt;=5),TIME(0,10,0),$AD15&lt;=3,"")</f>
        <v>2.4305555555555556E-2</v>
      </c>
      <c r="Z15" s="23">
        <f t="shared" si="10"/>
        <v>6.9444444444444441E-3</v>
      </c>
      <c r="AA15" s="23"/>
      <c r="AB15" s="23"/>
      <c r="AC15" s="30"/>
      <c r="AD15" s="24">
        <f t="shared" si="5"/>
        <v>11.999999999999998</v>
      </c>
      <c r="AE15" s="23">
        <f t="shared" si="6"/>
        <v>7.2916666666666671E-2</v>
      </c>
      <c r="AF15" s="25">
        <f t="shared" si="7"/>
        <v>251.99999999999997</v>
      </c>
      <c r="AG15" s="25">
        <f t="shared" si="8"/>
        <v>215.24999999999997</v>
      </c>
      <c r="AH15" s="16">
        <f t="shared" si="9"/>
        <v>1.1199999999999999</v>
      </c>
      <c r="AI15" s="16" t="str">
        <f>IF(COUNTIF(A15:A15,#REF!)=4,1/SUM(AH15:AH15),"")</f>
        <v/>
      </c>
      <c r="AJ15" s="14"/>
      <c r="AK15" s="30"/>
      <c r="AL15" s="30" t="s">
        <v>100</v>
      </c>
    </row>
    <row r="16" spans="1:41" ht="15" customHeight="1" x14ac:dyDescent="0.3">
      <c r="A16" s="78">
        <v>46027</v>
      </c>
      <c r="B16" s="21">
        <f t="shared" si="1"/>
        <v>1</v>
      </c>
      <c r="C16" s="18" t="s">
        <v>96</v>
      </c>
      <c r="D16" s="14">
        <v>100</v>
      </c>
      <c r="E16" s="14"/>
      <c r="F16" s="14"/>
      <c r="G16" s="14">
        <v>168</v>
      </c>
      <c r="H16" s="14">
        <v>180</v>
      </c>
      <c r="I16" s="14"/>
      <c r="J16" s="14">
        <v>60</v>
      </c>
      <c r="K16" s="14"/>
      <c r="L16" s="14"/>
      <c r="M16" s="14"/>
      <c r="N16" s="14"/>
      <c r="O16" s="14"/>
      <c r="P16" s="14"/>
      <c r="Q16" s="14"/>
      <c r="R16" s="22">
        <f t="shared" si="2"/>
        <v>508</v>
      </c>
      <c r="S16" s="14"/>
      <c r="T16" s="31">
        <f>15+5+4-3</f>
        <v>21</v>
      </c>
      <c r="U16" s="23">
        <v>0.29166666666666669</v>
      </c>
      <c r="V16" s="23">
        <v>0.79166666666666663</v>
      </c>
      <c r="W16" s="23" cm="1">
        <f t="array" ref="W16">_xlfn.IFS($U16="","",$AD16&gt;=6,TIME(1,0,0),$AD16&lt;=5,"")</f>
        <v>4.1666666666666664E-2</v>
      </c>
      <c r="X16" s="23" t="str">
        <f t="shared" si="3"/>
        <v/>
      </c>
      <c r="Y16" s="23" cm="1">
        <f t="array" ref="Y16">_xlfn.IFS($U16="","",AND($AD16&lt;=12,$AD16&gt;10),TIME(0,35,0),AND($AD16&lt;=10,$AD16&gt;5),TIME(0,20,0),AND($AD16&gt;12,$X16&lt;&gt;""),TIME(0,20,0),AND($AD16&gt;12,$X16=""),TIME(0,35,0),AND($AD16&gt;3,$AD16&lt;=5),TIME(0,10,0),$AD16&lt;=3,"")</f>
        <v>2.4305555555555556E-2</v>
      </c>
      <c r="Z16" s="23">
        <f t="shared" si="10"/>
        <v>6.9444444444444441E-3</v>
      </c>
      <c r="AA16" s="23"/>
      <c r="AB16" s="23"/>
      <c r="AC16" s="30"/>
      <c r="AD16" s="24">
        <f t="shared" si="5"/>
        <v>11.999999999999998</v>
      </c>
      <c r="AE16" s="23">
        <f t="shared" si="6"/>
        <v>7.2916666666666671E-2</v>
      </c>
      <c r="AF16" s="25">
        <f t="shared" si="7"/>
        <v>251.99999999999997</v>
      </c>
      <c r="AG16" s="25">
        <f t="shared" si="8"/>
        <v>215.24999999999997</v>
      </c>
      <c r="AH16" s="16">
        <f t="shared" si="9"/>
        <v>0.4960629921259842</v>
      </c>
      <c r="AI16" s="30"/>
      <c r="AJ16" s="14"/>
      <c r="AK16" s="30"/>
      <c r="AL16" s="30" t="s">
        <v>104</v>
      </c>
    </row>
    <row r="17" spans="1:38" ht="15" customHeight="1" x14ac:dyDescent="0.3">
      <c r="A17" s="78">
        <v>46027</v>
      </c>
      <c r="B17" s="21">
        <f t="shared" si="1"/>
        <v>1</v>
      </c>
      <c r="C17" s="18" t="s">
        <v>97</v>
      </c>
      <c r="D17" s="14">
        <v>100</v>
      </c>
      <c r="E17" s="14"/>
      <c r="F17" s="14"/>
      <c r="G17" s="14">
        <v>120</v>
      </c>
      <c r="H17" s="14">
        <v>124</v>
      </c>
      <c r="I17" s="14"/>
      <c r="J17" s="14">
        <v>62</v>
      </c>
      <c r="K17" s="14"/>
      <c r="L17" s="14"/>
      <c r="M17" s="14"/>
      <c r="N17" s="14"/>
      <c r="O17" s="14"/>
      <c r="P17" s="14"/>
      <c r="Q17" s="14">
        <v>1</v>
      </c>
      <c r="R17" s="22">
        <f t="shared" si="2"/>
        <v>407</v>
      </c>
      <c r="S17" s="14"/>
      <c r="T17" s="31">
        <f>1+4</f>
        <v>5</v>
      </c>
      <c r="U17" s="23">
        <v>0.29166666666666669</v>
      </c>
      <c r="V17" s="23">
        <v>0.79166666666666663</v>
      </c>
      <c r="W17" s="23" cm="1">
        <f t="array" ref="W17">_xlfn.IFS($U17="","",$AD17&gt;=6,TIME(1,0,0),$AD17&lt;=5,"")</f>
        <v>4.1666666666666664E-2</v>
      </c>
      <c r="X17" s="23" t="str">
        <f t="shared" si="3"/>
        <v/>
      </c>
      <c r="Y17" s="23" cm="1">
        <f t="array" ref="Y17">_xlfn.IFS($U17="","",AND($AD17&lt;=12,$AD17&gt;10),TIME(0,35,0),AND($AD17&lt;=10,$AD17&gt;5),TIME(0,20,0),AND($AD17&gt;12,$X17&lt;&gt;""),TIME(0,20,0),AND($AD17&gt;12,$X17=""),TIME(0,35,0),AND($AD17&gt;3,$AD17&lt;=5),TIME(0,10,0),$AD17&lt;=3,"")</f>
        <v>2.4305555555555556E-2</v>
      </c>
      <c r="Z17" s="23">
        <f t="shared" si="10"/>
        <v>6.9444444444444441E-3</v>
      </c>
      <c r="AA17" s="23"/>
      <c r="AB17" s="23"/>
      <c r="AC17" s="30"/>
      <c r="AD17" s="24">
        <f t="shared" si="5"/>
        <v>11.999999999999998</v>
      </c>
      <c r="AE17" s="23">
        <f t="shared" si="6"/>
        <v>7.2916666666666671E-2</v>
      </c>
      <c r="AF17" s="25">
        <f t="shared" si="7"/>
        <v>59.999999999999993</v>
      </c>
      <c r="AG17" s="25">
        <f t="shared" si="8"/>
        <v>51.249999999999993</v>
      </c>
      <c r="AH17" s="16">
        <f t="shared" si="9"/>
        <v>0.14742014742014739</v>
      </c>
      <c r="AI17" s="30"/>
      <c r="AJ17" s="14"/>
      <c r="AK17" s="30"/>
      <c r="AL17" s="30"/>
    </row>
    <row r="18" spans="1:38" ht="15" customHeight="1" x14ac:dyDescent="0.3">
      <c r="A18" s="78">
        <v>46027</v>
      </c>
      <c r="B18" s="21">
        <f t="shared" si="1"/>
        <v>1</v>
      </c>
      <c r="C18" s="18" t="s">
        <v>98</v>
      </c>
      <c r="D18" s="14">
        <v>54</v>
      </c>
      <c r="E18" s="14"/>
      <c r="F18" s="14">
        <v>33</v>
      </c>
      <c r="G18" s="14">
        <v>82</v>
      </c>
      <c r="H18" s="14">
        <v>95</v>
      </c>
      <c r="I18" s="14">
        <v>2</v>
      </c>
      <c r="J18" s="14">
        <v>2</v>
      </c>
      <c r="K18" s="14"/>
      <c r="L18" s="14"/>
      <c r="M18" s="14"/>
      <c r="N18" s="14">
        <v>2</v>
      </c>
      <c r="O18" s="14"/>
      <c r="P18" s="14"/>
      <c r="Q18" s="14">
        <v>9</v>
      </c>
      <c r="R18" s="22">
        <f t="shared" si="2"/>
        <v>279</v>
      </c>
      <c r="S18" s="14"/>
      <c r="T18" s="31">
        <f>13+3+2+6</f>
        <v>24</v>
      </c>
      <c r="U18" s="23">
        <v>0.29166666666666669</v>
      </c>
      <c r="V18" s="23">
        <v>0.79166666666666663</v>
      </c>
      <c r="W18" s="23" cm="1">
        <f t="array" ref="W18">_xlfn.IFS($U18="","",$AD18&gt;=6,TIME(1,0,0),$AD18&lt;=5,"")</f>
        <v>4.1666666666666664E-2</v>
      </c>
      <c r="X18" s="23" t="str">
        <f t="shared" si="3"/>
        <v/>
      </c>
      <c r="Y18" s="23" cm="1">
        <f t="array" ref="Y18">_xlfn.IFS($U18="","",AND($AD18&lt;=12,$AD18&gt;10),TIME(0,35,0),AND($AD18&lt;=10,$AD18&gt;5),TIME(0,20,0),AND($AD18&gt;12,$X18&lt;&gt;""),TIME(0,20,0),AND($AD18&gt;12,$X18=""),TIME(0,35,0),AND($AD18&gt;3,$AD18&lt;=5),TIME(0,10,0),$AD18&lt;=3,"")</f>
        <v>2.4305555555555556E-2</v>
      </c>
      <c r="Z18" s="23">
        <f t="shared" si="10"/>
        <v>6.9444444444444441E-3</v>
      </c>
      <c r="AA18" s="23"/>
      <c r="AB18" s="23"/>
      <c r="AC18" s="30"/>
      <c r="AD18" s="24">
        <f t="shared" si="5"/>
        <v>11.999999999999998</v>
      </c>
      <c r="AE18" s="23">
        <f t="shared" si="6"/>
        <v>7.2916666666666671E-2</v>
      </c>
      <c r="AF18" s="25">
        <f t="shared" si="7"/>
        <v>287.99999999999994</v>
      </c>
      <c r="AG18" s="25">
        <f t="shared" si="8"/>
        <v>245.99999999999994</v>
      </c>
      <c r="AH18" s="16">
        <f t="shared" si="9"/>
        <v>1.0322580645161288</v>
      </c>
      <c r="AI18" s="30"/>
      <c r="AJ18" s="14"/>
      <c r="AK18" s="30"/>
      <c r="AL18" s="30"/>
    </row>
    <row r="19" spans="1:38" ht="15" customHeight="1" x14ac:dyDescent="0.3">
      <c r="A19" s="78">
        <v>46027</v>
      </c>
      <c r="B19" s="21">
        <f t="shared" si="1"/>
        <v>1</v>
      </c>
      <c r="C19" s="18" t="s">
        <v>99</v>
      </c>
      <c r="D19" s="14">
        <v>1</v>
      </c>
      <c r="E19" s="14">
        <v>1</v>
      </c>
      <c r="F19" s="14">
        <f>15+27+23</f>
        <v>65</v>
      </c>
      <c r="G19" s="14">
        <v>1</v>
      </c>
      <c r="H19" s="14"/>
      <c r="I19" s="14"/>
      <c r="J19" s="14">
        <v>80</v>
      </c>
      <c r="K19" s="14">
        <v>5</v>
      </c>
      <c r="L19" s="14"/>
      <c r="M19" s="14"/>
      <c r="N19" s="14">
        <v>2</v>
      </c>
      <c r="O19" s="14"/>
      <c r="P19" s="14">
        <v>5</v>
      </c>
      <c r="Q19" s="14">
        <v>23</v>
      </c>
      <c r="R19" s="22">
        <f t="shared" si="2"/>
        <v>183</v>
      </c>
      <c r="S19" s="14"/>
      <c r="T19" s="31">
        <f>9+10+4</f>
        <v>23</v>
      </c>
      <c r="U19" s="23">
        <v>0.29166666666666669</v>
      </c>
      <c r="V19" s="23">
        <v>0.79166666666666663</v>
      </c>
      <c r="W19" s="23" cm="1">
        <f t="array" ref="W19">_xlfn.IFS($U19="","",$AD19&gt;=6,TIME(1,0,0),$AD19&lt;=5,"")</f>
        <v>4.1666666666666664E-2</v>
      </c>
      <c r="X19" s="23" t="str">
        <f t="shared" si="3"/>
        <v/>
      </c>
      <c r="Y19" s="23" cm="1">
        <f t="array" ref="Y19">_xlfn.IFS($U19="","",AND($AD19&lt;=12,$AD19&gt;10),TIME(0,35,0),AND($AD19&lt;=10,$AD19&gt;5),TIME(0,20,0),AND($AD19&gt;12,$X19&lt;&gt;""),TIME(0,20,0),AND($AD19&gt;12,$X19=""),TIME(0,35,0),AND($AD19&gt;3,$AD19&lt;=5),TIME(0,10,0),$AD19&lt;=3,"")</f>
        <v>2.4305555555555556E-2</v>
      </c>
      <c r="Z19" s="23">
        <f t="shared" si="10"/>
        <v>6.9444444444444441E-3</v>
      </c>
      <c r="AA19" s="23">
        <v>0.15625</v>
      </c>
      <c r="AB19" s="23"/>
      <c r="AC19" s="30"/>
      <c r="AD19" s="24">
        <f t="shared" si="5"/>
        <v>11.999999999999998</v>
      </c>
      <c r="AE19" s="23">
        <f t="shared" si="6"/>
        <v>7.2916666666666671E-2</v>
      </c>
      <c r="AF19" s="25">
        <f t="shared" si="7"/>
        <v>275.99999999999994</v>
      </c>
      <c r="AG19" s="25">
        <f t="shared" si="8"/>
        <v>149.49999999999997</v>
      </c>
      <c r="AH19" s="16">
        <f t="shared" si="9"/>
        <v>1.5081967213114751</v>
      </c>
      <c r="AI19" s="16">
        <f>IF(COUNTIF(A16:A19,A16)=4,1/SUM(AH16:AH19),"")</f>
        <v>0.31407647493084168</v>
      </c>
      <c r="AJ19" s="14"/>
      <c r="AK19" s="30"/>
      <c r="AL19" s="30" t="s">
        <v>105</v>
      </c>
    </row>
    <row r="20" spans="1:38" ht="15" customHeight="1" x14ac:dyDescent="0.3">
      <c r="A20" s="95">
        <v>46028</v>
      </c>
      <c r="B20" s="21">
        <f t="shared" si="1"/>
        <v>1</v>
      </c>
      <c r="C20" s="18" t="s">
        <v>96</v>
      </c>
      <c r="D20" s="14">
        <f>50+100</f>
        <v>150</v>
      </c>
      <c r="E20" s="14"/>
      <c r="F20" s="14"/>
      <c r="G20" s="14">
        <v>120</v>
      </c>
      <c r="H20" s="14">
        <v>220</v>
      </c>
      <c r="I20" s="14"/>
      <c r="J20" s="14"/>
      <c r="K20" s="14"/>
      <c r="L20" s="14"/>
      <c r="M20" s="14"/>
      <c r="N20" s="14"/>
      <c r="O20" s="14"/>
      <c r="P20" s="14"/>
      <c r="Q20" s="14"/>
      <c r="R20" s="22">
        <f t="shared" si="2"/>
        <v>490</v>
      </c>
      <c r="S20" s="14"/>
      <c r="T20" s="31">
        <f>13+6+6-5</f>
        <v>20</v>
      </c>
      <c r="U20" s="23">
        <v>0.29166666666666669</v>
      </c>
      <c r="V20" s="23">
        <v>0.79166666666666663</v>
      </c>
      <c r="W20" s="23" cm="1">
        <f t="array" ref="W20">_xlfn.IFS($U20="","",$AD20&gt;=6,TIME(1,0,0),$AD20&lt;=5,"")</f>
        <v>4.1666666666666664E-2</v>
      </c>
      <c r="X20" s="23" t="str">
        <f t="shared" si="3"/>
        <v/>
      </c>
      <c r="Y20" s="23" cm="1">
        <f t="array" ref="Y20">_xlfn.IFS($U20="","",AND($AD20&lt;=12,$AD20&gt;10),TIME(0,35,0),AND($AD20&lt;=10,$AD20&gt;5),TIME(0,20,0),AND($AD20&gt;12,$X20&lt;&gt;""),TIME(0,20,0),AND($AD20&gt;12,$X20=""),TIME(0,35,0),AND($AD20&gt;3,$AD20&lt;=5),TIME(0,10,0),$AD20&lt;=3,"")</f>
        <v>2.4305555555555556E-2</v>
      </c>
      <c r="Z20" s="23">
        <f t="shared" si="10"/>
        <v>6.9444444444444441E-3</v>
      </c>
      <c r="AA20" s="23"/>
      <c r="AB20" s="23"/>
      <c r="AC20" s="30"/>
      <c r="AD20" s="24">
        <f t="shared" si="5"/>
        <v>11.999999999999998</v>
      </c>
      <c r="AE20" s="23">
        <f t="shared" si="6"/>
        <v>7.2916666666666671E-2</v>
      </c>
      <c r="AF20" s="25">
        <f t="shared" si="7"/>
        <v>239.99999999999997</v>
      </c>
      <c r="AG20" s="25">
        <f t="shared" si="8"/>
        <v>204.99999999999997</v>
      </c>
      <c r="AH20" s="16">
        <f t="shared" si="9"/>
        <v>0.48979591836734687</v>
      </c>
      <c r="AI20" s="30"/>
      <c r="AJ20" s="14"/>
      <c r="AK20" s="30"/>
      <c r="AL20" s="30" t="s">
        <v>106</v>
      </c>
    </row>
    <row r="21" spans="1:38" ht="15" customHeight="1" x14ac:dyDescent="0.3">
      <c r="A21" s="95">
        <v>46028</v>
      </c>
      <c r="B21" s="21">
        <f t="shared" si="1"/>
        <v>1</v>
      </c>
      <c r="C21" s="18" t="s">
        <v>97</v>
      </c>
      <c r="D21" s="14">
        <v>150</v>
      </c>
      <c r="E21" s="14"/>
      <c r="F21" s="14"/>
      <c r="G21" s="14">
        <v>132</v>
      </c>
      <c r="H21" s="14">
        <v>179</v>
      </c>
      <c r="I21" s="14"/>
      <c r="J21" s="14"/>
      <c r="K21" s="14"/>
      <c r="L21" s="14"/>
      <c r="M21" s="14"/>
      <c r="N21" s="14"/>
      <c r="O21" s="14"/>
      <c r="P21" s="14"/>
      <c r="Q21" s="14"/>
      <c r="R21" s="22">
        <f t="shared" si="2"/>
        <v>461</v>
      </c>
      <c r="S21" s="14"/>
      <c r="T21" s="31">
        <f>1+4</f>
        <v>5</v>
      </c>
      <c r="U21" s="23">
        <v>0.29166666666666669</v>
      </c>
      <c r="V21" s="23">
        <v>0.79166666666666663</v>
      </c>
      <c r="W21" s="23" cm="1">
        <f t="array" ref="W21">_xlfn.IFS($U21="","",$AD21&gt;=6,TIME(1,0,0),$AD21&lt;=5,"")</f>
        <v>4.1666666666666664E-2</v>
      </c>
      <c r="X21" s="23" t="str">
        <f t="shared" si="3"/>
        <v/>
      </c>
      <c r="Y21" s="23" cm="1">
        <f t="array" ref="Y21">_xlfn.IFS($U21="","",AND($AD21&lt;=12,$AD21&gt;10),TIME(0,35,0),AND($AD21&lt;=10,$AD21&gt;5),TIME(0,20,0),AND($AD21&gt;12,$X21&lt;&gt;""),TIME(0,20,0),AND($AD21&gt;12,$X21=""),TIME(0,35,0),AND($AD21&gt;3,$AD21&lt;=5),TIME(0,10,0),$AD21&lt;=3,"")</f>
        <v>2.4305555555555556E-2</v>
      </c>
      <c r="Z21" s="23">
        <f t="shared" si="10"/>
        <v>6.9444444444444441E-3</v>
      </c>
      <c r="AA21" s="23"/>
      <c r="AB21" s="23"/>
      <c r="AC21" s="30"/>
      <c r="AD21" s="24">
        <f t="shared" si="5"/>
        <v>11.999999999999998</v>
      </c>
      <c r="AE21" s="23">
        <f t="shared" si="6"/>
        <v>7.2916666666666671E-2</v>
      </c>
      <c r="AF21" s="25">
        <f t="shared" si="7"/>
        <v>59.999999999999993</v>
      </c>
      <c r="AG21" s="25">
        <f t="shared" si="8"/>
        <v>51.249999999999993</v>
      </c>
      <c r="AH21" s="16">
        <f t="shared" si="9"/>
        <v>0.13015184381778741</v>
      </c>
      <c r="AI21" s="30"/>
      <c r="AJ21" s="14"/>
      <c r="AK21" s="30"/>
      <c r="AL21" s="30"/>
    </row>
    <row r="22" spans="1:38" ht="15" customHeight="1" x14ac:dyDescent="0.3">
      <c r="A22" s="95">
        <v>46028</v>
      </c>
      <c r="B22" s="21">
        <f t="shared" si="1"/>
        <v>1</v>
      </c>
      <c r="C22" s="18" t="s">
        <v>98</v>
      </c>
      <c r="D22" s="14">
        <v>132</v>
      </c>
      <c r="E22" s="14"/>
      <c r="F22" s="14">
        <v>14</v>
      </c>
      <c r="G22" s="14">
        <v>141</v>
      </c>
      <c r="H22" s="14">
        <v>189</v>
      </c>
      <c r="I22" s="14"/>
      <c r="J22" s="14">
        <v>24</v>
      </c>
      <c r="K22" s="14"/>
      <c r="L22" s="14"/>
      <c r="M22" s="14"/>
      <c r="N22" s="14"/>
      <c r="O22" s="14"/>
      <c r="P22" s="14"/>
      <c r="Q22" s="14"/>
      <c r="R22" s="22">
        <f t="shared" si="2"/>
        <v>500</v>
      </c>
      <c r="S22" s="14"/>
      <c r="T22" s="31">
        <f>13+3+6</f>
        <v>22</v>
      </c>
      <c r="U22" s="23">
        <v>0.29166666666666669</v>
      </c>
      <c r="V22" s="23">
        <v>0.79166666666666663</v>
      </c>
      <c r="W22" s="23" cm="1">
        <f t="array" ref="W22">_xlfn.IFS($U22="","",$AD22&gt;=6,TIME(1,0,0),$AD22&lt;=5,"")</f>
        <v>4.1666666666666664E-2</v>
      </c>
      <c r="X22" s="23" t="str">
        <f t="shared" si="3"/>
        <v/>
      </c>
      <c r="Y22" s="23" cm="1">
        <f t="array" ref="Y22">_xlfn.IFS($U22="","",AND($AD22&lt;=12,$AD22&gt;10),TIME(0,35,0),AND($AD22&lt;=10,$AD22&gt;5),TIME(0,20,0),AND($AD22&gt;12,$X22&lt;&gt;""),TIME(0,20,0),AND($AD22&gt;12,$X22=""),TIME(0,35,0),AND($AD22&gt;3,$AD22&lt;=5),TIME(0,10,0),$AD22&lt;=3,"")</f>
        <v>2.4305555555555556E-2</v>
      </c>
      <c r="Z22" s="23">
        <f t="shared" si="10"/>
        <v>6.9444444444444441E-3</v>
      </c>
      <c r="AA22" s="23"/>
      <c r="AB22" s="23"/>
      <c r="AC22" s="30"/>
      <c r="AD22" s="24">
        <f t="shared" si="5"/>
        <v>11.999999999999998</v>
      </c>
      <c r="AE22" s="23">
        <f t="shared" si="6"/>
        <v>7.2916666666666671E-2</v>
      </c>
      <c r="AF22" s="25">
        <f t="shared" si="7"/>
        <v>263.99999999999994</v>
      </c>
      <c r="AG22" s="25">
        <f t="shared" si="8"/>
        <v>225.49999999999997</v>
      </c>
      <c r="AH22" s="16">
        <f t="shared" si="9"/>
        <v>0.52799999999999991</v>
      </c>
      <c r="AI22" s="30"/>
      <c r="AJ22" s="14"/>
      <c r="AK22" s="30"/>
      <c r="AL22" s="30"/>
    </row>
    <row r="23" spans="1:38" ht="15" customHeight="1" x14ac:dyDescent="0.3">
      <c r="A23" s="95">
        <v>46028</v>
      </c>
      <c r="B23" s="21">
        <f t="shared" si="1"/>
        <v>1</v>
      </c>
      <c r="C23" s="18" t="s">
        <v>99</v>
      </c>
      <c r="D23" s="14">
        <v>126</v>
      </c>
      <c r="E23" s="14"/>
      <c r="F23" s="14">
        <f>16+8+11</f>
        <v>35</v>
      </c>
      <c r="G23" s="14">
        <f>153+9</f>
        <v>162</v>
      </c>
      <c r="H23" s="14">
        <f>5+227</f>
        <v>232</v>
      </c>
      <c r="I23" s="14">
        <v>2</v>
      </c>
      <c r="J23" s="14">
        <v>17</v>
      </c>
      <c r="K23" s="14">
        <v>1</v>
      </c>
      <c r="L23" s="14"/>
      <c r="M23" s="14"/>
      <c r="N23" s="14">
        <v>2</v>
      </c>
      <c r="O23" s="14"/>
      <c r="P23" s="14"/>
      <c r="Q23" s="14">
        <v>4</v>
      </c>
      <c r="R23" s="22">
        <f t="shared" si="2"/>
        <v>581</v>
      </c>
      <c r="S23" s="14"/>
      <c r="T23" s="31">
        <f>23</f>
        <v>23</v>
      </c>
      <c r="U23" s="23">
        <v>0.29166666666666669</v>
      </c>
      <c r="V23" s="23">
        <v>0.875</v>
      </c>
      <c r="W23" s="23" cm="1">
        <f t="array" ref="W23">_xlfn.IFS($U23="","",$AD23&gt;=6,TIME(1,0,0),$AD23&lt;=5,"")</f>
        <v>4.1666666666666664E-2</v>
      </c>
      <c r="X23" s="23">
        <f t="shared" si="3"/>
        <v>4.1666666666666664E-2</v>
      </c>
      <c r="Y23" s="23" cm="1">
        <f t="array" ref="Y23">_xlfn.IFS($U23="","",AND($AD23&lt;=12,$AD23&gt;10),TIME(0,35,0),AND($AD23&lt;=10,$AD23&gt;5),TIME(0,20,0),AND($AD23&gt;12,$X23&lt;&gt;""),TIME(0,20,0),AND($AD23&gt;12,$X23=""),TIME(0,35,0),AND($AD23&gt;3,$AD23&lt;=5),TIME(0,10,0),$AD23&lt;=3,"")</f>
        <v>1.3888888888888888E-2</v>
      </c>
      <c r="Z23" s="23">
        <f t="shared" si="10"/>
        <v>6.9444444444444441E-3</v>
      </c>
      <c r="AA23" s="23"/>
      <c r="AB23" s="23"/>
      <c r="AC23" s="30"/>
      <c r="AD23" s="24">
        <f t="shared" si="5"/>
        <v>13.999999999999998</v>
      </c>
      <c r="AE23" s="23">
        <f t="shared" si="6"/>
        <v>0.10416666666666666</v>
      </c>
      <c r="AF23" s="25">
        <f t="shared" si="7"/>
        <v>321.99999999999994</v>
      </c>
      <c r="AG23" s="25">
        <f t="shared" si="8"/>
        <v>264.49999999999994</v>
      </c>
      <c r="AH23" s="16">
        <f t="shared" si="9"/>
        <v>0.55421686746987942</v>
      </c>
      <c r="AI23" s="16">
        <f>IF(COUNTIF(A20:A23,A20)=4,1/SUM(AH20:AH23),"")</f>
        <v>0.58748723982278672</v>
      </c>
      <c r="AJ23" s="14"/>
      <c r="AK23" s="30"/>
      <c r="AL23" s="30" t="s">
        <v>107</v>
      </c>
    </row>
    <row r="24" spans="1:38" ht="15" customHeight="1" x14ac:dyDescent="0.3">
      <c r="A24" s="78">
        <v>46029</v>
      </c>
      <c r="B24" s="21">
        <f t="shared" si="1"/>
        <v>1</v>
      </c>
      <c r="C24" s="18" t="s">
        <v>96</v>
      </c>
      <c r="D24" s="14">
        <v>200</v>
      </c>
      <c r="E24" s="14"/>
      <c r="F24" s="14">
        <v>40</v>
      </c>
      <c r="G24" s="14">
        <v>80</v>
      </c>
      <c r="H24" s="14">
        <v>200</v>
      </c>
      <c r="I24" s="14"/>
      <c r="J24" s="14"/>
      <c r="K24" s="14"/>
      <c r="L24" s="14"/>
      <c r="M24" s="14"/>
      <c r="N24" s="14"/>
      <c r="O24" s="14"/>
      <c r="P24" s="14"/>
      <c r="Q24" s="14"/>
      <c r="R24" s="22">
        <f t="shared" si="2"/>
        <v>520</v>
      </c>
      <c r="S24" s="14"/>
      <c r="T24" s="31">
        <f>14+3+4-4</f>
        <v>17</v>
      </c>
      <c r="U24" s="23">
        <v>0.29166666666666669</v>
      </c>
      <c r="V24" s="23">
        <v>0.79166666666666663</v>
      </c>
      <c r="W24" s="23" cm="1">
        <f t="array" ref="W24">_xlfn.IFS($U24="","",$AD24&gt;=6,TIME(1,0,0),$AD24&lt;=5,"")</f>
        <v>4.1666666666666664E-2</v>
      </c>
      <c r="X24" s="23" t="str">
        <f t="shared" si="3"/>
        <v/>
      </c>
      <c r="Y24" s="23" cm="1">
        <f t="array" ref="Y24">_xlfn.IFS($U24="","",AND($AD24&lt;=12,$AD24&gt;10),TIME(0,35,0),AND($AD24&lt;=10,$AD24&gt;5),TIME(0,20,0),AND($AD24&gt;12,$X24&lt;&gt;""),TIME(0,20,0),AND($AD24&gt;12,$X24=""),TIME(0,35,0),AND($AD24&gt;3,$AD24&lt;=5),TIME(0,10,0),$AD24&lt;=3,"")</f>
        <v>2.4305555555555556E-2</v>
      </c>
      <c r="Z24" s="23">
        <f t="shared" si="10"/>
        <v>6.9444444444444441E-3</v>
      </c>
      <c r="AA24" s="23"/>
      <c r="AB24" s="23"/>
      <c r="AC24" s="30"/>
      <c r="AD24" s="24">
        <f t="shared" si="5"/>
        <v>11.999999999999998</v>
      </c>
      <c r="AE24" s="23">
        <f t="shared" si="6"/>
        <v>7.2916666666666671E-2</v>
      </c>
      <c r="AF24" s="25">
        <f t="shared" si="7"/>
        <v>203.99999999999997</v>
      </c>
      <c r="AG24" s="25">
        <f t="shared" si="8"/>
        <v>174.24999999999997</v>
      </c>
      <c r="AH24" s="16">
        <f t="shared" si="9"/>
        <v>0.39230769230769225</v>
      </c>
      <c r="AI24" s="30"/>
      <c r="AJ24" s="14"/>
      <c r="AK24" s="30"/>
      <c r="AL24" s="30" t="s">
        <v>108</v>
      </c>
    </row>
    <row r="25" spans="1:38" ht="15" customHeight="1" x14ac:dyDescent="0.3">
      <c r="A25" s="78">
        <v>46029</v>
      </c>
      <c r="B25" s="21">
        <f t="shared" si="1"/>
        <v>1</v>
      </c>
      <c r="C25" s="18" t="s">
        <v>97</v>
      </c>
      <c r="D25" s="14">
        <v>153</v>
      </c>
      <c r="E25" s="14"/>
      <c r="F25" s="14"/>
      <c r="G25" s="14">
        <v>113</v>
      </c>
      <c r="H25" s="14">
        <v>202</v>
      </c>
      <c r="I25" s="14"/>
      <c r="J25" s="14"/>
      <c r="K25" s="14"/>
      <c r="L25" s="14"/>
      <c r="M25" s="14"/>
      <c r="N25" s="14"/>
      <c r="O25" s="14"/>
      <c r="P25" s="14"/>
      <c r="Q25" s="14"/>
      <c r="R25" s="22">
        <f t="shared" si="2"/>
        <v>468</v>
      </c>
      <c r="S25" s="14"/>
      <c r="T25" s="31">
        <f>1+4</f>
        <v>5</v>
      </c>
      <c r="U25" s="23">
        <v>0.29166666666666669</v>
      </c>
      <c r="V25" s="23">
        <v>0.79166666666666663</v>
      </c>
      <c r="W25" s="23" cm="1">
        <f t="array" ref="W25">_xlfn.IFS($U25="","",$AD25&gt;=6,TIME(1,0,0),$AD25&lt;=5,"")</f>
        <v>4.1666666666666664E-2</v>
      </c>
      <c r="X25" s="23" t="str">
        <f t="shared" si="3"/>
        <v/>
      </c>
      <c r="Y25" s="23" cm="1">
        <f t="array" ref="Y25">_xlfn.IFS($U25="","",AND($AD25&lt;=12,$AD25&gt;10),TIME(0,35,0),AND($AD25&lt;=10,$AD25&gt;5),TIME(0,20,0),AND($AD25&gt;12,$X25&lt;&gt;""),TIME(0,20,0),AND($AD25&gt;12,$X25=""),TIME(0,35,0),AND($AD25&gt;3,$AD25&lt;=5),TIME(0,10,0),$AD25&lt;=3,"")</f>
        <v>2.4305555555555556E-2</v>
      </c>
      <c r="Z25" s="23">
        <f t="shared" si="10"/>
        <v>6.9444444444444441E-3</v>
      </c>
      <c r="AA25" s="23"/>
      <c r="AB25" s="23"/>
      <c r="AC25" s="30"/>
      <c r="AD25" s="24">
        <f t="shared" si="5"/>
        <v>11.999999999999998</v>
      </c>
      <c r="AE25" s="23">
        <f t="shared" si="6"/>
        <v>7.2916666666666671E-2</v>
      </c>
      <c r="AF25" s="25">
        <f t="shared" si="7"/>
        <v>59.999999999999993</v>
      </c>
      <c r="AG25" s="25">
        <f t="shared" si="8"/>
        <v>51.249999999999993</v>
      </c>
      <c r="AH25" s="16">
        <f t="shared" si="9"/>
        <v>0.12820512820512819</v>
      </c>
      <c r="AI25" s="30"/>
      <c r="AJ25" s="14"/>
      <c r="AK25" s="30"/>
      <c r="AL25" s="30"/>
    </row>
    <row r="26" spans="1:38" ht="15" customHeight="1" x14ac:dyDescent="0.3">
      <c r="A26" s="78">
        <v>46029</v>
      </c>
      <c r="B26" s="21">
        <f t="shared" si="1"/>
        <v>1</v>
      </c>
      <c r="C26" s="18" t="s">
        <v>98</v>
      </c>
      <c r="D26" s="14">
        <f>130+4</f>
        <v>134</v>
      </c>
      <c r="E26" s="14"/>
      <c r="F26" s="14"/>
      <c r="G26" s="14">
        <v>117</v>
      </c>
      <c r="H26" s="14">
        <f>31+97</f>
        <v>128</v>
      </c>
      <c r="I26" s="14">
        <v>2</v>
      </c>
      <c r="J26" s="14">
        <v>116</v>
      </c>
      <c r="K26" s="14"/>
      <c r="L26" s="14"/>
      <c r="M26" s="14"/>
      <c r="N26" s="14"/>
      <c r="O26" s="14"/>
      <c r="P26" s="14">
        <v>2</v>
      </c>
      <c r="Q26" s="14">
        <v>1</v>
      </c>
      <c r="R26" s="22">
        <f t="shared" si="2"/>
        <v>500</v>
      </c>
      <c r="S26" s="14"/>
      <c r="T26" s="31">
        <f>13+3+3+6</f>
        <v>25</v>
      </c>
      <c r="U26" s="23">
        <v>0.29166666666666669</v>
      </c>
      <c r="V26" s="23">
        <v>0.79166666666666663</v>
      </c>
      <c r="W26" s="23" cm="1">
        <f t="array" ref="W26">_xlfn.IFS($U26="","",$AD26&gt;=6,TIME(1,0,0),$AD26&lt;=5,"")</f>
        <v>4.1666666666666664E-2</v>
      </c>
      <c r="X26" s="23" t="str">
        <f t="shared" si="3"/>
        <v/>
      </c>
      <c r="Y26" s="23" cm="1">
        <f t="array" ref="Y26">_xlfn.IFS($U26="","",AND($AD26&lt;=12,$AD26&gt;10),TIME(0,35,0),AND($AD26&lt;=10,$AD26&gt;5),TIME(0,20,0),AND($AD26&gt;12,$X26&lt;&gt;""),TIME(0,20,0),AND($AD26&gt;12,$X26=""),TIME(0,35,0),AND($AD26&gt;3,$AD26&lt;=5),TIME(0,10,0),$AD26&lt;=3,"")</f>
        <v>2.4305555555555556E-2</v>
      </c>
      <c r="Z26" s="23">
        <f t="shared" si="10"/>
        <v>6.9444444444444441E-3</v>
      </c>
      <c r="AA26" s="23"/>
      <c r="AB26" s="23"/>
      <c r="AC26" s="30"/>
      <c r="AD26" s="24">
        <f t="shared" si="5"/>
        <v>11.999999999999998</v>
      </c>
      <c r="AE26" s="23">
        <f t="shared" si="6"/>
        <v>7.2916666666666671E-2</v>
      </c>
      <c r="AF26" s="25">
        <f t="shared" si="7"/>
        <v>299.99999999999994</v>
      </c>
      <c r="AG26" s="25">
        <f t="shared" si="8"/>
        <v>256.24999999999994</v>
      </c>
      <c r="AH26" s="16">
        <f t="shared" si="9"/>
        <v>0.59999999999999987</v>
      </c>
      <c r="AI26" s="30"/>
      <c r="AJ26" s="14"/>
      <c r="AK26" s="30"/>
      <c r="AL26" s="30"/>
    </row>
    <row r="27" spans="1:38" ht="15" customHeight="1" x14ac:dyDescent="0.3">
      <c r="A27" s="78">
        <v>46029</v>
      </c>
      <c r="B27" s="21">
        <f t="shared" si="1"/>
        <v>1</v>
      </c>
      <c r="C27" s="18" t="s">
        <v>99</v>
      </c>
      <c r="D27" s="14">
        <f>19+81</f>
        <v>100</v>
      </c>
      <c r="E27" s="14"/>
      <c r="F27" s="14">
        <v>2</v>
      </c>
      <c r="G27" s="14">
        <f>92+12</f>
        <v>104</v>
      </c>
      <c r="H27" s="14">
        <v>136</v>
      </c>
      <c r="I27" s="14">
        <v>2</v>
      </c>
      <c r="J27" s="14">
        <v>47</v>
      </c>
      <c r="K27" s="14">
        <v>1</v>
      </c>
      <c r="L27" s="14"/>
      <c r="M27" s="14"/>
      <c r="N27" s="14"/>
      <c r="O27" s="14"/>
      <c r="P27" s="14">
        <v>4</v>
      </c>
      <c r="Q27" s="14">
        <v>5</v>
      </c>
      <c r="R27" s="22">
        <f t="shared" si="2"/>
        <v>401</v>
      </c>
      <c r="S27" s="14"/>
      <c r="T27" s="31">
        <f>8+10+3</f>
        <v>21</v>
      </c>
      <c r="U27" s="23">
        <v>0.29166666666666669</v>
      </c>
      <c r="V27" s="23">
        <v>0.79166666666666663</v>
      </c>
      <c r="W27" s="23" cm="1">
        <f t="array" ref="W27">_xlfn.IFS($U27="","",$AD27&gt;=6,TIME(1,0,0),$AD27&lt;=5,"")</f>
        <v>4.1666666666666664E-2</v>
      </c>
      <c r="X27" s="23" t="str">
        <f t="shared" si="3"/>
        <v/>
      </c>
      <c r="Y27" s="23" cm="1">
        <f t="array" ref="Y27">_xlfn.IFS($U27="","",AND($AD27&lt;=12,$AD27&gt;10),TIME(0,35,0),AND($AD27&lt;=10,$AD27&gt;5),TIME(0,20,0),AND($AD27&gt;12,$X27&lt;&gt;""),TIME(0,20,0),AND($AD27&gt;12,$X27=""),TIME(0,35,0),AND($AD27&gt;3,$AD27&lt;=5),TIME(0,10,0),$AD27&lt;=3,"")</f>
        <v>2.4305555555555556E-2</v>
      </c>
      <c r="Z27" s="23">
        <f t="shared" si="10"/>
        <v>6.9444444444444441E-3</v>
      </c>
      <c r="AA27" s="23"/>
      <c r="AB27" s="23"/>
      <c r="AC27" s="30"/>
      <c r="AD27" s="24">
        <f t="shared" si="5"/>
        <v>11.999999999999998</v>
      </c>
      <c r="AE27" s="23">
        <f t="shared" si="6"/>
        <v>7.2916666666666671E-2</v>
      </c>
      <c r="AF27" s="25">
        <f t="shared" si="7"/>
        <v>251.99999999999997</v>
      </c>
      <c r="AG27" s="25">
        <f t="shared" si="8"/>
        <v>215.24999999999997</v>
      </c>
      <c r="AH27" s="16">
        <f t="shared" si="9"/>
        <v>0.62842892768079794</v>
      </c>
      <c r="AI27" s="16">
        <f>IF(COUNTIF(A24:A27,A24)=4,1/SUM(AH24:AH27),"")</f>
        <v>0.57177433212560835</v>
      </c>
      <c r="AJ27" s="14"/>
      <c r="AK27" s="30"/>
      <c r="AL27" s="30" t="s">
        <v>109</v>
      </c>
    </row>
    <row r="28" spans="1:38" ht="15" customHeight="1" x14ac:dyDescent="0.3">
      <c r="A28" s="95">
        <v>46030</v>
      </c>
      <c r="B28" s="21">
        <f t="shared" si="1"/>
        <v>1</v>
      </c>
      <c r="C28" s="18" t="s">
        <v>96</v>
      </c>
      <c r="D28" s="14"/>
      <c r="E28" s="14"/>
      <c r="F28" s="14">
        <v>173</v>
      </c>
      <c r="G28" s="14"/>
      <c r="H28" s="14"/>
      <c r="I28" s="14"/>
      <c r="J28" s="14">
        <v>250</v>
      </c>
      <c r="K28" s="14"/>
      <c r="L28" s="14"/>
      <c r="M28" s="14"/>
      <c r="N28" s="14"/>
      <c r="O28" s="14"/>
      <c r="P28" s="14"/>
      <c r="Q28" s="14"/>
      <c r="R28" s="22">
        <f t="shared" si="2"/>
        <v>423</v>
      </c>
      <c r="S28" s="14"/>
      <c r="T28" s="31">
        <f>14+3+4-4</f>
        <v>17</v>
      </c>
      <c r="U28" s="23">
        <v>0.29166666666666669</v>
      </c>
      <c r="V28" s="23">
        <v>0.79166666666666663</v>
      </c>
      <c r="W28" s="23" cm="1">
        <f t="array" ref="W28">_xlfn.IFS($U28="","",$AD28&gt;=6,TIME(1,0,0),$AD28&lt;=5,"")</f>
        <v>4.1666666666666664E-2</v>
      </c>
      <c r="X28" s="23" t="str">
        <f t="shared" si="3"/>
        <v/>
      </c>
      <c r="Y28" s="23" cm="1">
        <f t="array" ref="Y28">_xlfn.IFS($U28="","",AND($AD28&lt;=12,$AD28&gt;10),TIME(0,35,0),AND($AD28&lt;=10,$AD28&gt;5),TIME(0,20,0),AND($AD28&gt;12,$X28&lt;&gt;""),TIME(0,20,0),AND($AD28&gt;12,$X28=""),TIME(0,35,0),AND($AD28&gt;3,$AD28&lt;=5),TIME(0,10,0),$AD28&lt;=3,"")</f>
        <v>2.4305555555555556E-2</v>
      </c>
      <c r="Z28" s="23">
        <f t="shared" si="10"/>
        <v>6.9444444444444441E-3</v>
      </c>
      <c r="AA28" s="23"/>
      <c r="AB28" s="23"/>
      <c r="AC28" s="30"/>
      <c r="AD28" s="24">
        <f t="shared" si="5"/>
        <v>11.999999999999998</v>
      </c>
      <c r="AE28" s="23">
        <f t="shared" si="6"/>
        <v>7.2916666666666671E-2</v>
      </c>
      <c r="AF28" s="25">
        <f t="shared" si="7"/>
        <v>203.99999999999997</v>
      </c>
      <c r="AG28" s="25">
        <f t="shared" si="8"/>
        <v>174.24999999999997</v>
      </c>
      <c r="AH28" s="16">
        <f t="shared" si="9"/>
        <v>0.48226950354609921</v>
      </c>
      <c r="AI28" s="30"/>
      <c r="AJ28" s="14"/>
      <c r="AK28" s="30"/>
      <c r="AL28" s="30" t="s">
        <v>108</v>
      </c>
    </row>
    <row r="29" spans="1:38" ht="15" customHeight="1" x14ac:dyDescent="0.3">
      <c r="A29" s="95">
        <v>46030</v>
      </c>
      <c r="B29" s="21">
        <f t="shared" si="1"/>
        <v>1</v>
      </c>
      <c r="C29" s="18" t="s">
        <v>97</v>
      </c>
      <c r="D29" s="14">
        <v>45</v>
      </c>
      <c r="E29" s="14"/>
      <c r="F29" s="14">
        <v>171</v>
      </c>
      <c r="G29" s="14"/>
      <c r="H29" s="14">
        <v>98</v>
      </c>
      <c r="I29" s="14"/>
      <c r="J29" s="14">
        <v>135</v>
      </c>
      <c r="K29" s="14"/>
      <c r="L29" s="14"/>
      <c r="M29" s="14"/>
      <c r="N29" s="14"/>
      <c r="O29" s="14"/>
      <c r="P29" s="14"/>
      <c r="Q29" s="14"/>
      <c r="R29" s="22">
        <f t="shared" si="2"/>
        <v>449</v>
      </c>
      <c r="S29" s="14"/>
      <c r="T29" s="31">
        <f>1+4</f>
        <v>5</v>
      </c>
      <c r="U29" s="23">
        <v>0.29166666666666669</v>
      </c>
      <c r="V29" s="23">
        <v>0.79166666666666663</v>
      </c>
      <c r="W29" s="23" cm="1">
        <f t="array" ref="W29">_xlfn.IFS($U29="","",$AD29&gt;=6,TIME(1,0,0),$AD29&lt;=5,"")</f>
        <v>4.1666666666666664E-2</v>
      </c>
      <c r="X29" s="23" t="str">
        <f t="shared" si="3"/>
        <v/>
      </c>
      <c r="Y29" s="23" cm="1">
        <f t="array" ref="Y29">_xlfn.IFS($U29="","",AND($AD29&lt;=12,$AD29&gt;10),TIME(0,35,0),AND($AD29&lt;=10,$AD29&gt;5),TIME(0,20,0),AND($AD29&gt;12,$X29&lt;&gt;""),TIME(0,20,0),AND($AD29&gt;12,$X29=""),TIME(0,35,0),AND($AD29&gt;3,$AD29&lt;=5),TIME(0,10,0),$AD29&lt;=3,"")</f>
        <v>2.4305555555555556E-2</v>
      </c>
      <c r="Z29" s="23">
        <f t="shared" si="10"/>
        <v>6.9444444444444441E-3</v>
      </c>
      <c r="AA29" s="23"/>
      <c r="AB29" s="23"/>
      <c r="AC29" s="30"/>
      <c r="AD29" s="24">
        <f t="shared" si="5"/>
        <v>11.999999999999998</v>
      </c>
      <c r="AE29" s="23">
        <f t="shared" si="6"/>
        <v>7.2916666666666671E-2</v>
      </c>
      <c r="AF29" s="25">
        <f t="shared" si="7"/>
        <v>59.999999999999993</v>
      </c>
      <c r="AG29" s="25">
        <f t="shared" si="8"/>
        <v>51.249999999999993</v>
      </c>
      <c r="AH29" s="16">
        <f t="shared" si="9"/>
        <v>0.13363028953229397</v>
      </c>
      <c r="AI29" s="30"/>
      <c r="AJ29" s="14"/>
      <c r="AK29" s="30"/>
      <c r="AL29" s="30"/>
    </row>
    <row r="30" spans="1:38" ht="15" customHeight="1" x14ac:dyDescent="0.3">
      <c r="A30" s="95">
        <v>46030</v>
      </c>
      <c r="B30" s="21">
        <f t="shared" si="1"/>
        <v>1</v>
      </c>
      <c r="C30" s="18" t="s">
        <v>98</v>
      </c>
      <c r="D30" s="14">
        <v>108</v>
      </c>
      <c r="E30" s="14"/>
      <c r="F30" s="14">
        <v>115</v>
      </c>
      <c r="G30" s="14">
        <v>16</v>
      </c>
      <c r="H30" s="14">
        <f>145+4</f>
        <v>149</v>
      </c>
      <c r="I30" s="14"/>
      <c r="J30" s="14">
        <v>120</v>
      </c>
      <c r="K30" s="14">
        <v>2</v>
      </c>
      <c r="L30" s="14"/>
      <c r="M30" s="14"/>
      <c r="N30" s="14">
        <v>1</v>
      </c>
      <c r="O30" s="14"/>
      <c r="P30" s="14"/>
      <c r="Q30" s="14"/>
      <c r="R30" s="22">
        <f t="shared" si="2"/>
        <v>511</v>
      </c>
      <c r="S30" s="14"/>
      <c r="T30" s="31">
        <f>13+3+3+6</f>
        <v>25</v>
      </c>
      <c r="U30" s="23">
        <v>0.29166666666666669</v>
      </c>
      <c r="V30" s="23">
        <v>0.79166666666666663</v>
      </c>
      <c r="W30" s="23" cm="1">
        <f t="array" ref="W30">_xlfn.IFS($U30="","",$AD30&gt;=6,TIME(1,0,0),$AD30&lt;=5,"")</f>
        <v>4.1666666666666664E-2</v>
      </c>
      <c r="X30" s="23" t="str">
        <f t="shared" si="3"/>
        <v/>
      </c>
      <c r="Y30" s="23" cm="1">
        <f t="array" ref="Y30">_xlfn.IFS($U30="","",AND($AD30&lt;=12,$AD30&gt;10),TIME(0,35,0),AND($AD30&lt;=10,$AD30&gt;5),TIME(0,20,0),AND($AD30&gt;12,$X30&lt;&gt;""),TIME(0,20,0),AND($AD30&gt;12,$X30=""),TIME(0,35,0),AND($AD30&gt;3,$AD30&lt;=5),TIME(0,10,0),$AD30&lt;=3,"")</f>
        <v>2.4305555555555556E-2</v>
      </c>
      <c r="Z30" s="23">
        <f t="shared" si="10"/>
        <v>6.9444444444444441E-3</v>
      </c>
      <c r="AA30" s="23"/>
      <c r="AB30" s="23"/>
      <c r="AC30" s="30"/>
      <c r="AD30" s="24">
        <f t="shared" si="5"/>
        <v>11.999999999999998</v>
      </c>
      <c r="AE30" s="23">
        <f t="shared" si="6"/>
        <v>7.2916666666666671E-2</v>
      </c>
      <c r="AF30" s="25">
        <f t="shared" si="7"/>
        <v>299.99999999999994</v>
      </c>
      <c r="AG30" s="25">
        <f t="shared" si="8"/>
        <v>256.24999999999994</v>
      </c>
      <c r="AH30" s="16">
        <f t="shared" si="9"/>
        <v>0.5870841487279842</v>
      </c>
      <c r="AI30" s="30"/>
      <c r="AJ30" s="14"/>
      <c r="AK30" s="30"/>
      <c r="AL30" s="30"/>
    </row>
    <row r="31" spans="1:38" ht="15" customHeight="1" x14ac:dyDescent="0.3">
      <c r="A31" s="95">
        <v>46030</v>
      </c>
      <c r="B31" s="21">
        <f t="shared" si="1"/>
        <v>1</v>
      </c>
      <c r="C31" s="18" t="s">
        <v>99</v>
      </c>
      <c r="D31" s="14">
        <v>158</v>
      </c>
      <c r="E31" s="14"/>
      <c r="F31" s="14">
        <f>12+21</f>
        <v>33</v>
      </c>
      <c r="G31" s="14">
        <f>1+82</f>
        <v>83</v>
      </c>
      <c r="H31" s="14">
        <f>29+75</f>
        <v>104</v>
      </c>
      <c r="I31" s="14"/>
      <c r="J31" s="14">
        <v>52</v>
      </c>
      <c r="K31" s="14"/>
      <c r="L31" s="14"/>
      <c r="M31" s="14"/>
      <c r="N31" s="14"/>
      <c r="O31" s="14"/>
      <c r="P31" s="14"/>
      <c r="Q31" s="14"/>
      <c r="R31" s="22">
        <f t="shared" si="2"/>
        <v>430</v>
      </c>
      <c r="S31" s="14"/>
      <c r="T31" s="31">
        <f>8+10+3</f>
        <v>21</v>
      </c>
      <c r="U31" s="23">
        <v>0.29166666666666669</v>
      </c>
      <c r="V31" s="23">
        <v>0.79166666666666663</v>
      </c>
      <c r="W31" s="23" cm="1">
        <f t="array" ref="W31">_xlfn.IFS($U31="","",$AD31&gt;=6,TIME(1,0,0),$AD31&lt;=5,"")</f>
        <v>4.1666666666666664E-2</v>
      </c>
      <c r="X31" s="23" t="str">
        <f t="shared" ref="X31:X45" si="11">IF($V31&gt;=TIME(21,0,0),TIME(1,0,0),"")</f>
        <v/>
      </c>
      <c r="Y31" s="23" cm="1">
        <f t="array" ref="Y31">_xlfn.IFS($U31="","",AND($AD31&lt;=12,$AD31&gt;10),TIME(0,35,0),AND($AD31&lt;=10,$AD31&gt;5),TIME(0,20,0),AND($AD31&gt;12,$X31&lt;&gt;""),TIME(0,20,0),AND($AD31&gt;12,$X31=""),TIME(0,35,0),AND($AD31&gt;3,$AD31&lt;=5),TIME(0,10,0),$AD31&lt;=3,"")</f>
        <v>2.4305555555555556E-2</v>
      </c>
      <c r="Z31" s="23">
        <f t="shared" si="10"/>
        <v>6.9444444444444441E-3</v>
      </c>
      <c r="AA31" s="23"/>
      <c r="AB31" s="23"/>
      <c r="AC31" s="30"/>
      <c r="AD31" s="24">
        <f t="shared" si="5"/>
        <v>11.999999999999998</v>
      </c>
      <c r="AE31" s="23">
        <f t="shared" si="6"/>
        <v>7.2916666666666671E-2</v>
      </c>
      <c r="AF31" s="25">
        <f t="shared" si="7"/>
        <v>251.99999999999997</v>
      </c>
      <c r="AG31" s="25">
        <f t="shared" si="8"/>
        <v>215.24999999999997</v>
      </c>
      <c r="AH31" s="16">
        <f t="shared" si="9"/>
        <v>0.58604651162790689</v>
      </c>
      <c r="AI31" s="16">
        <f>IF(COUNTIF(A28:A31,A28)=4,1/SUM(AH28:AH31),"")</f>
        <v>0.55896197746682608</v>
      </c>
      <c r="AJ31" s="14"/>
      <c r="AK31" s="30"/>
      <c r="AL31" s="30"/>
    </row>
    <row r="32" spans="1:38" ht="15" customHeight="1" x14ac:dyDescent="0.3">
      <c r="A32" s="78">
        <v>46031</v>
      </c>
      <c r="B32" s="21">
        <f t="shared" si="1"/>
        <v>1</v>
      </c>
      <c r="C32" s="18" t="s">
        <v>96</v>
      </c>
      <c r="D32" s="14"/>
      <c r="E32" s="14"/>
      <c r="F32" s="14">
        <f>217+2</f>
        <v>219</v>
      </c>
      <c r="G32" s="14"/>
      <c r="H32" s="14"/>
      <c r="I32" s="14"/>
      <c r="J32" s="14">
        <v>180</v>
      </c>
      <c r="K32" s="14"/>
      <c r="L32" s="14"/>
      <c r="M32" s="14"/>
      <c r="N32" s="14"/>
      <c r="O32" s="14"/>
      <c r="P32" s="14"/>
      <c r="Q32" s="14"/>
      <c r="R32" s="22">
        <f t="shared" si="2"/>
        <v>399</v>
      </c>
      <c r="S32" s="14"/>
      <c r="T32" s="31">
        <f>14+2+4-3-1</f>
        <v>16</v>
      </c>
      <c r="U32" s="23">
        <v>0.29166666666666669</v>
      </c>
      <c r="V32" s="23">
        <v>0.79166666666666663</v>
      </c>
      <c r="W32" s="23" cm="1">
        <f t="array" ref="W32">_xlfn.IFS($U32="","",$AD32&gt;=6,TIME(1,0,0),$AD32&lt;=5,"")</f>
        <v>4.1666666666666664E-2</v>
      </c>
      <c r="X32" s="23" t="str">
        <f t="shared" si="11"/>
        <v/>
      </c>
      <c r="Y32" s="23" cm="1">
        <f t="array" ref="Y32">_xlfn.IFS($U32="","",AND($AD32&lt;=12,$AD32&gt;10),TIME(0,35,0),AND($AD32&lt;=10,$AD32&gt;5),TIME(0,20,0),AND($AD32&gt;12,$X32&lt;&gt;""),TIME(0,20,0),AND($AD32&gt;12,$X32=""),TIME(0,35,0),AND($AD32&gt;3,$AD32&lt;=5),TIME(0,10,0),$AD32&lt;=3,"")</f>
        <v>2.4305555555555556E-2</v>
      </c>
      <c r="Z32" s="23">
        <f t="shared" si="10"/>
        <v>6.9444444444444441E-3</v>
      </c>
      <c r="AA32" s="23"/>
      <c r="AB32" s="23"/>
      <c r="AC32" s="30"/>
      <c r="AD32" s="24">
        <f t="shared" si="5"/>
        <v>11.999999999999998</v>
      </c>
      <c r="AE32" s="23">
        <f t="shared" si="6"/>
        <v>7.2916666666666671E-2</v>
      </c>
      <c r="AF32" s="25">
        <f t="shared" si="7"/>
        <v>191.99999999999997</v>
      </c>
      <c r="AG32" s="25">
        <f t="shared" si="8"/>
        <v>163.99999999999997</v>
      </c>
      <c r="AH32" s="16">
        <f t="shared" si="9"/>
        <v>0.48120300751879691</v>
      </c>
      <c r="AI32" s="30"/>
      <c r="AJ32" s="14"/>
      <c r="AK32" s="30"/>
      <c r="AL32" s="30" t="s">
        <v>110</v>
      </c>
    </row>
    <row r="33" spans="1:38" ht="15" customHeight="1" x14ac:dyDescent="0.3">
      <c r="A33" s="78">
        <v>46031</v>
      </c>
      <c r="B33" s="21">
        <f t="shared" ref="B33:B90" si="12">IF($A33="","",MONTH(A33))</f>
        <v>1</v>
      </c>
      <c r="C33" s="18" t="s">
        <v>97</v>
      </c>
      <c r="D33" s="14"/>
      <c r="E33" s="14"/>
      <c r="F33" s="14">
        <v>222</v>
      </c>
      <c r="G33" s="14"/>
      <c r="H33" s="14"/>
      <c r="I33" s="14"/>
      <c r="J33" s="14">
        <v>255</v>
      </c>
      <c r="K33" s="14"/>
      <c r="L33" s="14"/>
      <c r="M33" s="14"/>
      <c r="N33" s="14"/>
      <c r="O33" s="14"/>
      <c r="P33" s="14"/>
      <c r="Q33" s="14"/>
      <c r="R33" s="22">
        <f t="shared" si="2"/>
        <v>477</v>
      </c>
      <c r="S33" s="14"/>
      <c r="T33" s="31">
        <f>1+4</f>
        <v>5</v>
      </c>
      <c r="U33" s="23">
        <v>0.29166666666666669</v>
      </c>
      <c r="V33" s="23">
        <v>0.79166666666666663</v>
      </c>
      <c r="W33" s="23" cm="1">
        <f t="array" ref="W33">_xlfn.IFS($U33="","",$AD33&gt;=6,TIME(1,0,0),$AD33&lt;=5,"")</f>
        <v>4.1666666666666664E-2</v>
      </c>
      <c r="X33" s="23" t="str">
        <f t="shared" si="11"/>
        <v/>
      </c>
      <c r="Y33" s="23" cm="1">
        <f t="array" ref="Y33">_xlfn.IFS($U33="","",AND($AD33&lt;=12,$AD33&gt;10),TIME(0,35,0),AND($AD33&lt;=10,$AD33&gt;5),TIME(0,20,0),AND($AD33&gt;12,$X33&lt;&gt;""),TIME(0,20,0),AND($AD33&gt;12,$X33=""),TIME(0,35,0),AND($AD33&gt;3,$AD33&lt;=5),TIME(0,10,0),$AD33&lt;=3,"")</f>
        <v>2.4305555555555556E-2</v>
      </c>
      <c r="Z33" s="23">
        <f t="shared" si="10"/>
        <v>6.9444444444444441E-3</v>
      </c>
      <c r="AA33" s="23"/>
      <c r="AB33" s="23"/>
      <c r="AC33" s="30"/>
      <c r="AD33" s="24">
        <f t="shared" si="5"/>
        <v>11.999999999999998</v>
      </c>
      <c r="AE33" s="23">
        <f t="shared" si="6"/>
        <v>7.2916666666666671E-2</v>
      </c>
      <c r="AF33" s="25">
        <f t="shared" si="7"/>
        <v>59.999999999999993</v>
      </c>
      <c r="AG33" s="25">
        <f t="shared" si="8"/>
        <v>51.249999999999993</v>
      </c>
      <c r="AH33" s="16">
        <f t="shared" si="9"/>
        <v>0.12578616352201255</v>
      </c>
      <c r="AI33" s="30"/>
      <c r="AJ33" s="14"/>
      <c r="AK33" s="30"/>
      <c r="AL33" s="30"/>
    </row>
    <row r="34" spans="1:38" ht="15" customHeight="1" x14ac:dyDescent="0.3">
      <c r="A34" s="78">
        <v>46031</v>
      </c>
      <c r="B34" s="21">
        <f t="shared" si="12"/>
        <v>1</v>
      </c>
      <c r="C34" s="18" t="s">
        <v>98</v>
      </c>
      <c r="D34" s="14">
        <v>4</v>
      </c>
      <c r="E34" s="14"/>
      <c r="F34" s="14">
        <v>188</v>
      </c>
      <c r="G34" s="14"/>
      <c r="H34" s="14">
        <v>3</v>
      </c>
      <c r="I34" s="14"/>
      <c r="J34" s="14">
        <v>144</v>
      </c>
      <c r="K34" s="14"/>
      <c r="L34" s="14"/>
      <c r="M34" s="14"/>
      <c r="N34" s="14"/>
      <c r="O34" s="14"/>
      <c r="P34" s="14"/>
      <c r="Q34" s="14"/>
      <c r="R34" s="22">
        <f t="shared" si="2"/>
        <v>339</v>
      </c>
      <c r="S34" s="14"/>
      <c r="T34" s="31">
        <f>13+4+3+6</f>
        <v>26</v>
      </c>
      <c r="U34" s="23">
        <v>0.29166666666666669</v>
      </c>
      <c r="V34" s="23">
        <v>0.79166666666666663</v>
      </c>
      <c r="W34" s="23" cm="1">
        <f t="array" ref="W34">_xlfn.IFS($U34="","",$AD34&gt;=6,TIME(1,0,0),$AD34&lt;=5,"")</f>
        <v>4.1666666666666664E-2</v>
      </c>
      <c r="X34" s="23" t="str">
        <f t="shared" si="11"/>
        <v/>
      </c>
      <c r="Y34" s="23" cm="1">
        <f t="array" ref="Y34">_xlfn.IFS($U34="","",AND($AD34&lt;=12,$AD34&gt;10),TIME(0,35,0),AND($AD34&lt;=10,$AD34&gt;5),TIME(0,20,0),AND($AD34&gt;12,$X34&lt;&gt;""),TIME(0,20,0),AND($AD34&gt;12,$X34=""),TIME(0,35,0),AND($AD34&gt;3,$AD34&lt;=5),TIME(0,10,0),$AD34&lt;=3,"")</f>
        <v>2.4305555555555556E-2</v>
      </c>
      <c r="Z34" s="23">
        <f t="shared" si="10"/>
        <v>6.9444444444444441E-3</v>
      </c>
      <c r="AA34" s="23">
        <v>4.7222222222222221E-2</v>
      </c>
      <c r="AB34" s="23"/>
      <c r="AC34" s="30"/>
      <c r="AD34" s="24">
        <f t="shared" si="5"/>
        <v>11.999999999999998</v>
      </c>
      <c r="AE34" s="23">
        <f t="shared" si="6"/>
        <v>7.2916666666666671E-2</v>
      </c>
      <c r="AF34" s="25">
        <f t="shared" si="7"/>
        <v>311.99999999999994</v>
      </c>
      <c r="AG34" s="25">
        <f t="shared" si="8"/>
        <v>237.0333333333333</v>
      </c>
      <c r="AH34" s="16">
        <f t="shared" si="9"/>
        <v>0.92035398230088483</v>
      </c>
      <c r="AI34" s="30"/>
      <c r="AJ34" s="14"/>
      <c r="AK34" s="30"/>
      <c r="AL34" s="30" t="s">
        <v>111</v>
      </c>
    </row>
    <row r="35" spans="1:38" ht="15" customHeight="1" x14ac:dyDescent="0.3">
      <c r="A35" s="78">
        <v>46031</v>
      </c>
      <c r="B35" s="21">
        <f t="shared" si="12"/>
        <v>1</v>
      </c>
      <c r="C35" s="18" t="s">
        <v>99</v>
      </c>
      <c r="D35" s="14">
        <v>41</v>
      </c>
      <c r="E35" s="14"/>
      <c r="F35" s="14">
        <f>7+6+64</f>
        <v>77</v>
      </c>
      <c r="G35" s="14">
        <v>1</v>
      </c>
      <c r="H35" s="14">
        <f>90+2</f>
        <v>92</v>
      </c>
      <c r="I35" s="14"/>
      <c r="J35" s="14">
        <v>49</v>
      </c>
      <c r="K35" s="14">
        <v>2</v>
      </c>
      <c r="L35" s="14"/>
      <c r="M35" s="14"/>
      <c r="N35" s="14">
        <v>1</v>
      </c>
      <c r="O35" s="14"/>
      <c r="P35" s="14"/>
      <c r="Q35" s="14"/>
      <c r="R35" s="22">
        <f t="shared" si="2"/>
        <v>263</v>
      </c>
      <c r="S35" s="14"/>
      <c r="T35" s="31">
        <f>8+10+3</f>
        <v>21</v>
      </c>
      <c r="U35" s="23">
        <v>0.29166666666666669</v>
      </c>
      <c r="V35" s="23">
        <v>0.79166666666666663</v>
      </c>
      <c r="W35" s="23" cm="1">
        <f t="array" ref="W35">_xlfn.IFS($U35="","",$AD35&gt;=6,TIME(1,0,0),$AD35&lt;=5,"")</f>
        <v>4.1666666666666664E-2</v>
      </c>
      <c r="X35" s="23" t="str">
        <f t="shared" si="11"/>
        <v/>
      </c>
      <c r="Y35" s="23" cm="1">
        <f t="array" ref="Y35">_xlfn.IFS($U35="","",AND($AD35&lt;=12,$AD35&gt;10),TIME(0,35,0),AND($AD35&lt;=10,$AD35&gt;5),TIME(0,20,0),AND($AD35&gt;12,$X35&lt;&gt;""),TIME(0,20,0),AND($AD35&gt;12,$X35=""),TIME(0,35,0),AND($AD35&gt;3,$AD35&lt;=5),TIME(0,10,0),$AD35&lt;=3,"")</f>
        <v>2.4305555555555556E-2</v>
      </c>
      <c r="Z35" s="23">
        <f t="shared" si="10"/>
        <v>6.9444444444444441E-3</v>
      </c>
      <c r="AA35" s="23"/>
      <c r="AB35" s="23"/>
      <c r="AC35" s="30"/>
      <c r="AD35" s="24">
        <f t="shared" si="5"/>
        <v>11.999999999999998</v>
      </c>
      <c r="AE35" s="23">
        <f t="shared" si="6"/>
        <v>7.2916666666666671E-2</v>
      </c>
      <c r="AF35" s="25">
        <f t="shared" si="7"/>
        <v>251.99999999999997</v>
      </c>
      <c r="AG35" s="25">
        <f t="shared" si="8"/>
        <v>215.24999999999997</v>
      </c>
      <c r="AH35" s="16">
        <f t="shared" si="9"/>
        <v>0.95817490494296564</v>
      </c>
      <c r="AI35" s="16">
        <f>IF(COUNTIF(A32:A35,A32)=4,1/SUM(AH32:AH35),"")</f>
        <v>0.40233061138575421</v>
      </c>
      <c r="AJ35" s="14"/>
      <c r="AK35" s="30"/>
      <c r="AL35" s="30" t="s">
        <v>112</v>
      </c>
    </row>
    <row r="36" spans="1:38" ht="15" customHeight="1" x14ac:dyDescent="0.3">
      <c r="A36" s="95">
        <v>46032</v>
      </c>
      <c r="B36" s="21">
        <f t="shared" si="12"/>
        <v>1</v>
      </c>
      <c r="C36" s="18" t="s">
        <v>96</v>
      </c>
      <c r="D36" s="14"/>
      <c r="E36" s="14"/>
      <c r="F36" s="14">
        <v>150</v>
      </c>
      <c r="G36" s="14">
        <v>100</v>
      </c>
      <c r="H36" s="14"/>
      <c r="I36" s="14"/>
      <c r="J36" s="14">
        <f>190+8</f>
        <v>198</v>
      </c>
      <c r="K36" s="14"/>
      <c r="L36" s="14"/>
      <c r="M36" s="14"/>
      <c r="N36" s="14"/>
      <c r="O36" s="14"/>
      <c r="P36" s="14"/>
      <c r="Q36" s="14"/>
      <c r="R36" s="22">
        <f t="shared" ref="R36:R67" si="13">SUM(D36:Q36)</f>
        <v>448</v>
      </c>
      <c r="S36" s="14"/>
      <c r="T36" s="31">
        <f>14+3+4</f>
        <v>21</v>
      </c>
      <c r="U36" s="23">
        <v>0.29166666666666669</v>
      </c>
      <c r="V36" s="23">
        <v>0.79166666666666663</v>
      </c>
      <c r="W36" s="23" cm="1">
        <f t="array" ref="W36">_xlfn.IFS($U36="","",$AD36&gt;=6,TIME(1,0,0),$AD36&lt;=5,"")</f>
        <v>4.1666666666666664E-2</v>
      </c>
      <c r="X36" s="23" t="str">
        <f t="shared" si="11"/>
        <v/>
      </c>
      <c r="Y36" s="23" cm="1">
        <f t="array" ref="Y36">_xlfn.IFS($U36="","",AND($AD36&lt;=12,$AD36&gt;10),TIME(0,35,0),AND($AD36&lt;=10,$AD36&gt;5),TIME(0,20,0),AND($AD36&gt;12,$X36&lt;&gt;""),TIME(0,20,0),AND($AD36&gt;12,$X36=""),TIME(0,35,0),AND($AD36&gt;3,$AD36&lt;=5),TIME(0,10,0),$AD36&lt;=3,"")</f>
        <v>2.4305555555555556E-2</v>
      </c>
      <c r="Z36" s="23">
        <f t="shared" si="10"/>
        <v>6.9444444444444441E-3</v>
      </c>
      <c r="AA36" s="23"/>
      <c r="AB36" s="23"/>
      <c r="AC36" s="30"/>
      <c r="AD36" s="24">
        <f t="shared" si="5"/>
        <v>11.999999999999998</v>
      </c>
      <c r="AE36" s="23">
        <f t="shared" si="6"/>
        <v>7.2916666666666671E-2</v>
      </c>
      <c r="AF36" s="25">
        <f t="shared" si="7"/>
        <v>251.99999999999997</v>
      </c>
      <c r="AG36" s="25">
        <f t="shared" si="8"/>
        <v>215.24999999999997</v>
      </c>
      <c r="AH36" s="16">
        <f t="shared" si="9"/>
        <v>0.56249999999999989</v>
      </c>
      <c r="AI36" s="30"/>
      <c r="AJ36" s="14"/>
      <c r="AK36" s="30"/>
      <c r="AL36" s="30" t="s">
        <v>108</v>
      </c>
    </row>
    <row r="37" spans="1:38" ht="15" customHeight="1" x14ac:dyDescent="0.3">
      <c r="A37" s="95">
        <v>46032</v>
      </c>
      <c r="B37" s="21">
        <f t="shared" si="12"/>
        <v>1</v>
      </c>
      <c r="C37" s="18" t="s">
        <v>97</v>
      </c>
      <c r="D37" s="14"/>
      <c r="E37" s="14"/>
      <c r="F37" s="14">
        <v>150</v>
      </c>
      <c r="G37" s="14">
        <v>84</v>
      </c>
      <c r="H37" s="14"/>
      <c r="I37" s="14"/>
      <c r="J37" s="14">
        <v>206</v>
      </c>
      <c r="K37" s="14"/>
      <c r="L37" s="14"/>
      <c r="M37" s="14"/>
      <c r="N37" s="14"/>
      <c r="O37" s="14"/>
      <c r="P37" s="14"/>
      <c r="Q37" s="14"/>
      <c r="R37" s="22">
        <f t="shared" si="13"/>
        <v>440</v>
      </c>
      <c r="S37" s="14"/>
      <c r="T37" s="31">
        <f>1+4</f>
        <v>5</v>
      </c>
      <c r="U37" s="23">
        <v>0.29166666666666669</v>
      </c>
      <c r="V37" s="23">
        <v>0.79166666666666663</v>
      </c>
      <c r="W37" s="23" cm="1">
        <f t="array" ref="W37">_xlfn.IFS($U37="","",$AD37&gt;=6,TIME(1,0,0),$AD37&lt;=5,"")</f>
        <v>4.1666666666666664E-2</v>
      </c>
      <c r="X37" s="23" t="str">
        <f t="shared" si="11"/>
        <v/>
      </c>
      <c r="Y37" s="23" cm="1">
        <f t="array" ref="Y37">_xlfn.IFS($U37="","",AND($AD37&lt;=12,$AD37&gt;10),TIME(0,35,0),AND($AD37&lt;=10,$AD37&gt;5),TIME(0,20,0),AND($AD37&gt;12,$X37&lt;&gt;""),TIME(0,20,0),AND($AD37&gt;12,$X37=""),TIME(0,35,0),AND($AD37&gt;3,$AD37&lt;=5),TIME(0,10,0),$AD37&lt;=3,"")</f>
        <v>2.4305555555555556E-2</v>
      </c>
      <c r="Z37" s="23">
        <f t="shared" si="10"/>
        <v>6.9444444444444441E-3</v>
      </c>
      <c r="AA37" s="23"/>
      <c r="AB37" s="23"/>
      <c r="AC37" s="30"/>
      <c r="AD37" s="24">
        <f t="shared" si="5"/>
        <v>11.999999999999998</v>
      </c>
      <c r="AE37" s="23">
        <f t="shared" si="6"/>
        <v>7.2916666666666671E-2</v>
      </c>
      <c r="AF37" s="25">
        <f t="shared" si="7"/>
        <v>59.999999999999993</v>
      </c>
      <c r="AG37" s="25">
        <f t="shared" si="8"/>
        <v>51.249999999999993</v>
      </c>
      <c r="AH37" s="16">
        <f t="shared" si="9"/>
        <v>0.13636363636363635</v>
      </c>
      <c r="AI37" s="30"/>
      <c r="AJ37" s="14"/>
      <c r="AK37" s="30"/>
      <c r="AL37" s="30"/>
    </row>
    <row r="38" spans="1:38" ht="15" customHeight="1" x14ac:dyDescent="0.3">
      <c r="A38" s="95">
        <v>46032</v>
      </c>
      <c r="B38" s="21">
        <f t="shared" si="12"/>
        <v>1</v>
      </c>
      <c r="C38" s="18" t="s">
        <v>98</v>
      </c>
      <c r="D38" s="14"/>
      <c r="E38" s="14"/>
      <c r="F38" s="14">
        <v>169</v>
      </c>
      <c r="G38" s="14">
        <v>8</v>
      </c>
      <c r="H38" s="14">
        <v>2</v>
      </c>
      <c r="I38" s="14"/>
      <c r="J38" s="14">
        <v>160</v>
      </c>
      <c r="K38" s="14"/>
      <c r="L38" s="14"/>
      <c r="M38" s="14"/>
      <c r="N38" s="14"/>
      <c r="O38" s="14"/>
      <c r="P38" s="14"/>
      <c r="Q38" s="14"/>
      <c r="R38" s="22">
        <f t="shared" si="13"/>
        <v>339</v>
      </c>
      <c r="S38" s="14"/>
      <c r="T38" s="31">
        <f>13+5+4</f>
        <v>22</v>
      </c>
      <c r="U38" s="23">
        <v>0.29166666666666669</v>
      </c>
      <c r="V38" s="23">
        <v>0.79166666666666663</v>
      </c>
      <c r="W38" s="23" cm="1">
        <f t="array" ref="W38">_xlfn.IFS($U38="","",$AD38&gt;=6,TIME(1,0,0),$AD38&lt;=5,"")</f>
        <v>4.1666666666666664E-2</v>
      </c>
      <c r="X38" s="23" t="str">
        <f t="shared" si="11"/>
        <v/>
      </c>
      <c r="Y38" s="23" cm="1">
        <f t="array" ref="Y38">_xlfn.IFS($U38="","",AND($AD38&lt;=12,$AD38&gt;10),TIME(0,35,0),AND($AD38&lt;=10,$AD38&gt;5),TIME(0,20,0),AND($AD38&gt;12,$X38&lt;&gt;""),TIME(0,20,0),AND($AD38&gt;12,$X38=""),TIME(0,35,0),AND($AD38&gt;3,$AD38&lt;=5),TIME(0,10,0),$AD38&lt;=3,"")</f>
        <v>2.4305555555555556E-2</v>
      </c>
      <c r="Z38" s="23">
        <f t="shared" si="10"/>
        <v>6.9444444444444441E-3</v>
      </c>
      <c r="AA38" s="23">
        <v>0.10138888888888889</v>
      </c>
      <c r="AB38" s="23"/>
      <c r="AC38" s="30"/>
      <c r="AD38" s="24">
        <f t="shared" si="5"/>
        <v>11.999999999999998</v>
      </c>
      <c r="AE38" s="23">
        <f t="shared" si="6"/>
        <v>7.2916666666666671E-2</v>
      </c>
      <c r="AF38" s="25">
        <f t="shared" si="7"/>
        <v>263.99999999999994</v>
      </c>
      <c r="AG38" s="25">
        <f t="shared" si="8"/>
        <v>171.96666666666661</v>
      </c>
      <c r="AH38" s="16">
        <f t="shared" si="9"/>
        <v>0.77876106194690253</v>
      </c>
      <c r="AI38" s="30"/>
      <c r="AJ38" s="14"/>
      <c r="AK38" s="30"/>
      <c r="AL38" t="s">
        <v>113</v>
      </c>
    </row>
    <row r="39" spans="1:38" ht="15" customHeight="1" x14ac:dyDescent="0.3">
      <c r="A39" s="95">
        <v>46032</v>
      </c>
      <c r="B39" s="21">
        <f t="shared" si="12"/>
        <v>1</v>
      </c>
      <c r="C39" s="18" t="s">
        <v>99</v>
      </c>
      <c r="D39" s="14"/>
      <c r="E39" s="14"/>
      <c r="F39" s="14">
        <f>2+1+101</f>
        <v>104</v>
      </c>
      <c r="G39" s="14"/>
      <c r="H39" s="14">
        <v>5</v>
      </c>
      <c r="I39" s="14"/>
      <c r="J39" s="14">
        <f>117+14</f>
        <v>131</v>
      </c>
      <c r="K39" s="14"/>
      <c r="L39" s="14"/>
      <c r="M39" s="14"/>
      <c r="N39" s="14"/>
      <c r="O39" s="14"/>
      <c r="P39" s="14"/>
      <c r="Q39" s="14"/>
      <c r="R39" s="22">
        <f t="shared" si="13"/>
        <v>240</v>
      </c>
      <c r="S39" s="14"/>
      <c r="T39" s="31">
        <f>8+11+3</f>
        <v>22</v>
      </c>
      <c r="U39" s="23">
        <v>0.29166666666666669</v>
      </c>
      <c r="V39" s="23">
        <v>0.79166666666666663</v>
      </c>
      <c r="W39" s="23" cm="1">
        <f t="array" ref="W39">_xlfn.IFS($U39="","",$AD39&gt;=6,TIME(1,0,0),$AD39&lt;=5,"")</f>
        <v>4.1666666666666664E-2</v>
      </c>
      <c r="X39" s="23" t="str">
        <f t="shared" si="11"/>
        <v/>
      </c>
      <c r="Y39" s="23" cm="1">
        <f t="array" ref="Y39">_xlfn.IFS($U39="","",AND($AD39&lt;=12,$AD39&gt;10),TIME(0,35,0),AND($AD39&lt;=10,$AD39&gt;5),TIME(0,20,0),AND($AD39&gt;12,$X39&lt;&gt;""),TIME(0,20,0),AND($AD39&gt;12,$X39=""),TIME(0,35,0),AND($AD39&gt;3,$AD39&lt;=5),TIME(0,10,0),$AD39&lt;=3,"")</f>
        <v>2.4305555555555556E-2</v>
      </c>
      <c r="Z39" s="23">
        <f t="shared" si="10"/>
        <v>6.9444444444444441E-3</v>
      </c>
      <c r="AA39" s="23">
        <v>9.7222222222222224E-2</v>
      </c>
      <c r="AB39" s="23"/>
      <c r="AC39" s="30"/>
      <c r="AD39" s="24">
        <f t="shared" si="5"/>
        <v>11.999999999999998</v>
      </c>
      <c r="AE39" s="23">
        <f t="shared" si="6"/>
        <v>7.2916666666666671E-2</v>
      </c>
      <c r="AF39" s="25">
        <f t="shared" si="7"/>
        <v>263.99999999999994</v>
      </c>
      <c r="AG39" s="25">
        <f t="shared" si="8"/>
        <v>174.16666666666663</v>
      </c>
      <c r="AH39" s="16">
        <f t="shared" si="9"/>
        <v>1.0999999999999999</v>
      </c>
      <c r="AI39" s="16">
        <f>IF(COUNTIF(A36:A39,A36)=4,1/SUM(AH36:AH39),"")</f>
        <v>0.38795407285452904</v>
      </c>
      <c r="AJ39" s="14"/>
      <c r="AK39" s="30"/>
      <c r="AL39" s="30" t="s">
        <v>114</v>
      </c>
    </row>
    <row r="40" spans="1:38" ht="15" customHeight="1" x14ac:dyDescent="0.3">
      <c r="A40" s="78">
        <v>46033</v>
      </c>
      <c r="B40" s="21">
        <f t="shared" si="12"/>
        <v>1</v>
      </c>
      <c r="C40" s="18" t="s">
        <v>98</v>
      </c>
      <c r="D40" s="14"/>
      <c r="E40" s="14"/>
      <c r="F40" s="14">
        <v>8</v>
      </c>
      <c r="G40" s="14">
        <v>59</v>
      </c>
      <c r="H40" s="14">
        <f>2+2</f>
        <v>4</v>
      </c>
      <c r="I40" s="14"/>
      <c r="J40" s="14">
        <v>61</v>
      </c>
      <c r="K40" s="14"/>
      <c r="L40" s="14"/>
      <c r="M40" s="14"/>
      <c r="N40" s="14"/>
      <c r="O40" s="14"/>
      <c r="P40" s="14"/>
      <c r="Q40" s="14"/>
      <c r="R40" s="22">
        <f t="shared" si="13"/>
        <v>132</v>
      </c>
      <c r="S40" s="14"/>
      <c r="T40" s="31">
        <v>20</v>
      </c>
      <c r="U40" s="23">
        <v>0.54166666666666663</v>
      </c>
      <c r="V40" s="23">
        <v>0.66666666666666663</v>
      </c>
      <c r="W40" s="23" t="str" cm="1">
        <f t="array" ref="W40">_xlfn.IFS($U40="","",$AD40&gt;=6,TIME(1,0,0),$AD40&lt;=5,"")</f>
        <v/>
      </c>
      <c r="X40" s="23" t="str">
        <f t="shared" si="11"/>
        <v/>
      </c>
      <c r="Y40" s="23" t="str" cm="1">
        <f t="array" ref="Y40">_xlfn.IFS($U40="","",AND($AD40&lt;=12,$AD40&gt;10),TIME(0,35,0),AND($AD40&lt;=10,$AD40&gt;5),TIME(0,20,0),AND($AD40&gt;12,$X40&lt;&gt;""),TIME(0,20,0),AND($AD40&gt;12,$X40=""),TIME(0,35,0),AND($AD40&gt;3,$AD40&lt;=5),TIME(0,10,0),$AD40&lt;=3,"")</f>
        <v/>
      </c>
      <c r="Z40" s="23">
        <f t="shared" si="10"/>
        <v>6.9444444444444441E-3</v>
      </c>
      <c r="AA40" s="23"/>
      <c r="AB40" s="23"/>
      <c r="AC40" s="30"/>
      <c r="AD40" s="24">
        <f t="shared" si="5"/>
        <v>3</v>
      </c>
      <c r="AE40" s="23">
        <f t="shared" si="6"/>
        <v>6.9444444444444441E-3</v>
      </c>
      <c r="AF40" s="25">
        <f t="shared" si="7"/>
        <v>60</v>
      </c>
      <c r="AG40" s="25">
        <f t="shared" si="8"/>
        <v>56.666666666666671</v>
      </c>
      <c r="AH40" s="16">
        <f t="shared" si="9"/>
        <v>0.45454545454545453</v>
      </c>
      <c r="AI40" s="30"/>
      <c r="AJ40" s="14"/>
      <c r="AK40" s="30"/>
      <c r="AL40" s="30"/>
    </row>
    <row r="41" spans="1:38" ht="15" customHeight="1" x14ac:dyDescent="0.3">
      <c r="A41" s="95">
        <v>46034</v>
      </c>
      <c r="B41" s="21">
        <f t="shared" si="12"/>
        <v>1</v>
      </c>
      <c r="C41" s="18" t="s">
        <v>96</v>
      </c>
      <c r="D41" s="14"/>
      <c r="E41" s="14"/>
      <c r="F41" s="14">
        <v>60</v>
      </c>
      <c r="G41" s="14"/>
      <c r="H41" s="14"/>
      <c r="I41" s="14"/>
      <c r="J41" s="14">
        <v>25</v>
      </c>
      <c r="K41" s="14"/>
      <c r="L41" s="14"/>
      <c r="M41" s="14"/>
      <c r="N41" s="14"/>
      <c r="O41" s="14"/>
      <c r="P41" s="14"/>
      <c r="Q41" s="14"/>
      <c r="R41" s="22">
        <f t="shared" si="13"/>
        <v>85</v>
      </c>
      <c r="S41" s="14"/>
      <c r="T41" s="31">
        <f>11+4+4</f>
        <v>19</v>
      </c>
      <c r="U41" s="23">
        <v>0.29166666666666669</v>
      </c>
      <c r="V41" s="23">
        <v>0.41666666666666669</v>
      </c>
      <c r="W41" s="23" t="str" cm="1">
        <f t="array" ref="W41">_xlfn.IFS($U41="","",$AD41&gt;=6,TIME(1,0,0),$AD41&lt;=5,"")</f>
        <v/>
      </c>
      <c r="X41" s="23" t="str">
        <f t="shared" si="11"/>
        <v/>
      </c>
      <c r="Y41" s="23" t="str" cm="1">
        <f t="array" ref="Y41">_xlfn.IFS($U41="","",AND($AD41&lt;=12,$AD41&gt;10),TIME(0,35,0),AND($AD41&lt;=10,$AD41&gt;5),TIME(0,20,0),AND($AD41&gt;12,$X41&lt;&gt;""),TIME(0,20,0),AND($AD41&gt;12,$X41=""),TIME(0,35,0),AND($AD41&gt;3,$AD41&lt;=5),TIME(0,10,0),$AD41&lt;=3,"")</f>
        <v/>
      </c>
      <c r="Z41" s="23">
        <f t="shared" si="10"/>
        <v>6.9444444444444441E-3</v>
      </c>
      <c r="AA41" s="23"/>
      <c r="AB41" s="23"/>
      <c r="AC41" s="30"/>
      <c r="AD41" s="24">
        <f t="shared" si="5"/>
        <v>3</v>
      </c>
      <c r="AE41" s="23">
        <f t="shared" si="6"/>
        <v>6.9444444444444441E-3</v>
      </c>
      <c r="AF41" s="25">
        <f t="shared" si="7"/>
        <v>57</v>
      </c>
      <c r="AG41" s="25">
        <f t="shared" si="8"/>
        <v>53.833333333333336</v>
      </c>
      <c r="AH41" s="16">
        <f t="shared" si="9"/>
        <v>0.6705882352941176</v>
      </c>
      <c r="AI41" s="30"/>
      <c r="AJ41" s="14"/>
      <c r="AK41" s="30"/>
      <c r="AL41" s="30" t="s">
        <v>115</v>
      </c>
    </row>
    <row r="42" spans="1:38" ht="15" customHeight="1" x14ac:dyDescent="0.3">
      <c r="A42" s="95">
        <v>46034</v>
      </c>
      <c r="B42" s="21">
        <f t="shared" si="12"/>
        <v>1</v>
      </c>
      <c r="C42" s="18" t="s">
        <v>97</v>
      </c>
      <c r="D42" s="14"/>
      <c r="E42" s="14"/>
      <c r="F42" s="14">
        <v>58</v>
      </c>
      <c r="G42" s="14">
        <v>9</v>
      </c>
      <c r="H42" s="14"/>
      <c r="I42" s="14"/>
      <c r="J42" s="14">
        <v>28</v>
      </c>
      <c r="K42" s="14"/>
      <c r="L42" s="14"/>
      <c r="M42" s="14"/>
      <c r="N42" s="14"/>
      <c r="O42" s="14"/>
      <c r="P42" s="14"/>
      <c r="Q42" s="14"/>
      <c r="R42" s="22">
        <f t="shared" si="13"/>
        <v>95</v>
      </c>
      <c r="S42" s="14"/>
      <c r="T42" s="31">
        <f>1+4</f>
        <v>5</v>
      </c>
      <c r="U42" s="23">
        <v>0.29166666666666669</v>
      </c>
      <c r="V42" s="23">
        <v>0.41666666666666669</v>
      </c>
      <c r="W42" s="23" t="str" cm="1">
        <f t="array" ref="W42">_xlfn.IFS($U42="","",$AD42&gt;=6,TIME(1,0,0),$AD42&lt;=5,"")</f>
        <v/>
      </c>
      <c r="X42" s="23" t="str">
        <f t="shared" si="11"/>
        <v/>
      </c>
      <c r="Y42" s="23" t="str" cm="1">
        <f t="array" ref="Y42">_xlfn.IFS($U42="","",AND($AD42&lt;=12,$AD42&gt;10),TIME(0,35,0),AND($AD42&lt;=10,$AD42&gt;5),TIME(0,20,0),AND($AD42&gt;12,$X42&lt;&gt;""),TIME(0,20,0),AND($AD42&gt;12,$X42=""),TIME(0,35,0),AND($AD42&gt;3,$AD42&lt;=5),TIME(0,10,0),$AD42&lt;=3,"")</f>
        <v/>
      </c>
      <c r="Z42" s="23">
        <f t="shared" si="10"/>
        <v>6.9444444444444441E-3</v>
      </c>
      <c r="AA42" s="23"/>
      <c r="AB42" s="23"/>
      <c r="AC42" s="30"/>
      <c r="AD42" s="24">
        <f t="shared" si="5"/>
        <v>3</v>
      </c>
      <c r="AE42" s="23">
        <f t="shared" si="6"/>
        <v>6.9444444444444441E-3</v>
      </c>
      <c r="AF42" s="25">
        <f t="shared" si="7"/>
        <v>15</v>
      </c>
      <c r="AG42" s="25">
        <f t="shared" si="8"/>
        <v>14.166666666666668</v>
      </c>
      <c r="AH42" s="16">
        <f t="shared" si="9"/>
        <v>0.15789473684210525</v>
      </c>
      <c r="AI42" s="30"/>
      <c r="AJ42" s="14"/>
      <c r="AK42" s="30"/>
      <c r="AL42" s="30" t="s">
        <v>115</v>
      </c>
    </row>
    <row r="43" spans="1:38" ht="15" customHeight="1" x14ac:dyDescent="0.3">
      <c r="A43" s="95">
        <v>46034</v>
      </c>
      <c r="B43" s="21">
        <f t="shared" si="12"/>
        <v>1</v>
      </c>
      <c r="C43" s="18" t="s">
        <v>98</v>
      </c>
      <c r="D43" s="14"/>
      <c r="E43" s="14"/>
      <c r="F43" s="14">
        <v>201</v>
      </c>
      <c r="G43" s="14">
        <v>26</v>
      </c>
      <c r="H43" s="14">
        <f>23+1</f>
        <v>24</v>
      </c>
      <c r="I43" s="14"/>
      <c r="J43" s="14">
        <v>178</v>
      </c>
      <c r="K43" s="14"/>
      <c r="L43" s="14"/>
      <c r="M43" s="14"/>
      <c r="N43" s="14"/>
      <c r="O43" s="14"/>
      <c r="P43" s="14"/>
      <c r="Q43" s="14">
        <v>2</v>
      </c>
      <c r="R43" s="22">
        <f t="shared" si="13"/>
        <v>431</v>
      </c>
      <c r="S43" s="14"/>
      <c r="T43" s="31">
        <f>11+7+6</f>
        <v>24</v>
      </c>
      <c r="U43" s="23">
        <v>0.29166666666666669</v>
      </c>
      <c r="V43" s="23">
        <v>0.79166666666666663</v>
      </c>
      <c r="W43" s="23" cm="1">
        <f t="array" ref="W43">_xlfn.IFS($U43="","",$AD43&gt;=6,TIME(1,0,0),$AD43&lt;=5,"")</f>
        <v>4.1666666666666664E-2</v>
      </c>
      <c r="X43" s="23" t="str">
        <f t="shared" si="11"/>
        <v/>
      </c>
      <c r="Y43" s="23" cm="1">
        <f t="array" ref="Y43">_xlfn.IFS($U43="","",AND($AD43&lt;=12,$AD43&gt;10),TIME(0,35,0),AND($AD43&lt;=10,$AD43&gt;5),TIME(0,20,0),AND($AD43&gt;12,$X43&lt;&gt;""),TIME(0,20,0),AND($AD43&gt;12,$X43=""),TIME(0,35,0),AND($AD43&gt;3,$AD43&lt;=5),TIME(0,10,0),$AD43&lt;=3,"")</f>
        <v>2.4305555555555556E-2</v>
      </c>
      <c r="Z43" s="23">
        <f t="shared" si="10"/>
        <v>6.9444444444444441E-3</v>
      </c>
      <c r="AA43" s="23"/>
      <c r="AB43" s="23"/>
      <c r="AC43" s="30"/>
      <c r="AD43" s="24">
        <f t="shared" si="5"/>
        <v>11.999999999999998</v>
      </c>
      <c r="AE43" s="23">
        <f t="shared" si="6"/>
        <v>7.2916666666666671E-2</v>
      </c>
      <c r="AF43" s="25">
        <f t="shared" si="7"/>
        <v>287.99999999999994</v>
      </c>
      <c r="AG43" s="25">
        <f t="shared" si="8"/>
        <v>245.99999999999994</v>
      </c>
      <c r="AH43" s="16">
        <f t="shared" si="9"/>
        <v>0.66821345707656599</v>
      </c>
      <c r="AI43" s="30"/>
      <c r="AJ43" s="14"/>
      <c r="AK43" s="30"/>
      <c r="AL43" s="30"/>
    </row>
    <row r="44" spans="1:38" ht="15" customHeight="1" x14ac:dyDescent="0.3">
      <c r="A44" s="95">
        <v>46034</v>
      </c>
      <c r="B44" s="21">
        <f t="shared" si="12"/>
        <v>1</v>
      </c>
      <c r="C44" s="18" t="s">
        <v>99</v>
      </c>
      <c r="D44" s="14"/>
      <c r="E44" s="14"/>
      <c r="F44" s="14">
        <f>2+2+4+93</f>
        <v>101</v>
      </c>
      <c r="G44" s="14">
        <v>76</v>
      </c>
      <c r="H44" s="14">
        <f>1+16</f>
        <v>17</v>
      </c>
      <c r="I44" s="14"/>
      <c r="J44" s="14">
        <f>17+139</f>
        <v>156</v>
      </c>
      <c r="K44" s="14"/>
      <c r="L44" s="14"/>
      <c r="M44" s="14"/>
      <c r="N44" s="14"/>
      <c r="O44" s="14"/>
      <c r="P44" s="14"/>
      <c r="Q44" s="14"/>
      <c r="R44" s="22">
        <f t="shared" si="13"/>
        <v>350</v>
      </c>
      <c r="S44" s="14"/>
      <c r="T44" s="31">
        <f>7+8+3+2</f>
        <v>20</v>
      </c>
      <c r="U44" s="23">
        <v>0.29166666666666669</v>
      </c>
      <c r="V44" s="23">
        <v>0.875</v>
      </c>
      <c r="W44" s="23" cm="1">
        <f t="array" ref="W44">_xlfn.IFS($U44="","",$AD44&gt;=6,TIME(1,0,0),$AD44&lt;=5,"")</f>
        <v>4.1666666666666664E-2</v>
      </c>
      <c r="X44" s="23">
        <f t="shared" si="11"/>
        <v>4.1666666666666664E-2</v>
      </c>
      <c r="Y44" s="23" cm="1">
        <f t="array" ref="Y44">_xlfn.IFS($U44="","",AND($AD44&lt;=12,$AD44&gt;10),TIME(0,35,0),AND($AD44&lt;=10,$AD44&gt;5),TIME(0,20,0),AND($AD44&gt;12,$X44&lt;&gt;""),TIME(0,20,0),AND($AD44&gt;12,$X44=""),TIME(0,35,0),AND($AD44&gt;3,$AD44&lt;=5),TIME(0,10,0),$AD44&lt;=3,"")</f>
        <v>1.3888888888888888E-2</v>
      </c>
      <c r="Z44" s="23">
        <f t="shared" si="10"/>
        <v>6.9444444444444441E-3</v>
      </c>
      <c r="AA44" s="23"/>
      <c r="AB44" s="23"/>
      <c r="AC44" s="30"/>
      <c r="AD44" s="24">
        <f t="shared" si="5"/>
        <v>13.999999999999998</v>
      </c>
      <c r="AE44" s="23">
        <f t="shared" si="6"/>
        <v>0.10416666666666666</v>
      </c>
      <c r="AF44" s="25">
        <f t="shared" si="7"/>
        <v>279.99999999999994</v>
      </c>
      <c r="AG44" s="25">
        <f t="shared" si="8"/>
        <v>229.99999999999997</v>
      </c>
      <c r="AH44" s="16">
        <f t="shared" si="9"/>
        <v>0.79999999999999982</v>
      </c>
      <c r="AI44" s="16">
        <f>IF(COUNTIF(A41:A44,A41)=4,1/SUM(AH41:AH44),"")</f>
        <v>0.43540800050042228</v>
      </c>
      <c r="AJ44" s="14"/>
      <c r="AK44" s="30"/>
      <c r="AL44" s="30"/>
    </row>
    <row r="45" spans="1:38" ht="15" customHeight="1" x14ac:dyDescent="0.3">
      <c r="A45" s="78">
        <v>46035</v>
      </c>
      <c r="B45" s="21">
        <f t="shared" si="12"/>
        <v>1</v>
      </c>
      <c r="C45" s="18" t="s">
        <v>96</v>
      </c>
      <c r="D45" s="14"/>
      <c r="E45" s="14"/>
      <c r="F45" s="14">
        <v>210</v>
      </c>
      <c r="G45" s="14">
        <v>100</v>
      </c>
      <c r="H45" s="14"/>
      <c r="I45" s="14"/>
      <c r="J45" s="14">
        <v>175</v>
      </c>
      <c r="K45" s="14"/>
      <c r="L45" s="14"/>
      <c r="M45" s="14"/>
      <c r="N45" s="14"/>
      <c r="O45" s="14"/>
      <c r="P45" s="14"/>
      <c r="Q45" s="14">
        <v>15</v>
      </c>
      <c r="R45" s="22">
        <f t="shared" si="13"/>
        <v>500</v>
      </c>
      <c r="S45" s="14"/>
      <c r="T45" s="31">
        <f>13+4+4-1</f>
        <v>20</v>
      </c>
      <c r="U45" s="23">
        <v>0.29166666666666669</v>
      </c>
      <c r="V45" s="23">
        <v>0.79166666666666663</v>
      </c>
      <c r="W45" s="23" cm="1">
        <f t="array" ref="W45">_xlfn.IFS($U45="","",$AD45&gt;=6,TIME(1,0,0),$AD45&lt;=5,"")</f>
        <v>4.1666666666666664E-2</v>
      </c>
      <c r="X45" s="23" t="str">
        <f t="shared" si="11"/>
        <v/>
      </c>
      <c r="Y45" s="23" cm="1">
        <f t="array" ref="Y45">_xlfn.IFS($U45="","",AND($AD45&lt;=12,$AD45&gt;10),TIME(0,35,0),AND($AD45&lt;=10,$AD45&gt;5),TIME(0,20,0),AND($AD45&gt;12,$X45&lt;&gt;""),TIME(0,20,0),AND($AD45&gt;12,$X45=""),TIME(0,35,0),AND($AD45&gt;3,$AD45&lt;=5),TIME(0,10,0),$AD45&lt;=3,"")</f>
        <v>2.4305555555555556E-2</v>
      </c>
      <c r="Z45" s="23">
        <f t="shared" si="10"/>
        <v>6.9444444444444441E-3</v>
      </c>
      <c r="AA45" s="23"/>
      <c r="AB45" s="23"/>
      <c r="AC45" s="30"/>
      <c r="AD45" s="24">
        <f t="shared" si="5"/>
        <v>11.999999999999998</v>
      </c>
      <c r="AE45" s="23">
        <f t="shared" si="6"/>
        <v>7.2916666666666671E-2</v>
      </c>
      <c r="AF45" s="25">
        <f t="shared" si="7"/>
        <v>239.99999999999997</v>
      </c>
      <c r="AG45" s="25">
        <f t="shared" si="8"/>
        <v>204.99999999999997</v>
      </c>
      <c r="AH45" s="16">
        <f t="shared" si="9"/>
        <v>0.47999999999999993</v>
      </c>
      <c r="AI45" s="30"/>
      <c r="AJ45" s="14"/>
      <c r="AK45" s="30"/>
      <c r="AL45" s="30" t="s">
        <v>116</v>
      </c>
    </row>
    <row r="46" spans="1:38" ht="15" customHeight="1" x14ac:dyDescent="0.3">
      <c r="A46" s="78">
        <v>46035</v>
      </c>
      <c r="B46" s="21">
        <f t="shared" si="12"/>
        <v>1</v>
      </c>
      <c r="C46" s="18" t="s">
        <v>97</v>
      </c>
      <c r="D46" s="14"/>
      <c r="E46" s="14"/>
      <c r="F46" s="14">
        <v>252</v>
      </c>
      <c r="G46" s="14"/>
      <c r="H46" s="14"/>
      <c r="I46" s="14"/>
      <c r="J46" s="14">
        <v>204</v>
      </c>
      <c r="K46" s="14"/>
      <c r="L46" s="14"/>
      <c r="M46" s="14"/>
      <c r="N46" s="14"/>
      <c r="O46" s="14"/>
      <c r="P46" s="14"/>
      <c r="Q46" s="14"/>
      <c r="R46" s="22">
        <f t="shared" si="13"/>
        <v>456</v>
      </c>
      <c r="S46" s="14"/>
      <c r="T46" s="31">
        <f>1+4</f>
        <v>5</v>
      </c>
      <c r="U46" s="23">
        <v>0.29166666666666669</v>
      </c>
      <c r="V46" s="23">
        <v>0.79166666666666663</v>
      </c>
      <c r="W46" s="23" cm="1">
        <f t="array" ref="W46">_xlfn.IFS($U46="","",$AD46&gt;=6,TIME(1,0,0),$AD46&lt;=5,"")</f>
        <v>4.1666666666666664E-2</v>
      </c>
      <c r="X46" s="23"/>
      <c r="Y46" s="23" cm="1">
        <f t="array" ref="Y46">_xlfn.IFS($U46="","",AND($AD46&lt;=12,$AD46&gt;10),TIME(0,35,0),AND($AD46&lt;=10,$AD46&gt;5),TIME(0,20,0),AND($AD46&gt;12,$X46&lt;&gt;""),TIME(0,20,0),AND($AD46&gt;12,$X46=""),TIME(0,35,0),AND($AD46&gt;3,$AD46&lt;=5),TIME(0,10,0),$AD46&lt;=3,"")</f>
        <v>2.4305555555555556E-2</v>
      </c>
      <c r="Z46" s="23">
        <f t="shared" si="10"/>
        <v>6.9444444444444441E-3</v>
      </c>
      <c r="AA46" s="23"/>
      <c r="AB46" s="23"/>
      <c r="AC46" s="30"/>
      <c r="AD46" s="24">
        <f t="shared" si="5"/>
        <v>11.999999999999998</v>
      </c>
      <c r="AE46" s="23">
        <f t="shared" si="6"/>
        <v>7.2916666666666671E-2</v>
      </c>
      <c r="AF46" s="25">
        <f t="shared" si="7"/>
        <v>59.999999999999993</v>
      </c>
      <c r="AG46" s="25">
        <f t="shared" si="8"/>
        <v>51.249999999999993</v>
      </c>
      <c r="AH46" s="16">
        <f t="shared" si="9"/>
        <v>0.13157894736842105</v>
      </c>
      <c r="AI46" s="30"/>
      <c r="AJ46" s="14"/>
      <c r="AK46" s="30"/>
      <c r="AL46" s="30"/>
    </row>
    <row r="47" spans="1:38" ht="15" customHeight="1" x14ac:dyDescent="0.3">
      <c r="A47" s="78">
        <v>46035</v>
      </c>
      <c r="B47" s="21">
        <f t="shared" si="12"/>
        <v>1</v>
      </c>
      <c r="C47" s="18" t="s">
        <v>98</v>
      </c>
      <c r="D47" s="14"/>
      <c r="E47" s="14"/>
      <c r="F47" s="14">
        <v>183</v>
      </c>
      <c r="G47" s="14">
        <v>8</v>
      </c>
      <c r="H47" s="14">
        <v>2</v>
      </c>
      <c r="I47" s="14"/>
      <c r="J47" s="14">
        <v>192</v>
      </c>
      <c r="K47" s="14"/>
      <c r="L47" s="14"/>
      <c r="M47" s="14"/>
      <c r="N47" s="14"/>
      <c r="O47" s="14"/>
      <c r="P47" s="14"/>
      <c r="Q47" s="14"/>
      <c r="R47" s="22">
        <f t="shared" si="13"/>
        <v>385</v>
      </c>
      <c r="S47" s="14"/>
      <c r="T47" s="31">
        <f>12+4+6</f>
        <v>22</v>
      </c>
      <c r="U47" s="23">
        <v>0.29166666666666669</v>
      </c>
      <c r="V47" s="23">
        <v>0.79166666666666663</v>
      </c>
      <c r="W47" s="23" cm="1">
        <f t="array" ref="W47">_xlfn.IFS($U47="","",$AD47&gt;=6,TIME(1,0,0),$AD47&lt;=5,"")</f>
        <v>4.1666666666666664E-2</v>
      </c>
      <c r="X47" s="23"/>
      <c r="Y47" s="23" cm="1">
        <f t="array" ref="Y47">_xlfn.IFS($U47="","",AND($AD47&lt;=12,$AD47&gt;10),TIME(0,35,0),AND($AD47&lt;=10,$AD47&gt;5),TIME(0,20,0),AND($AD47&gt;12,$X47&lt;&gt;""),TIME(0,20,0),AND($AD47&gt;12,$X47=""),TIME(0,35,0),AND($AD47&gt;3,$AD47&lt;=5),TIME(0,10,0),$AD47&lt;=3,"")</f>
        <v>2.4305555555555556E-2</v>
      </c>
      <c r="Z47" s="23">
        <f t="shared" si="10"/>
        <v>6.9444444444444441E-3</v>
      </c>
      <c r="AA47" s="23">
        <v>4.7222222222222221E-2</v>
      </c>
      <c r="AB47" s="23"/>
      <c r="AC47" s="30"/>
      <c r="AD47" s="24">
        <f t="shared" si="5"/>
        <v>11.999999999999998</v>
      </c>
      <c r="AE47" s="23">
        <f t="shared" si="6"/>
        <v>7.2916666666666671E-2</v>
      </c>
      <c r="AF47" s="25">
        <f t="shared" si="7"/>
        <v>263.99999999999994</v>
      </c>
      <c r="AG47" s="25">
        <f t="shared" si="8"/>
        <v>200.56666666666663</v>
      </c>
      <c r="AH47" s="16">
        <f t="shared" si="9"/>
        <v>0.68571428571428561</v>
      </c>
      <c r="AI47" s="30"/>
      <c r="AJ47" s="14"/>
      <c r="AK47" s="30"/>
      <c r="AL47" s="30" t="s">
        <v>117</v>
      </c>
    </row>
    <row r="48" spans="1:38" ht="15" customHeight="1" x14ac:dyDescent="0.3">
      <c r="A48" s="78">
        <v>46035</v>
      </c>
      <c r="B48" s="21">
        <f t="shared" si="12"/>
        <v>1</v>
      </c>
      <c r="C48" s="18" t="s">
        <v>99</v>
      </c>
      <c r="D48" s="14">
        <v>1</v>
      </c>
      <c r="E48" s="14"/>
      <c r="F48" s="14">
        <f>41+5+121+6</f>
        <v>173</v>
      </c>
      <c r="G48" s="14">
        <f>10+1</f>
        <v>11</v>
      </c>
      <c r="H48" s="14">
        <f>6+1</f>
        <v>7</v>
      </c>
      <c r="I48" s="14"/>
      <c r="J48" s="14">
        <v>134</v>
      </c>
      <c r="K48" s="14">
        <v>1</v>
      </c>
      <c r="L48" s="14"/>
      <c r="M48" s="14"/>
      <c r="N48" s="14">
        <v>1</v>
      </c>
      <c r="O48" s="14"/>
      <c r="P48" s="14"/>
      <c r="Q48" s="14"/>
      <c r="R48" s="22">
        <f t="shared" si="13"/>
        <v>328</v>
      </c>
      <c r="S48" s="14"/>
      <c r="T48" s="31">
        <f>8+10+2</f>
        <v>20</v>
      </c>
      <c r="U48" s="23">
        <v>0.29166666666666669</v>
      </c>
      <c r="V48" s="23">
        <v>0.875</v>
      </c>
      <c r="W48" s="23" cm="1">
        <f t="array" ref="W48">_xlfn.IFS($U48="","",$AD48&gt;=6,TIME(1,0,0),$AD48&lt;=5,"")</f>
        <v>4.1666666666666664E-2</v>
      </c>
      <c r="X48" s="23"/>
      <c r="Y48" s="23" cm="1">
        <f t="array" ref="Y48">_xlfn.IFS($U48="","",AND($AD48&lt;=12,$AD48&gt;10),TIME(0,35,0),AND($AD48&lt;=10,$AD48&gt;5),TIME(0,20,0),AND($AD48&gt;12,$X48&lt;&gt;""),TIME(0,20,0),AND($AD48&gt;12,$X48=""),TIME(0,35,0),AND($AD48&gt;3,$AD48&lt;=5),TIME(0,10,0),$AD48&lt;=3,"")</f>
        <v>2.4305555555555556E-2</v>
      </c>
      <c r="Z48" s="23">
        <f t="shared" si="10"/>
        <v>6.9444444444444441E-3</v>
      </c>
      <c r="AA48" s="23"/>
      <c r="AB48" s="23"/>
      <c r="AC48" s="30"/>
      <c r="AD48" s="24">
        <f t="shared" si="5"/>
        <v>13.999999999999998</v>
      </c>
      <c r="AE48" s="23">
        <f t="shared" si="6"/>
        <v>7.2916666666666671E-2</v>
      </c>
      <c r="AF48" s="25">
        <f t="shared" si="7"/>
        <v>279.99999999999994</v>
      </c>
      <c r="AG48" s="25">
        <f t="shared" si="8"/>
        <v>244.99999999999997</v>
      </c>
      <c r="AH48" s="16">
        <f t="shared" si="9"/>
        <v>0.85365853658536572</v>
      </c>
      <c r="AI48" s="16">
        <f>IF(COUNTIF(A45:A48,A45)=4,1/SUM(AH45:AH48),"")</f>
        <v>0.46491047084440978</v>
      </c>
      <c r="AJ48" s="14"/>
      <c r="AK48" s="30"/>
      <c r="AL48" s="30" t="s">
        <v>118</v>
      </c>
    </row>
    <row r="49" spans="1:38" ht="15" customHeight="1" x14ac:dyDescent="0.3">
      <c r="A49" s="95">
        <v>46036</v>
      </c>
      <c r="B49" s="21">
        <f t="shared" si="12"/>
        <v>1</v>
      </c>
      <c r="C49" s="18" t="s">
        <v>96</v>
      </c>
      <c r="D49" s="14"/>
      <c r="E49" s="14"/>
      <c r="F49" s="14">
        <v>200</v>
      </c>
      <c r="G49" s="14">
        <f>100+1</f>
        <v>101</v>
      </c>
      <c r="H49" s="14"/>
      <c r="I49" s="14"/>
      <c r="J49" s="14">
        <v>200</v>
      </c>
      <c r="K49" s="14"/>
      <c r="L49" s="14"/>
      <c r="M49" s="14"/>
      <c r="N49" s="14"/>
      <c r="O49" s="14"/>
      <c r="P49" s="14"/>
      <c r="Q49" s="14"/>
      <c r="R49" s="22">
        <f t="shared" si="13"/>
        <v>501</v>
      </c>
      <c r="S49" s="14"/>
      <c r="T49" s="31">
        <f>13+4+4</f>
        <v>21</v>
      </c>
      <c r="U49" s="23">
        <v>0.29166666666666669</v>
      </c>
      <c r="V49" s="23">
        <v>0.79166666666666663</v>
      </c>
      <c r="W49" s="23" cm="1">
        <f t="array" ref="W49">_xlfn.IFS($U49="","",$AD49&gt;=6,TIME(1,0,0),$AD49&lt;=5,"")</f>
        <v>4.1666666666666664E-2</v>
      </c>
      <c r="X49" s="23"/>
      <c r="Y49" s="23" cm="1">
        <f t="array" ref="Y49">_xlfn.IFS($U49="","",AND($AD49&lt;=12,$AD49&gt;10),TIME(0,35,0),AND($AD49&lt;=10,$AD49&gt;5),TIME(0,20,0),AND($AD49&gt;12,$X49&lt;&gt;""),TIME(0,20,0),AND($AD49&gt;12,$X49=""),TIME(0,35,0),AND($AD49&gt;3,$AD49&lt;=5),TIME(0,10,0),$AD49&lt;=3,"")</f>
        <v>2.4305555555555556E-2</v>
      </c>
      <c r="Z49" s="23">
        <f t="shared" si="10"/>
        <v>6.9444444444444441E-3</v>
      </c>
      <c r="AA49" s="23"/>
      <c r="AB49" s="23"/>
      <c r="AC49" s="30"/>
      <c r="AD49" s="24">
        <f t="shared" si="5"/>
        <v>11.999999999999998</v>
      </c>
      <c r="AE49" s="23">
        <f t="shared" si="6"/>
        <v>7.2916666666666671E-2</v>
      </c>
      <c r="AF49" s="25">
        <f t="shared" si="7"/>
        <v>251.99999999999997</v>
      </c>
      <c r="AG49" s="25">
        <f t="shared" si="8"/>
        <v>215.24999999999997</v>
      </c>
      <c r="AH49" s="16">
        <f t="shared" si="9"/>
        <v>0.50299401197604787</v>
      </c>
      <c r="AI49" s="30"/>
      <c r="AJ49" s="14"/>
      <c r="AK49" s="30"/>
      <c r="AL49" s="30" t="s">
        <v>116</v>
      </c>
    </row>
    <row r="50" spans="1:38" ht="15" customHeight="1" x14ac:dyDescent="0.3">
      <c r="A50" s="95">
        <v>46036</v>
      </c>
      <c r="B50" s="21">
        <f t="shared" si="12"/>
        <v>1</v>
      </c>
      <c r="C50" s="18" t="s">
        <v>97</v>
      </c>
      <c r="D50" s="14">
        <v>1</v>
      </c>
      <c r="E50" s="14"/>
      <c r="F50" s="14">
        <v>103</v>
      </c>
      <c r="G50" s="14">
        <v>139</v>
      </c>
      <c r="H50" s="14">
        <v>4</v>
      </c>
      <c r="I50" s="14"/>
      <c r="J50" s="14">
        <v>180</v>
      </c>
      <c r="K50" s="14"/>
      <c r="L50" s="14"/>
      <c r="M50" s="14"/>
      <c r="N50" s="14"/>
      <c r="O50" s="14"/>
      <c r="P50" s="14"/>
      <c r="Q50" s="14">
        <v>15</v>
      </c>
      <c r="R50" s="22">
        <f t="shared" si="13"/>
        <v>442</v>
      </c>
      <c r="S50" s="14"/>
      <c r="T50" s="31">
        <f>1+4</f>
        <v>5</v>
      </c>
      <c r="U50" s="23">
        <v>0.29166666666666669</v>
      </c>
      <c r="V50" s="23">
        <v>0.79166666666666663</v>
      </c>
      <c r="W50" s="23" cm="1">
        <f t="array" ref="W50">_xlfn.IFS($U50="","",$AD50&gt;=6,TIME(1,0,0),$AD50&lt;=5,"")</f>
        <v>4.1666666666666664E-2</v>
      </c>
      <c r="X50" s="23"/>
      <c r="Y50" s="23" cm="1">
        <f t="array" ref="Y50">_xlfn.IFS($U50="","",AND($AD50&lt;=12,$AD50&gt;10),TIME(0,35,0),AND($AD50&lt;=10,$AD50&gt;5),TIME(0,20,0),AND($AD50&gt;12,$X50&lt;&gt;""),TIME(0,20,0),AND($AD50&gt;12,$X50=""),TIME(0,35,0),AND($AD50&gt;3,$AD50&lt;=5),TIME(0,10,0),$AD50&lt;=3,"")</f>
        <v>2.4305555555555556E-2</v>
      </c>
      <c r="Z50" s="23">
        <f t="shared" si="10"/>
        <v>6.9444444444444441E-3</v>
      </c>
      <c r="AA50" s="23"/>
      <c r="AB50" s="23"/>
      <c r="AC50" s="30"/>
      <c r="AD50" s="24">
        <f t="shared" si="5"/>
        <v>11.999999999999998</v>
      </c>
      <c r="AE50" s="23">
        <f t="shared" si="6"/>
        <v>7.2916666666666671E-2</v>
      </c>
      <c r="AF50" s="25">
        <f t="shared" si="7"/>
        <v>59.999999999999993</v>
      </c>
      <c r="AG50" s="25">
        <f t="shared" si="8"/>
        <v>51.249999999999993</v>
      </c>
      <c r="AH50" s="16">
        <f t="shared" si="9"/>
        <v>0.13574660633484162</v>
      </c>
      <c r="AI50" s="30"/>
      <c r="AJ50" s="14"/>
      <c r="AK50" s="30"/>
      <c r="AL50" s="30" t="s">
        <v>119</v>
      </c>
    </row>
    <row r="51" spans="1:38" ht="15" customHeight="1" x14ac:dyDescent="0.3">
      <c r="A51" s="95">
        <v>46036</v>
      </c>
      <c r="B51" s="21">
        <f t="shared" si="12"/>
        <v>1</v>
      </c>
      <c r="C51" s="18" t="s">
        <v>98</v>
      </c>
      <c r="D51" s="14">
        <v>1</v>
      </c>
      <c r="E51" s="14"/>
      <c r="F51" s="14">
        <v>87</v>
      </c>
      <c r="G51" s="14">
        <v>132</v>
      </c>
      <c r="H51" s="14"/>
      <c r="I51" s="14"/>
      <c r="J51" s="14">
        <v>138</v>
      </c>
      <c r="K51" s="14"/>
      <c r="L51" s="14"/>
      <c r="M51" s="14"/>
      <c r="N51" s="14"/>
      <c r="O51" s="14"/>
      <c r="P51" s="14"/>
      <c r="Q51" s="14">
        <v>15</v>
      </c>
      <c r="R51" s="22">
        <f t="shared" si="13"/>
        <v>373</v>
      </c>
      <c r="S51" s="14"/>
      <c r="T51" s="31">
        <f>12+7+6-1</f>
        <v>24</v>
      </c>
      <c r="U51" s="23">
        <v>0.29166666666666669</v>
      </c>
      <c r="V51" s="23">
        <v>0.79166666666666663</v>
      </c>
      <c r="W51" s="23" cm="1">
        <f t="array" ref="W51">_xlfn.IFS($U51="","",$AD51&gt;=6,TIME(1,0,0),$AD51&lt;=5,"")</f>
        <v>4.1666666666666664E-2</v>
      </c>
      <c r="X51" s="23"/>
      <c r="Y51" s="23" cm="1">
        <f t="array" ref="Y51">_xlfn.IFS($U51="","",AND($AD51&lt;=12,$AD51&gt;10),TIME(0,35,0),AND($AD51&lt;=10,$AD51&gt;5),TIME(0,20,0),AND($AD51&gt;12,$X51&lt;&gt;""),TIME(0,20,0),AND($AD51&gt;12,$X51=""),TIME(0,35,0),AND($AD51&gt;3,$AD51&lt;=5),TIME(0,10,0),$AD51&lt;=3,"")</f>
        <v>2.4305555555555556E-2</v>
      </c>
      <c r="Z51" s="23">
        <f t="shared" si="10"/>
        <v>6.9444444444444441E-3</v>
      </c>
      <c r="AA51" s="23">
        <v>8.5416666666666669E-2</v>
      </c>
      <c r="AB51" s="23"/>
      <c r="AC51" s="30"/>
      <c r="AD51" s="24">
        <f t="shared" si="5"/>
        <v>11.999999999999998</v>
      </c>
      <c r="AE51" s="23">
        <f t="shared" si="6"/>
        <v>7.2916666666666671E-2</v>
      </c>
      <c r="AF51" s="25">
        <f t="shared" si="7"/>
        <v>287.99999999999994</v>
      </c>
      <c r="AG51" s="25">
        <f t="shared" si="8"/>
        <v>196.79999999999998</v>
      </c>
      <c r="AH51" s="16">
        <f t="shared" si="9"/>
        <v>0.77211796246648778</v>
      </c>
      <c r="AI51" s="30"/>
      <c r="AJ51" s="14"/>
      <c r="AK51" s="30"/>
      <c r="AL51" s="30"/>
    </row>
    <row r="52" spans="1:38" ht="15" customHeight="1" x14ac:dyDescent="0.3">
      <c r="A52" s="95">
        <v>46036</v>
      </c>
      <c r="B52" s="21">
        <f t="shared" si="12"/>
        <v>1</v>
      </c>
      <c r="C52" s="18" t="s">
        <v>99</v>
      </c>
      <c r="D52" s="14">
        <f>6+1</f>
        <v>7</v>
      </c>
      <c r="E52" s="14"/>
      <c r="F52" s="14">
        <f>21+24+104</f>
        <v>149</v>
      </c>
      <c r="G52" s="14">
        <f>87+1</f>
        <v>88</v>
      </c>
      <c r="H52" s="14">
        <f>2+1</f>
        <v>3</v>
      </c>
      <c r="I52" s="14"/>
      <c r="J52" s="14">
        <v>97</v>
      </c>
      <c r="K52" s="14"/>
      <c r="L52" s="14"/>
      <c r="M52" s="14"/>
      <c r="N52" s="14"/>
      <c r="O52" s="14"/>
      <c r="P52" s="14"/>
      <c r="Q52" s="14">
        <v>8</v>
      </c>
      <c r="R52" s="22">
        <f t="shared" si="13"/>
        <v>352</v>
      </c>
      <c r="S52" s="14"/>
      <c r="T52" s="31">
        <f>8+10+4+2</f>
        <v>24</v>
      </c>
      <c r="U52" s="23">
        <v>0.29166666666666669</v>
      </c>
      <c r="V52" s="23">
        <v>0.875</v>
      </c>
      <c r="W52" s="23" cm="1">
        <f t="array" ref="W52">_xlfn.IFS($U52="","",$AD52&gt;=6,TIME(1,0,0),$AD52&lt;=5,"")</f>
        <v>4.1666666666666664E-2</v>
      </c>
      <c r="X52" s="23"/>
      <c r="Y52" s="23" cm="1">
        <f t="array" ref="Y52">_xlfn.IFS($U52="","",AND($AD52&lt;=12,$AD52&gt;10),TIME(0,35,0),AND($AD52&lt;=10,$AD52&gt;5),TIME(0,20,0),AND($AD52&gt;12,$X52&lt;&gt;""),TIME(0,20,0),AND($AD52&gt;12,$X52=""),TIME(0,35,0),AND($AD52&gt;3,$AD52&lt;=5),TIME(0,10,0),$AD52&lt;=3,"")</f>
        <v>2.4305555555555556E-2</v>
      </c>
      <c r="Z52" s="23">
        <f t="shared" si="10"/>
        <v>6.9444444444444441E-3</v>
      </c>
      <c r="AA52" s="23"/>
      <c r="AB52" s="23"/>
      <c r="AC52" s="30"/>
      <c r="AD52" s="24">
        <f t="shared" si="5"/>
        <v>13.999999999999998</v>
      </c>
      <c r="AE52" s="23">
        <f t="shared" si="6"/>
        <v>7.2916666666666671E-2</v>
      </c>
      <c r="AF52" s="25">
        <f t="shared" si="7"/>
        <v>335.99999999999994</v>
      </c>
      <c r="AG52" s="25">
        <f t="shared" si="8"/>
        <v>293.99999999999994</v>
      </c>
      <c r="AH52" s="16">
        <f t="shared" si="9"/>
        <v>0.95454545454545436</v>
      </c>
      <c r="AI52" s="16">
        <f>IF(COUNTIF(A49:A52,A49)=4,1/SUM(AH49:AH52),"")</f>
        <v>0.42276075675313518</v>
      </c>
      <c r="AJ52" s="14"/>
      <c r="AK52" s="30"/>
      <c r="AL52" s="30" t="s">
        <v>120</v>
      </c>
    </row>
    <row r="53" spans="1:38" ht="15" customHeight="1" x14ac:dyDescent="0.3">
      <c r="A53" s="78">
        <v>46037</v>
      </c>
      <c r="B53" s="21">
        <f t="shared" si="12"/>
        <v>1</v>
      </c>
      <c r="C53" s="18" t="s">
        <v>96</v>
      </c>
      <c r="D53" s="14"/>
      <c r="E53" s="14"/>
      <c r="F53" s="14">
        <f>150+100</f>
        <v>250</v>
      </c>
      <c r="G53" s="14"/>
      <c r="H53" s="14">
        <v>100</v>
      </c>
      <c r="I53" s="14"/>
      <c r="J53" s="14">
        <v>100</v>
      </c>
      <c r="K53" s="14"/>
      <c r="L53" s="14"/>
      <c r="M53" s="14"/>
      <c r="N53" s="14"/>
      <c r="O53" s="14"/>
      <c r="P53" s="14"/>
      <c r="Q53" s="14"/>
      <c r="R53" s="22">
        <f t="shared" si="13"/>
        <v>450</v>
      </c>
      <c r="S53" s="14"/>
      <c r="T53" s="31">
        <f>13+5+4-2</f>
        <v>20</v>
      </c>
      <c r="U53" s="23">
        <v>0.29166666666666669</v>
      </c>
      <c r="V53" s="23">
        <v>0.79166666666666663</v>
      </c>
      <c r="W53" s="23" cm="1">
        <f t="array" ref="W53">_xlfn.IFS($U53="","",$AD53&gt;=6,TIME(1,0,0),$AD53&lt;=5,"")</f>
        <v>4.1666666666666664E-2</v>
      </c>
      <c r="X53" s="23"/>
      <c r="Y53" s="23" cm="1">
        <f t="array" ref="Y53">_xlfn.IFS($U53="","",AND($AD53&lt;=12,$AD53&gt;10),TIME(0,35,0),AND($AD53&lt;=10,$AD53&gt;5),TIME(0,20,0),AND($AD53&gt;12,$X53&lt;&gt;""),TIME(0,20,0),AND($AD53&gt;12,$X53=""),TIME(0,35,0),AND($AD53&gt;3,$AD53&lt;=5),TIME(0,10,0),$AD53&lt;=3,"")</f>
        <v>2.4305555555555556E-2</v>
      </c>
      <c r="Z53" s="23">
        <f t="shared" si="10"/>
        <v>6.9444444444444441E-3</v>
      </c>
      <c r="AA53" s="23"/>
      <c r="AB53" s="23"/>
      <c r="AC53" s="30"/>
      <c r="AD53" s="24">
        <f t="shared" si="5"/>
        <v>11.999999999999998</v>
      </c>
      <c r="AE53" s="23">
        <f t="shared" si="6"/>
        <v>7.2916666666666671E-2</v>
      </c>
      <c r="AF53" s="25">
        <f t="shared" si="7"/>
        <v>239.99999999999997</v>
      </c>
      <c r="AG53" s="25">
        <f t="shared" si="8"/>
        <v>204.99999999999997</v>
      </c>
      <c r="AH53" s="16">
        <f t="shared" si="9"/>
        <v>0.53333333333333321</v>
      </c>
      <c r="AI53" s="30"/>
      <c r="AJ53" s="14"/>
      <c r="AK53" s="30"/>
      <c r="AL53" s="30" t="s">
        <v>121</v>
      </c>
    </row>
    <row r="54" spans="1:38" ht="15" customHeight="1" x14ac:dyDescent="0.3">
      <c r="A54" s="78">
        <v>46037</v>
      </c>
      <c r="B54" s="21">
        <f t="shared" si="12"/>
        <v>1</v>
      </c>
      <c r="C54" s="18" t="s">
        <v>97</v>
      </c>
      <c r="D54" s="14"/>
      <c r="E54" s="14"/>
      <c r="F54" s="14">
        <v>270</v>
      </c>
      <c r="G54" s="14">
        <v>70</v>
      </c>
      <c r="H54" s="14"/>
      <c r="I54" s="14"/>
      <c r="J54" s="14">
        <v>122</v>
      </c>
      <c r="K54" s="14"/>
      <c r="L54" s="14"/>
      <c r="M54" s="14"/>
      <c r="N54" s="14"/>
      <c r="O54" s="14"/>
      <c r="P54" s="14"/>
      <c r="Q54" s="14"/>
      <c r="R54" s="22">
        <f t="shared" si="13"/>
        <v>462</v>
      </c>
      <c r="S54" s="14"/>
      <c r="T54" s="31">
        <f>1+4</f>
        <v>5</v>
      </c>
      <c r="U54" s="23">
        <v>0.29166666666666669</v>
      </c>
      <c r="V54" s="23">
        <v>0.79166666666666663</v>
      </c>
      <c r="W54" s="23" cm="1">
        <f t="array" ref="W54">_xlfn.IFS($U54="","",$AD54&gt;=6,TIME(1,0,0),$AD54&lt;=5,"")</f>
        <v>4.1666666666666664E-2</v>
      </c>
      <c r="X54" s="23"/>
      <c r="Y54" s="23" cm="1">
        <f t="array" ref="Y54">_xlfn.IFS($U54="","",AND($AD54&lt;=12,$AD54&gt;10),TIME(0,35,0),AND($AD54&lt;=10,$AD54&gt;5),TIME(0,20,0),AND($AD54&gt;12,$X54&lt;&gt;""),TIME(0,20,0),AND($AD54&gt;12,$X54=""),TIME(0,35,0),AND($AD54&gt;3,$AD54&lt;=5),TIME(0,10,0),$AD54&lt;=3,"")</f>
        <v>2.4305555555555556E-2</v>
      </c>
      <c r="Z54" s="23">
        <f t="shared" si="10"/>
        <v>6.9444444444444441E-3</v>
      </c>
      <c r="AA54" s="23"/>
      <c r="AB54" s="23"/>
      <c r="AC54" s="30"/>
      <c r="AD54" s="24">
        <f t="shared" si="5"/>
        <v>11.999999999999998</v>
      </c>
      <c r="AE54" s="23">
        <f t="shared" si="6"/>
        <v>7.2916666666666671E-2</v>
      </c>
      <c r="AF54" s="25">
        <f t="shared" si="7"/>
        <v>59.999999999999993</v>
      </c>
      <c r="AG54" s="25">
        <f t="shared" si="8"/>
        <v>51.249999999999993</v>
      </c>
      <c r="AH54" s="16">
        <f t="shared" si="9"/>
        <v>0.12987012987012986</v>
      </c>
      <c r="AI54" s="30"/>
      <c r="AJ54" s="14"/>
      <c r="AK54" s="30"/>
      <c r="AL54" s="30"/>
    </row>
    <row r="55" spans="1:38" ht="15" customHeight="1" x14ac:dyDescent="0.3">
      <c r="A55" s="78">
        <v>46037</v>
      </c>
      <c r="B55" s="21">
        <f t="shared" si="12"/>
        <v>1</v>
      </c>
      <c r="C55" s="18" t="s">
        <v>98</v>
      </c>
      <c r="D55" s="14">
        <v>1</v>
      </c>
      <c r="E55" s="14"/>
      <c r="F55" s="14">
        <v>159</v>
      </c>
      <c r="G55" s="14">
        <v>87</v>
      </c>
      <c r="H55" s="14"/>
      <c r="I55" s="14"/>
      <c r="J55" s="14">
        <v>91</v>
      </c>
      <c r="K55" s="14"/>
      <c r="L55" s="14"/>
      <c r="M55" s="14"/>
      <c r="N55" s="14"/>
      <c r="O55" s="14"/>
      <c r="P55" s="14"/>
      <c r="Q55" s="14"/>
      <c r="R55" s="22">
        <f t="shared" si="13"/>
        <v>338</v>
      </c>
      <c r="S55" s="14"/>
      <c r="T55" s="31">
        <f>12+6+6</f>
        <v>24</v>
      </c>
      <c r="U55" s="23">
        <v>0.29166666666666669</v>
      </c>
      <c r="V55" s="23">
        <v>0.79166666666666663</v>
      </c>
      <c r="W55" s="23" cm="1">
        <f t="array" ref="W55">_xlfn.IFS($U55="","",$AD55&gt;=6,TIME(1,0,0),$AD55&lt;=5,"")</f>
        <v>4.1666666666666664E-2</v>
      </c>
      <c r="X55" s="23"/>
      <c r="Y55" s="23" cm="1">
        <f t="array" ref="Y55">_xlfn.IFS($U55="","",AND($AD55&lt;=12,$AD55&gt;10),TIME(0,35,0),AND($AD55&lt;=10,$AD55&gt;5),TIME(0,20,0),AND($AD55&gt;12,$X55&lt;&gt;""),TIME(0,20,0),AND($AD55&gt;12,$X55=""),TIME(0,35,0),AND($AD55&gt;3,$AD55&lt;=5),TIME(0,10,0),$AD55&lt;=3,"")</f>
        <v>2.4305555555555556E-2</v>
      </c>
      <c r="Z55" s="23">
        <f t="shared" si="10"/>
        <v>6.9444444444444441E-3</v>
      </c>
      <c r="AA55" s="23">
        <v>5.6944444444444443E-2</v>
      </c>
      <c r="AB55" s="23"/>
      <c r="AC55" s="30"/>
      <c r="AD55" s="24">
        <f t="shared" si="5"/>
        <v>11.999999999999998</v>
      </c>
      <c r="AE55" s="23">
        <f t="shared" si="6"/>
        <v>7.2916666666666671E-2</v>
      </c>
      <c r="AF55" s="25">
        <f t="shared" si="7"/>
        <v>287.99999999999994</v>
      </c>
      <c r="AG55" s="25">
        <f t="shared" si="8"/>
        <v>213.19999999999993</v>
      </c>
      <c r="AH55" s="16">
        <f t="shared" si="9"/>
        <v>0.85207100591715956</v>
      </c>
      <c r="AI55" s="30"/>
      <c r="AJ55" s="14"/>
      <c r="AK55" s="30"/>
      <c r="AL55" s="30" t="s">
        <v>122</v>
      </c>
    </row>
    <row r="56" spans="1:38" ht="15" customHeight="1" x14ac:dyDescent="0.3">
      <c r="A56" s="78">
        <v>46037</v>
      </c>
      <c r="B56" s="21">
        <f t="shared" si="12"/>
        <v>1</v>
      </c>
      <c r="C56" s="18" t="s">
        <v>99</v>
      </c>
      <c r="D56" s="14">
        <f>1+4</f>
        <v>5</v>
      </c>
      <c r="E56" s="14"/>
      <c r="F56" s="14">
        <f>9+174</f>
        <v>183</v>
      </c>
      <c r="G56" s="14">
        <v>114</v>
      </c>
      <c r="H56" s="14">
        <v>1</v>
      </c>
      <c r="I56" s="14"/>
      <c r="J56" s="14">
        <v>61</v>
      </c>
      <c r="K56" s="14"/>
      <c r="L56" s="14"/>
      <c r="M56" s="14"/>
      <c r="N56" s="14"/>
      <c r="O56" s="14"/>
      <c r="P56" s="14"/>
      <c r="Q56" s="14">
        <v>8</v>
      </c>
      <c r="R56" s="22">
        <f t="shared" si="13"/>
        <v>372</v>
      </c>
      <c r="S56" s="14"/>
      <c r="T56" s="31">
        <f>8+14</f>
        <v>22</v>
      </c>
      <c r="U56" s="23">
        <v>0.29166666666666669</v>
      </c>
      <c r="V56" s="23">
        <v>0.875</v>
      </c>
      <c r="W56" s="23" cm="1">
        <f t="array" ref="W56">_xlfn.IFS($U56="","",$AD56&gt;=6,TIME(1,0,0),$AD56&lt;=5,"")</f>
        <v>4.1666666666666664E-2</v>
      </c>
      <c r="X56" s="23"/>
      <c r="Y56" s="23" cm="1">
        <f t="array" ref="Y56">_xlfn.IFS($U56="","",AND($AD56&lt;=12,$AD56&gt;10),TIME(0,35,0),AND($AD56&lt;=10,$AD56&gt;5),TIME(0,20,0),AND($AD56&gt;12,$X56&lt;&gt;""),TIME(0,20,0),AND($AD56&gt;12,$X56=""),TIME(0,35,0),AND($AD56&gt;3,$AD56&lt;=5),TIME(0,10,0),$AD56&lt;=3,"")</f>
        <v>2.4305555555555556E-2</v>
      </c>
      <c r="Z56" s="23">
        <f t="shared" si="10"/>
        <v>6.9444444444444441E-3</v>
      </c>
      <c r="AA56" s="23"/>
      <c r="AB56" s="23"/>
      <c r="AC56" s="30"/>
      <c r="AD56" s="24">
        <f t="shared" si="5"/>
        <v>13.999999999999998</v>
      </c>
      <c r="AE56" s="23">
        <f t="shared" si="6"/>
        <v>7.2916666666666671E-2</v>
      </c>
      <c r="AF56" s="25">
        <f t="shared" si="7"/>
        <v>307.99999999999994</v>
      </c>
      <c r="AG56" s="25">
        <f t="shared" si="8"/>
        <v>269.49999999999994</v>
      </c>
      <c r="AH56" s="16">
        <f t="shared" si="9"/>
        <v>0.82795698924731165</v>
      </c>
      <c r="AI56" s="16">
        <f>IF(COUNTIF(A53:A56,A53)=4,1/SUM(AH53:AH56),"")</f>
        <v>0.42676108517956746</v>
      </c>
      <c r="AJ56" s="14"/>
      <c r="AK56" s="30"/>
      <c r="AL56" s="30" t="s">
        <v>120</v>
      </c>
    </row>
    <row r="57" spans="1:38" ht="15" customHeight="1" x14ac:dyDescent="0.3">
      <c r="A57" s="95">
        <v>46038</v>
      </c>
      <c r="B57" s="21">
        <f t="shared" si="12"/>
        <v>1</v>
      </c>
      <c r="C57" s="18" t="s">
        <v>96</v>
      </c>
      <c r="D57" s="14"/>
      <c r="E57" s="14"/>
      <c r="F57" s="14">
        <f>250+2</f>
        <v>252</v>
      </c>
      <c r="G57" s="14">
        <v>100</v>
      </c>
      <c r="H57" s="14"/>
      <c r="I57" s="14"/>
      <c r="J57" s="14">
        <v>50</v>
      </c>
      <c r="K57" s="14"/>
      <c r="L57" s="14"/>
      <c r="M57" s="14"/>
      <c r="N57" s="14"/>
      <c r="O57" s="14"/>
      <c r="P57" s="14"/>
      <c r="Q57" s="14"/>
      <c r="R57" s="22">
        <f t="shared" si="13"/>
        <v>402</v>
      </c>
      <c r="S57" s="14"/>
      <c r="T57" s="31">
        <f>13+4+4-2</f>
        <v>19</v>
      </c>
      <c r="U57" s="23">
        <v>0.29166666666666669</v>
      </c>
      <c r="V57" s="23">
        <v>0.79166666666666663</v>
      </c>
      <c r="W57" s="23" cm="1">
        <f t="array" ref="W57">_xlfn.IFS($U57="","",$AD57&gt;=6,TIME(1,0,0),$AD57&lt;=5,"")</f>
        <v>4.1666666666666664E-2</v>
      </c>
      <c r="X57" s="23"/>
      <c r="Y57" s="23" cm="1">
        <f t="array" ref="Y57">_xlfn.IFS($U57="","",AND($AD57&lt;=12,$AD57&gt;10),TIME(0,35,0),AND($AD57&lt;=10,$AD57&gt;5),TIME(0,20,0),AND($AD57&gt;12,$X57&lt;&gt;""),TIME(0,20,0),AND($AD57&gt;12,$X57=""),TIME(0,35,0),AND($AD57&gt;3,$AD57&lt;=5),TIME(0,10,0),$AD57&lt;=3,"")</f>
        <v>2.4305555555555556E-2</v>
      </c>
      <c r="Z57" s="23">
        <f t="shared" si="10"/>
        <v>6.9444444444444441E-3</v>
      </c>
      <c r="AA57" s="23"/>
      <c r="AB57" s="23"/>
      <c r="AC57" s="30"/>
      <c r="AD57" s="24">
        <f t="shared" si="5"/>
        <v>11.999999999999998</v>
      </c>
      <c r="AE57" s="23">
        <f t="shared" si="6"/>
        <v>7.2916666666666671E-2</v>
      </c>
      <c r="AF57" s="25">
        <f t="shared" si="7"/>
        <v>227.99999999999997</v>
      </c>
      <c r="AG57" s="25">
        <f t="shared" si="8"/>
        <v>194.74999999999997</v>
      </c>
      <c r="AH57" s="16">
        <f t="shared" si="9"/>
        <v>0.56716417910447758</v>
      </c>
      <c r="AI57" s="30"/>
      <c r="AJ57" s="14"/>
      <c r="AK57" s="30"/>
      <c r="AL57" s="30" t="s">
        <v>123</v>
      </c>
    </row>
    <row r="58" spans="1:38" ht="15" customHeight="1" x14ac:dyDescent="0.3">
      <c r="A58" s="95">
        <v>46038</v>
      </c>
      <c r="B58" s="21">
        <f t="shared" si="12"/>
        <v>1</v>
      </c>
      <c r="C58" s="18" t="s">
        <v>97</v>
      </c>
      <c r="D58" s="14"/>
      <c r="E58" s="14"/>
      <c r="F58" s="14">
        <v>260</v>
      </c>
      <c r="G58" s="14">
        <v>146</v>
      </c>
      <c r="H58" s="14"/>
      <c r="I58" s="14"/>
      <c r="J58" s="14">
        <v>15</v>
      </c>
      <c r="K58" s="14"/>
      <c r="L58" s="14"/>
      <c r="M58" s="14"/>
      <c r="N58" s="14"/>
      <c r="O58" s="14"/>
      <c r="P58" s="14"/>
      <c r="Q58" s="14"/>
      <c r="R58" s="22">
        <f t="shared" si="13"/>
        <v>421</v>
      </c>
      <c r="S58" s="14"/>
      <c r="T58" s="31">
        <f>1+4</f>
        <v>5</v>
      </c>
      <c r="U58" s="23">
        <v>0.29166666666666669</v>
      </c>
      <c r="V58" s="23">
        <v>0.79166666666666663</v>
      </c>
      <c r="W58" s="23" cm="1">
        <f t="array" ref="W58">_xlfn.IFS($U58="","",$AD58&gt;=6,TIME(1,0,0),$AD58&lt;=5,"")</f>
        <v>4.1666666666666664E-2</v>
      </c>
      <c r="X58" s="23"/>
      <c r="Y58" s="23" cm="1">
        <f t="array" ref="Y58">_xlfn.IFS($U58="","",AND($AD58&lt;=12,$AD58&gt;10),TIME(0,35,0),AND($AD58&lt;=10,$AD58&gt;5),TIME(0,20,0),AND($AD58&gt;12,$X58&lt;&gt;""),TIME(0,20,0),AND($AD58&gt;12,$X58=""),TIME(0,35,0),AND($AD58&gt;3,$AD58&lt;=5),TIME(0,10,0),$AD58&lt;=3,"")</f>
        <v>2.4305555555555556E-2</v>
      </c>
      <c r="Z58" s="23">
        <f t="shared" si="10"/>
        <v>6.9444444444444441E-3</v>
      </c>
      <c r="AA58" s="23"/>
      <c r="AB58" s="23"/>
      <c r="AC58" s="30"/>
      <c r="AD58" s="24">
        <f t="shared" si="5"/>
        <v>11.999999999999998</v>
      </c>
      <c r="AE58" s="23">
        <f t="shared" si="6"/>
        <v>7.2916666666666671E-2</v>
      </c>
      <c r="AF58" s="25">
        <f t="shared" si="7"/>
        <v>59.999999999999993</v>
      </c>
      <c r="AG58" s="25">
        <f t="shared" si="8"/>
        <v>51.249999999999993</v>
      </c>
      <c r="AH58" s="16">
        <f t="shared" si="9"/>
        <v>0.14251781472684083</v>
      </c>
      <c r="AI58" s="30"/>
      <c r="AJ58" s="14"/>
      <c r="AK58" s="30"/>
      <c r="AL58" s="30"/>
    </row>
    <row r="59" spans="1:38" ht="15" customHeight="1" x14ac:dyDescent="0.3">
      <c r="A59" s="95">
        <v>46038</v>
      </c>
      <c r="B59" s="21">
        <f t="shared" si="12"/>
        <v>1</v>
      </c>
      <c r="C59" s="18" t="s">
        <v>98</v>
      </c>
      <c r="D59" s="14">
        <v>1</v>
      </c>
      <c r="E59" s="14"/>
      <c r="F59" s="14">
        <v>137</v>
      </c>
      <c r="G59" s="14">
        <v>117</v>
      </c>
      <c r="H59" s="14"/>
      <c r="I59" s="14"/>
      <c r="J59" s="14">
        <v>87</v>
      </c>
      <c r="K59" s="14"/>
      <c r="L59" s="14"/>
      <c r="M59" s="14"/>
      <c r="N59" s="14"/>
      <c r="O59" s="14"/>
      <c r="P59" s="14"/>
      <c r="Q59" s="14"/>
      <c r="R59" s="22">
        <f t="shared" si="13"/>
        <v>342</v>
      </c>
      <c r="S59" s="14"/>
      <c r="T59" s="31">
        <f>12+6+6</f>
        <v>24</v>
      </c>
      <c r="U59" s="23">
        <v>0.29166666666666669</v>
      </c>
      <c r="V59" s="23">
        <v>0.79166666666666663</v>
      </c>
      <c r="W59" s="23" cm="1">
        <f t="array" ref="W59">_xlfn.IFS($U59="","",$AD59&gt;=6,TIME(1,0,0),$AD59&lt;=5,"")</f>
        <v>4.1666666666666664E-2</v>
      </c>
      <c r="X59" s="23"/>
      <c r="Y59" s="23" cm="1">
        <f t="array" ref="Y59">_xlfn.IFS($U59="","",AND($AD59&lt;=12,$AD59&gt;10),TIME(0,35,0),AND($AD59&lt;=10,$AD59&gt;5),TIME(0,20,0),AND($AD59&gt;12,$X59&lt;&gt;""),TIME(0,20,0),AND($AD59&gt;12,$X59=""),TIME(0,35,0),AND($AD59&gt;3,$AD59&lt;=5),TIME(0,10,0),$AD59&lt;=3,"")</f>
        <v>2.4305555555555556E-2</v>
      </c>
      <c r="Z59" s="23">
        <f t="shared" si="10"/>
        <v>6.9444444444444441E-3</v>
      </c>
      <c r="AA59" s="23">
        <v>0.10416666666666667</v>
      </c>
      <c r="AB59" s="23"/>
      <c r="AC59" s="30"/>
      <c r="AD59" s="24">
        <f t="shared" ref="AD59:AD117" si="14">IF($U59="","",MOD($V59-$U59,1)*24)</f>
        <v>11.999999999999998</v>
      </c>
      <c r="AE59" s="23">
        <f t="shared" ref="AE59:AE117" si="15">IF($U59="","",SUM($W59:$Z59))</f>
        <v>7.2916666666666671E-2</v>
      </c>
      <c r="AF59" s="25">
        <f t="shared" ref="AF59:AF117" si="16">IF(OR($T59="",$AD59=""),"",$AD59*$T59)</f>
        <v>287.99999999999994</v>
      </c>
      <c r="AG59" s="25">
        <f t="shared" ref="AG59:AG117" si="17">IF(OR($T59="",$AD59=""),"",($AD59-($AE59+$AA59)*24)*$T59)</f>
        <v>185.99999999999994</v>
      </c>
      <c r="AH59" s="16">
        <f t="shared" ref="AH59:AH117" si="18">IF(OR($R59=0,$T59="",$AF59=""),"",$AF59/$R59)</f>
        <v>0.84210526315789458</v>
      </c>
      <c r="AI59" s="30"/>
      <c r="AJ59" s="14"/>
      <c r="AK59" s="30"/>
      <c r="AL59" s="30" t="s">
        <v>124</v>
      </c>
    </row>
    <row r="60" spans="1:38" ht="15" customHeight="1" x14ac:dyDescent="0.3">
      <c r="A60" s="95">
        <v>46038</v>
      </c>
      <c r="B60" s="21">
        <f t="shared" si="12"/>
        <v>1</v>
      </c>
      <c r="C60" s="18" t="s">
        <v>99</v>
      </c>
      <c r="D60" s="14"/>
      <c r="E60" s="14"/>
      <c r="F60" s="14">
        <f>102+6</f>
        <v>108</v>
      </c>
      <c r="G60" s="14">
        <v>85</v>
      </c>
      <c r="H60" s="14"/>
      <c r="I60" s="14"/>
      <c r="J60" s="14">
        <v>104</v>
      </c>
      <c r="K60" s="14"/>
      <c r="L60" s="14"/>
      <c r="M60" s="14"/>
      <c r="N60" s="14"/>
      <c r="O60" s="14"/>
      <c r="P60" s="14"/>
      <c r="Q60" s="14"/>
      <c r="R60" s="22">
        <f t="shared" si="13"/>
        <v>297</v>
      </c>
      <c r="S60" s="14"/>
      <c r="T60" s="31">
        <f>8+13+2</f>
        <v>23</v>
      </c>
      <c r="U60" s="23">
        <v>0.29166666666666669</v>
      </c>
      <c r="V60" s="23">
        <v>0.875</v>
      </c>
      <c r="W60" s="23" cm="1">
        <f t="array" ref="W60">_xlfn.IFS($U60="","",$AD60&gt;=6,TIME(1,0,0),$AD60&lt;=5,"")</f>
        <v>4.1666666666666664E-2</v>
      </c>
      <c r="X60" s="23"/>
      <c r="Y60" s="23" cm="1">
        <f t="array" ref="Y60">_xlfn.IFS($U60="","",AND($AD60&lt;=12,$AD60&gt;10),TIME(0,35,0),AND($AD60&lt;=10,$AD60&gt;5),TIME(0,20,0),AND($AD60&gt;12,$X60&lt;&gt;""),TIME(0,20,0),AND($AD60&gt;12,$X60=""),TIME(0,35,0),AND($AD60&gt;3,$AD60&lt;=5),TIME(0,10,0),$AD60&lt;=3,"")</f>
        <v>2.4305555555555556E-2</v>
      </c>
      <c r="Z60" s="23">
        <f t="shared" si="10"/>
        <v>6.9444444444444441E-3</v>
      </c>
      <c r="AA60" s="23">
        <v>0.14583333333333334</v>
      </c>
      <c r="AB60" s="23"/>
      <c r="AC60" s="30"/>
      <c r="AD60" s="24">
        <f t="shared" si="14"/>
        <v>13.999999999999998</v>
      </c>
      <c r="AE60" s="23">
        <f t="shared" si="15"/>
        <v>7.2916666666666671E-2</v>
      </c>
      <c r="AF60" s="25">
        <f t="shared" si="16"/>
        <v>321.99999999999994</v>
      </c>
      <c r="AG60" s="25">
        <f t="shared" si="17"/>
        <v>201.24999999999997</v>
      </c>
      <c r="AH60" s="16">
        <f t="shared" si="18"/>
        <v>1.0841750841750839</v>
      </c>
      <c r="AI60" s="16">
        <f>IF(COUNTIF(A57:A60,A57)=4,1/SUM(AH57:AH60),"")</f>
        <v>0.37936809050098297</v>
      </c>
      <c r="AJ60" s="14"/>
      <c r="AK60" s="30"/>
      <c r="AL60" s="30" t="s">
        <v>125</v>
      </c>
    </row>
    <row r="61" spans="1:38" ht="15" customHeight="1" x14ac:dyDescent="0.3">
      <c r="A61" s="78">
        <v>46039</v>
      </c>
      <c r="B61" s="21">
        <f t="shared" si="12"/>
        <v>1</v>
      </c>
      <c r="C61" s="18" t="s">
        <v>96</v>
      </c>
      <c r="D61" s="14">
        <v>15</v>
      </c>
      <c r="E61" s="14"/>
      <c r="F61" s="14">
        <v>120</v>
      </c>
      <c r="G61" s="14"/>
      <c r="H61" s="14"/>
      <c r="I61" s="14"/>
      <c r="J61" s="14">
        <f>120+100</f>
        <v>220</v>
      </c>
      <c r="K61" s="14"/>
      <c r="L61" s="14"/>
      <c r="M61" s="14"/>
      <c r="N61" s="14"/>
      <c r="O61" s="14"/>
      <c r="P61" s="14"/>
      <c r="Q61" s="14"/>
      <c r="R61" s="22">
        <f t="shared" si="13"/>
        <v>355</v>
      </c>
      <c r="S61" s="14"/>
      <c r="T61" s="31">
        <f>13+4+3-1</f>
        <v>19</v>
      </c>
      <c r="U61" s="23">
        <v>0.29166666666666669</v>
      </c>
      <c r="V61" s="23">
        <v>0.79166666666666663</v>
      </c>
      <c r="W61" s="23" cm="1">
        <f t="array" ref="W61">_xlfn.IFS($U61="","",$AD61&gt;=6,TIME(1,0,0),$AD61&lt;=5,"")</f>
        <v>4.1666666666666664E-2</v>
      </c>
      <c r="X61" s="23"/>
      <c r="Y61" s="23" cm="1">
        <f t="array" ref="Y61">_xlfn.IFS($U61="","",AND($AD61&lt;=12,$AD61&gt;10),TIME(0,35,0),AND($AD61&lt;=10,$AD61&gt;5),TIME(0,20,0),AND($AD61&gt;12,$X61&lt;&gt;""),TIME(0,20,0),AND($AD61&gt;12,$X61=""),TIME(0,35,0),AND($AD61&gt;3,$AD61&lt;=5),TIME(0,10,0),$AD61&lt;=3,"")</f>
        <v>2.4305555555555556E-2</v>
      </c>
      <c r="Z61" s="23">
        <f t="shared" si="10"/>
        <v>6.9444444444444441E-3</v>
      </c>
      <c r="AA61" s="23"/>
      <c r="AB61" s="23"/>
      <c r="AC61" s="30"/>
      <c r="AD61" s="24">
        <f t="shared" si="14"/>
        <v>11.999999999999998</v>
      </c>
      <c r="AE61" s="23">
        <f t="shared" si="15"/>
        <v>7.2916666666666671E-2</v>
      </c>
      <c r="AF61" s="25">
        <f t="shared" si="16"/>
        <v>227.99999999999997</v>
      </c>
      <c r="AG61" s="25">
        <f t="shared" si="17"/>
        <v>194.74999999999997</v>
      </c>
      <c r="AH61" s="16">
        <f t="shared" si="18"/>
        <v>0.64225352112676048</v>
      </c>
      <c r="AI61" s="30"/>
      <c r="AJ61" s="14"/>
      <c r="AK61" s="30"/>
      <c r="AL61" s="30" t="s">
        <v>126</v>
      </c>
    </row>
    <row r="62" spans="1:38" ht="15" customHeight="1" x14ac:dyDescent="0.3">
      <c r="A62" s="78">
        <v>46039</v>
      </c>
      <c r="B62" s="21">
        <f t="shared" si="12"/>
        <v>1</v>
      </c>
      <c r="C62" s="18" t="s">
        <v>97</v>
      </c>
      <c r="D62" s="14"/>
      <c r="E62" s="14"/>
      <c r="F62" s="14">
        <v>191</v>
      </c>
      <c r="G62" s="14">
        <v>6</v>
      </c>
      <c r="H62" s="14"/>
      <c r="I62" s="14"/>
      <c r="J62" s="14">
        <v>217</v>
      </c>
      <c r="K62" s="14"/>
      <c r="L62" s="14"/>
      <c r="M62" s="14"/>
      <c r="N62" s="14"/>
      <c r="O62" s="14"/>
      <c r="P62" s="14"/>
      <c r="Q62" s="14"/>
      <c r="R62" s="22">
        <f t="shared" si="13"/>
        <v>414</v>
      </c>
      <c r="S62" s="14"/>
      <c r="T62" s="31">
        <f>1+4</f>
        <v>5</v>
      </c>
      <c r="U62" s="23">
        <v>0.29166666666666669</v>
      </c>
      <c r="V62" s="23">
        <v>0.79166666666666663</v>
      </c>
      <c r="W62" s="23" cm="1">
        <f t="array" ref="W62">_xlfn.IFS($U62="","",$AD62&gt;=6,TIME(1,0,0),$AD62&lt;=5,"")</f>
        <v>4.1666666666666664E-2</v>
      </c>
      <c r="X62" s="23"/>
      <c r="Y62" s="23" cm="1">
        <f t="array" ref="Y62">_xlfn.IFS($U62="","",AND($AD62&lt;=12,$AD62&gt;10),TIME(0,35,0),AND($AD62&lt;=10,$AD62&gt;5),TIME(0,20,0),AND($AD62&gt;12,$X62&lt;&gt;""),TIME(0,20,0),AND($AD62&gt;12,$X62=""),TIME(0,35,0),AND($AD62&gt;3,$AD62&lt;=5),TIME(0,10,0),$AD62&lt;=3,"")</f>
        <v>2.4305555555555556E-2</v>
      </c>
      <c r="Z62" s="23">
        <f t="shared" si="10"/>
        <v>6.9444444444444441E-3</v>
      </c>
      <c r="AA62" s="23"/>
      <c r="AB62" s="23"/>
      <c r="AC62" s="30"/>
      <c r="AD62" s="24">
        <f t="shared" si="14"/>
        <v>11.999999999999998</v>
      </c>
      <c r="AE62" s="23">
        <f t="shared" si="15"/>
        <v>7.2916666666666671E-2</v>
      </c>
      <c r="AF62" s="25">
        <f t="shared" si="16"/>
        <v>59.999999999999993</v>
      </c>
      <c r="AG62" s="25">
        <f t="shared" si="17"/>
        <v>51.249999999999993</v>
      </c>
      <c r="AH62" s="16">
        <f t="shared" si="18"/>
        <v>0.14492753623188404</v>
      </c>
      <c r="AI62" s="30"/>
      <c r="AJ62" s="14"/>
      <c r="AK62" s="30"/>
      <c r="AL62" s="30"/>
    </row>
    <row r="63" spans="1:38" ht="15" customHeight="1" x14ac:dyDescent="0.3">
      <c r="A63" s="78">
        <v>46039</v>
      </c>
      <c r="B63" s="21">
        <f t="shared" si="12"/>
        <v>1</v>
      </c>
      <c r="C63" s="18" t="s">
        <v>98</v>
      </c>
      <c r="D63" s="14"/>
      <c r="E63" s="14"/>
      <c r="F63" s="14">
        <v>120</v>
      </c>
      <c r="G63" s="14">
        <v>59</v>
      </c>
      <c r="H63" s="14"/>
      <c r="I63" s="14"/>
      <c r="J63" s="14">
        <v>206</v>
      </c>
      <c r="K63" s="14"/>
      <c r="L63" s="14"/>
      <c r="M63" s="14"/>
      <c r="N63" s="14">
        <v>9</v>
      </c>
      <c r="O63" s="14"/>
      <c r="P63" s="14"/>
      <c r="Q63" s="14"/>
      <c r="R63" s="22">
        <f t="shared" si="13"/>
        <v>394</v>
      </c>
      <c r="S63" s="14"/>
      <c r="T63" s="31">
        <f>12+7+5-1</f>
        <v>23</v>
      </c>
      <c r="U63" s="23">
        <v>0.29166666666666669</v>
      </c>
      <c r="V63" s="23">
        <v>0.79166666666666663</v>
      </c>
      <c r="W63" s="23" cm="1">
        <f t="array" ref="W63">_xlfn.IFS($U63="","",$AD63&gt;=6,TIME(1,0,0),$AD63&lt;=5,"")</f>
        <v>4.1666666666666664E-2</v>
      </c>
      <c r="X63" s="23"/>
      <c r="Y63" s="23" cm="1">
        <f t="array" ref="Y63">_xlfn.IFS($U63="","",AND($AD63&lt;=12,$AD63&gt;10),TIME(0,35,0),AND($AD63&lt;=10,$AD63&gt;5),TIME(0,20,0),AND($AD63&gt;12,$X63&lt;&gt;""),TIME(0,20,0),AND($AD63&gt;12,$X63=""),TIME(0,35,0),AND($AD63&gt;3,$AD63&lt;=5),TIME(0,10,0),$AD63&lt;=3,"")</f>
        <v>2.4305555555555556E-2</v>
      </c>
      <c r="Z63" s="23">
        <f t="shared" si="10"/>
        <v>6.9444444444444441E-3</v>
      </c>
      <c r="AA63" s="23">
        <v>3.125E-2</v>
      </c>
      <c r="AB63" s="23"/>
      <c r="AC63" s="30"/>
      <c r="AD63" s="24">
        <f t="shared" si="14"/>
        <v>11.999999999999998</v>
      </c>
      <c r="AE63" s="23">
        <f t="shared" si="15"/>
        <v>7.2916666666666671E-2</v>
      </c>
      <c r="AF63" s="25">
        <f t="shared" si="16"/>
        <v>275.99999999999994</v>
      </c>
      <c r="AG63" s="25">
        <f t="shared" si="17"/>
        <v>218.49999999999997</v>
      </c>
      <c r="AH63" s="16">
        <f t="shared" si="18"/>
        <v>0.70050761421319785</v>
      </c>
      <c r="AI63" s="30"/>
      <c r="AJ63" s="14"/>
      <c r="AK63" s="30"/>
      <c r="AL63" s="30" t="s">
        <v>127</v>
      </c>
    </row>
    <row r="64" spans="1:38" ht="15" customHeight="1" x14ac:dyDescent="0.3">
      <c r="A64" s="78">
        <v>46039</v>
      </c>
      <c r="B64" s="21">
        <f t="shared" si="12"/>
        <v>1</v>
      </c>
      <c r="C64" s="18" t="s">
        <v>99</v>
      </c>
      <c r="D64" s="14">
        <v>1</v>
      </c>
      <c r="E64" s="14"/>
      <c r="F64" s="14">
        <f>31+42</f>
        <v>73</v>
      </c>
      <c r="G64" s="14">
        <v>84</v>
      </c>
      <c r="H64" s="14">
        <v>2</v>
      </c>
      <c r="I64" s="14"/>
      <c r="J64" s="14">
        <v>162</v>
      </c>
      <c r="K64" s="14"/>
      <c r="L64" s="14"/>
      <c r="M64" s="14"/>
      <c r="N64" s="14">
        <v>8</v>
      </c>
      <c r="O64" s="14"/>
      <c r="P64" s="14"/>
      <c r="Q64" s="14">
        <v>1</v>
      </c>
      <c r="R64" s="22">
        <f t="shared" si="13"/>
        <v>331</v>
      </c>
      <c r="S64" s="14"/>
      <c r="T64" s="31">
        <f>8+10+2</f>
        <v>20</v>
      </c>
      <c r="U64" s="23">
        <v>0.29166666666666669</v>
      </c>
      <c r="V64" s="23">
        <v>0.875</v>
      </c>
      <c r="W64" s="23" cm="1">
        <f t="array" ref="W64">_xlfn.IFS($U64="","",$AD64&gt;=6,TIME(1,0,0),$AD64&lt;=5,"")</f>
        <v>4.1666666666666664E-2</v>
      </c>
      <c r="X64" s="23"/>
      <c r="Y64" s="23" cm="1">
        <f t="array" ref="Y64">_xlfn.IFS($U64="","",AND($AD64&lt;=12,$AD64&gt;10),TIME(0,35,0),AND($AD64&lt;=10,$AD64&gt;5),TIME(0,20,0),AND($AD64&gt;12,$X64&lt;&gt;""),TIME(0,20,0),AND($AD64&gt;12,$X64=""),TIME(0,35,0),AND($AD64&gt;3,$AD64&lt;=5),TIME(0,10,0),$AD64&lt;=3,"")</f>
        <v>2.4305555555555556E-2</v>
      </c>
      <c r="Z64" s="23">
        <f t="shared" si="10"/>
        <v>6.9444444444444441E-3</v>
      </c>
      <c r="AA64" s="23">
        <v>0.19791666666666666</v>
      </c>
      <c r="AB64" s="23"/>
      <c r="AC64" s="30"/>
      <c r="AD64" s="24">
        <f t="shared" si="14"/>
        <v>13.999999999999998</v>
      </c>
      <c r="AE64" s="23">
        <f t="shared" si="15"/>
        <v>7.2916666666666671E-2</v>
      </c>
      <c r="AF64" s="25">
        <f t="shared" si="16"/>
        <v>279.99999999999994</v>
      </c>
      <c r="AG64" s="25">
        <f t="shared" si="17"/>
        <v>149.99999999999997</v>
      </c>
      <c r="AH64" s="16">
        <f t="shared" si="18"/>
        <v>0.84592145015105724</v>
      </c>
      <c r="AI64" s="16">
        <f>IF(COUNTIF(A61:A64,A61)=4,1/SUM(AH61:AH64),"")</f>
        <v>0.42852059591758285</v>
      </c>
      <c r="AJ64" s="14"/>
      <c r="AK64" s="30"/>
      <c r="AL64" s="30" t="s">
        <v>128</v>
      </c>
    </row>
    <row r="65" spans="1:38" ht="15" customHeight="1" x14ac:dyDescent="0.3">
      <c r="A65" s="95">
        <v>46040</v>
      </c>
      <c r="B65" s="21">
        <f t="shared" si="12"/>
        <v>1</v>
      </c>
      <c r="C65" s="18" t="s">
        <v>99</v>
      </c>
      <c r="D65" s="14"/>
      <c r="E65" s="14"/>
      <c r="F65" s="14">
        <v>313</v>
      </c>
      <c r="G65" s="14"/>
      <c r="H65" s="14"/>
      <c r="I65" s="14"/>
      <c r="J65" s="14">
        <v>57</v>
      </c>
      <c r="K65" s="14"/>
      <c r="L65" s="14"/>
      <c r="M65" s="14"/>
      <c r="N65" s="14"/>
      <c r="O65" s="14"/>
      <c r="P65" s="14"/>
      <c r="Q65" s="14"/>
      <c r="R65" s="22">
        <f t="shared" si="13"/>
        <v>370</v>
      </c>
      <c r="S65" s="14"/>
      <c r="T65" s="31">
        <f>14+5+5</f>
        <v>24</v>
      </c>
      <c r="U65" s="23">
        <v>0.29166666666666669</v>
      </c>
      <c r="V65" s="23">
        <v>0.70833333333333337</v>
      </c>
      <c r="W65" s="23" cm="1">
        <f t="array" ref="W65">_xlfn.IFS($U65="","",$AD65&gt;=6,TIME(1,0,0),$AD65&lt;=5,"")</f>
        <v>4.1666666666666664E-2</v>
      </c>
      <c r="X65" s="23"/>
      <c r="Y65" s="23" cm="1">
        <f t="array" ref="Y65">_xlfn.IFS($U65="","",AND($AD65&lt;=12,$AD65&gt;10),TIME(0,35,0),AND($AD65&lt;=10,$AD65&gt;5),TIME(0,20,0),AND($AD65&gt;12,$X65&lt;&gt;""),TIME(0,20,0),AND($AD65&gt;12,$X65=""),TIME(0,35,0),AND($AD65&gt;3,$AD65&lt;=5),TIME(0,10,0),$AD65&lt;=3,"")</f>
        <v>1.3888888888888888E-2</v>
      </c>
      <c r="Z65" s="23">
        <f t="shared" ref="Z65:Z123" si="19">IF($U65&lt;&gt;"",TIME(0,10,0),"")</f>
        <v>6.9444444444444441E-3</v>
      </c>
      <c r="AA65" s="23"/>
      <c r="AB65" s="23"/>
      <c r="AC65" s="30"/>
      <c r="AD65" s="24">
        <f t="shared" si="14"/>
        <v>10</v>
      </c>
      <c r="AE65" s="23">
        <f t="shared" si="15"/>
        <v>6.25E-2</v>
      </c>
      <c r="AF65" s="25">
        <f t="shared" si="16"/>
        <v>240</v>
      </c>
      <c r="AG65" s="25">
        <f t="shared" si="17"/>
        <v>204</v>
      </c>
      <c r="AH65" s="16">
        <f t="shared" si="18"/>
        <v>0.64864864864864868</v>
      </c>
      <c r="AI65" s="16" t="str">
        <f>IF(COUNTIF(A65:A65,#REF!)=4,1/SUM(AH65:AH65),"")</f>
        <v/>
      </c>
      <c r="AJ65" s="14"/>
      <c r="AK65" s="30"/>
      <c r="AL65" s="59" t="s">
        <v>129</v>
      </c>
    </row>
    <row r="66" spans="1:38" ht="15" customHeight="1" x14ac:dyDescent="0.3">
      <c r="A66" s="78">
        <v>46041</v>
      </c>
      <c r="B66" s="21">
        <f t="shared" si="12"/>
        <v>1</v>
      </c>
      <c r="C66" s="18" t="s">
        <v>96</v>
      </c>
      <c r="D66" s="14">
        <f>185+1+1</f>
        <v>187</v>
      </c>
      <c r="E66" s="14"/>
      <c r="F66" s="14"/>
      <c r="G66" s="14">
        <v>100</v>
      </c>
      <c r="H66" s="14"/>
      <c r="I66" s="14"/>
      <c r="J66" s="14">
        <v>100</v>
      </c>
      <c r="K66" s="14"/>
      <c r="L66" s="14"/>
      <c r="M66" s="14"/>
      <c r="N66" s="14"/>
      <c r="O66" s="14"/>
      <c r="P66" s="14"/>
      <c r="Q66" s="14"/>
      <c r="R66" s="22">
        <f t="shared" si="13"/>
        <v>387</v>
      </c>
      <c r="S66" s="14"/>
      <c r="T66" s="31">
        <f>9+5+3-1</f>
        <v>16</v>
      </c>
      <c r="U66" s="23">
        <v>0.29166666666666669</v>
      </c>
      <c r="V66" s="23">
        <v>0.79166666666666663</v>
      </c>
      <c r="W66" s="23" cm="1">
        <f t="array" ref="W66">_xlfn.IFS($U66="","",$AD66&gt;=6,TIME(1,0,0),$AD66&lt;=5,"")</f>
        <v>4.1666666666666664E-2</v>
      </c>
      <c r="X66" s="23"/>
      <c r="Y66" s="23" cm="1">
        <f t="array" ref="Y66">_xlfn.IFS($U66="","",AND($AD66&lt;=12,$AD66&gt;10),TIME(0,35,0),AND($AD66&lt;=10,$AD66&gt;5),TIME(0,20,0),AND($AD66&gt;12,$X66&lt;&gt;""),TIME(0,20,0),AND($AD66&gt;12,$X66=""),TIME(0,35,0),AND($AD66&gt;3,$AD66&lt;=5),TIME(0,10,0),$AD66&lt;=3,"")</f>
        <v>2.4305555555555556E-2</v>
      </c>
      <c r="Z66" s="23">
        <f t="shared" si="19"/>
        <v>6.9444444444444441E-3</v>
      </c>
      <c r="AA66" s="23"/>
      <c r="AB66" s="23"/>
      <c r="AC66" s="30"/>
      <c r="AD66" s="24">
        <f t="shared" si="14"/>
        <v>11.999999999999998</v>
      </c>
      <c r="AE66" s="23">
        <f t="shared" si="15"/>
        <v>7.2916666666666671E-2</v>
      </c>
      <c r="AF66" s="25">
        <f t="shared" si="16"/>
        <v>191.99999999999997</v>
      </c>
      <c r="AG66" s="25">
        <f t="shared" si="17"/>
        <v>163.99999999999997</v>
      </c>
      <c r="AH66" s="16">
        <f t="shared" si="18"/>
        <v>0.49612403100775188</v>
      </c>
      <c r="AI66" s="30"/>
      <c r="AJ66" s="14"/>
      <c r="AK66" s="30"/>
      <c r="AL66" s="30" t="s">
        <v>130</v>
      </c>
    </row>
    <row r="67" spans="1:38" ht="15" customHeight="1" x14ac:dyDescent="0.3">
      <c r="A67" s="78">
        <v>46041</v>
      </c>
      <c r="B67" s="21">
        <f t="shared" si="12"/>
        <v>1</v>
      </c>
      <c r="C67" s="18" t="s">
        <v>97</v>
      </c>
      <c r="D67" s="14">
        <v>122</v>
      </c>
      <c r="E67" s="14"/>
      <c r="F67" s="14"/>
      <c r="G67" s="14">
        <v>100</v>
      </c>
      <c r="H67" s="14"/>
      <c r="I67" s="14"/>
      <c r="J67" s="14">
        <v>135</v>
      </c>
      <c r="K67" s="14"/>
      <c r="L67" s="14"/>
      <c r="M67" s="14"/>
      <c r="N67" s="14"/>
      <c r="O67" s="14"/>
      <c r="P67" s="14"/>
      <c r="Q67" s="14"/>
      <c r="R67" s="22">
        <f t="shared" si="13"/>
        <v>357</v>
      </c>
      <c r="S67" s="14"/>
      <c r="T67" s="31">
        <f>1+4</f>
        <v>5</v>
      </c>
      <c r="U67" s="23">
        <v>0.29166666666666669</v>
      </c>
      <c r="V67" s="23">
        <v>0.79166666666666663</v>
      </c>
      <c r="W67" s="23" cm="1">
        <f t="array" ref="W67">_xlfn.IFS($U67="","",$AD67&gt;=6,TIME(1,0,0),$AD67&lt;=5,"")</f>
        <v>4.1666666666666664E-2</v>
      </c>
      <c r="X67" s="23"/>
      <c r="Y67" s="23" cm="1">
        <f t="array" ref="Y67">_xlfn.IFS($U67="","",AND($AD67&lt;=12,$AD67&gt;10),TIME(0,35,0),AND($AD67&lt;=10,$AD67&gt;5),TIME(0,20,0),AND($AD67&gt;12,$X67&lt;&gt;""),TIME(0,20,0),AND($AD67&gt;12,$X67=""),TIME(0,35,0),AND($AD67&gt;3,$AD67&lt;=5),TIME(0,10,0),$AD67&lt;=3,"")</f>
        <v>2.4305555555555556E-2</v>
      </c>
      <c r="Z67" s="23">
        <f t="shared" si="19"/>
        <v>6.9444444444444441E-3</v>
      </c>
      <c r="AA67" s="23"/>
      <c r="AB67" s="23"/>
      <c r="AC67" s="30"/>
      <c r="AD67" s="24">
        <f t="shared" si="14"/>
        <v>11.999999999999998</v>
      </c>
      <c r="AE67" s="23">
        <f t="shared" si="15"/>
        <v>7.2916666666666671E-2</v>
      </c>
      <c r="AF67" s="25">
        <f t="shared" si="16"/>
        <v>59.999999999999993</v>
      </c>
      <c r="AG67" s="25">
        <f t="shared" si="17"/>
        <v>51.249999999999993</v>
      </c>
      <c r="AH67" s="16">
        <f t="shared" si="18"/>
        <v>0.16806722689075629</v>
      </c>
      <c r="AI67" s="30"/>
      <c r="AJ67" s="14"/>
      <c r="AK67" s="30"/>
      <c r="AL67" s="30"/>
    </row>
    <row r="68" spans="1:38" ht="15" customHeight="1" x14ac:dyDescent="0.3">
      <c r="A68" s="78">
        <v>46041</v>
      </c>
      <c r="B68" s="21">
        <f t="shared" si="12"/>
        <v>1</v>
      </c>
      <c r="C68" s="18" t="s">
        <v>98</v>
      </c>
      <c r="D68" s="14">
        <f>95+1</f>
        <v>96</v>
      </c>
      <c r="E68" s="14"/>
      <c r="F68" s="14">
        <v>57</v>
      </c>
      <c r="G68" s="14">
        <v>75</v>
      </c>
      <c r="H68" s="14"/>
      <c r="I68" s="14"/>
      <c r="J68" s="14">
        <v>150</v>
      </c>
      <c r="K68" s="14"/>
      <c r="L68" s="14"/>
      <c r="M68" s="14"/>
      <c r="N68" s="14"/>
      <c r="O68" s="14"/>
      <c r="P68" s="14"/>
      <c r="Q68" s="14"/>
      <c r="R68" s="22">
        <f t="shared" ref="R68:R99" si="20">SUM(D68:Q68)</f>
        <v>378</v>
      </c>
      <c r="S68" s="14"/>
      <c r="T68" s="31">
        <f>11+7+6</f>
        <v>24</v>
      </c>
      <c r="U68" s="23">
        <v>0.29166666666666669</v>
      </c>
      <c r="V68" s="23">
        <v>0.79166666666666663</v>
      </c>
      <c r="W68" s="23" cm="1">
        <f t="array" ref="W68">_xlfn.IFS($U68="","",$AD68&gt;=6,TIME(1,0,0),$AD68&lt;=5,"")</f>
        <v>4.1666666666666664E-2</v>
      </c>
      <c r="X68" s="23"/>
      <c r="Y68" s="23" cm="1">
        <f t="array" ref="Y68">_xlfn.IFS($U68="","",AND($AD68&lt;=12,$AD68&gt;10),TIME(0,35,0),AND($AD68&lt;=10,$AD68&gt;5),TIME(0,20,0),AND($AD68&gt;12,$X68&lt;&gt;""),TIME(0,20,0),AND($AD68&gt;12,$X68=""),TIME(0,35,0),AND($AD68&gt;3,$AD68&lt;=5),TIME(0,10,0),$AD68&lt;=3,"")</f>
        <v>2.4305555555555556E-2</v>
      </c>
      <c r="Z68" s="23">
        <f t="shared" si="19"/>
        <v>6.9444444444444441E-3</v>
      </c>
      <c r="AA68" s="23">
        <v>7.1527777777777773E-2</v>
      </c>
      <c r="AB68" s="23"/>
      <c r="AC68" s="30"/>
      <c r="AD68" s="24">
        <f t="shared" si="14"/>
        <v>11.999999999999998</v>
      </c>
      <c r="AE68" s="23">
        <f t="shared" si="15"/>
        <v>7.2916666666666671E-2</v>
      </c>
      <c r="AF68" s="25">
        <f t="shared" si="16"/>
        <v>287.99999999999994</v>
      </c>
      <c r="AG68" s="25">
        <f t="shared" si="17"/>
        <v>204.79999999999995</v>
      </c>
      <c r="AH68" s="16">
        <f t="shared" si="18"/>
        <v>0.76190476190476175</v>
      </c>
      <c r="AI68" s="30"/>
      <c r="AJ68" s="14"/>
      <c r="AK68" s="30"/>
      <c r="AL68" s="30" t="s">
        <v>131</v>
      </c>
    </row>
    <row r="69" spans="1:38" ht="15" customHeight="1" x14ac:dyDescent="0.3">
      <c r="A69" s="78">
        <v>46041</v>
      </c>
      <c r="B69" s="21">
        <f t="shared" si="12"/>
        <v>1</v>
      </c>
      <c r="C69" s="18" t="s">
        <v>99</v>
      </c>
      <c r="D69" s="14">
        <f>93+1</f>
        <v>94</v>
      </c>
      <c r="E69" s="14"/>
      <c r="F69" s="14">
        <f>15+50</f>
        <v>65</v>
      </c>
      <c r="G69" s="14">
        <v>60</v>
      </c>
      <c r="H69" s="14">
        <v>1</v>
      </c>
      <c r="I69" s="14"/>
      <c r="J69" s="14">
        <f>143+21</f>
        <v>164</v>
      </c>
      <c r="K69" s="14"/>
      <c r="L69" s="14"/>
      <c r="M69" s="14"/>
      <c r="N69" s="14"/>
      <c r="O69" s="14"/>
      <c r="P69" s="14"/>
      <c r="Q69" s="14"/>
      <c r="R69" s="22">
        <f t="shared" si="20"/>
        <v>384</v>
      </c>
      <c r="S69" s="14"/>
      <c r="T69" s="31">
        <f>8+3+11</f>
        <v>22</v>
      </c>
      <c r="U69" s="23">
        <v>0.29166666666666669</v>
      </c>
      <c r="V69" s="23">
        <v>0.79166666666666663</v>
      </c>
      <c r="W69" s="23" cm="1">
        <f t="array" ref="W69">_xlfn.IFS($U69="","",$AD69&gt;=6,TIME(1,0,0),$AD69&lt;=5,"")</f>
        <v>4.1666666666666664E-2</v>
      </c>
      <c r="X69" s="23"/>
      <c r="Y69" s="23" cm="1">
        <f t="array" ref="Y69">_xlfn.IFS($U69="","",AND($AD69&lt;=12,$AD69&gt;10),TIME(0,35,0),AND($AD69&lt;=10,$AD69&gt;5),TIME(0,20,0),AND($AD69&gt;12,$X69&lt;&gt;""),TIME(0,20,0),AND($AD69&gt;12,$X69=""),TIME(0,35,0),AND($AD69&gt;3,$AD69&lt;=5),TIME(0,10,0),$AD69&lt;=3,"")</f>
        <v>2.4305555555555556E-2</v>
      </c>
      <c r="Z69" s="23">
        <f t="shared" si="19"/>
        <v>6.9444444444444441E-3</v>
      </c>
      <c r="AA69" s="23"/>
      <c r="AB69" s="23"/>
      <c r="AC69" s="30"/>
      <c r="AD69" s="24">
        <f t="shared" si="14"/>
        <v>11.999999999999998</v>
      </c>
      <c r="AE69" s="23">
        <f t="shared" si="15"/>
        <v>7.2916666666666671E-2</v>
      </c>
      <c r="AF69" s="25">
        <f t="shared" si="16"/>
        <v>263.99999999999994</v>
      </c>
      <c r="AG69" s="25">
        <f t="shared" si="17"/>
        <v>225.49999999999997</v>
      </c>
      <c r="AH69" s="16">
        <f t="shared" si="18"/>
        <v>0.68749999999999989</v>
      </c>
      <c r="AI69" s="16">
        <f>IF(COUNTIF(A66:A69,A66)=4,1/SUM(AH66:AH69),"")</f>
        <v>0.47312731034243638</v>
      </c>
      <c r="AJ69" s="14"/>
      <c r="AK69" s="30"/>
      <c r="AL69" s="59" t="s">
        <v>132</v>
      </c>
    </row>
    <row r="70" spans="1:38" ht="15" customHeight="1" x14ac:dyDescent="0.3">
      <c r="A70" s="95">
        <v>46042</v>
      </c>
      <c r="B70" s="21">
        <f t="shared" si="12"/>
        <v>1</v>
      </c>
      <c r="C70" s="18" t="s">
        <v>96</v>
      </c>
      <c r="D70" s="14">
        <v>100</v>
      </c>
      <c r="E70" s="14"/>
      <c r="F70" s="14"/>
      <c r="G70" s="14">
        <v>100</v>
      </c>
      <c r="H70" s="14">
        <v>220</v>
      </c>
      <c r="I70" s="14"/>
      <c r="J70" s="14">
        <v>70</v>
      </c>
      <c r="K70" s="14"/>
      <c r="L70" s="14"/>
      <c r="M70" s="14"/>
      <c r="N70" s="14"/>
      <c r="O70" s="14"/>
      <c r="P70" s="14"/>
      <c r="Q70" s="14"/>
      <c r="R70" s="22">
        <f t="shared" si="20"/>
        <v>490</v>
      </c>
      <c r="S70" s="14"/>
      <c r="T70" s="31">
        <f>12+4+4-1</f>
        <v>19</v>
      </c>
      <c r="U70" s="23">
        <v>0.29166666666666669</v>
      </c>
      <c r="V70" s="23">
        <v>0.79166666666666663</v>
      </c>
      <c r="W70" s="23" cm="1">
        <f t="array" ref="W70">_xlfn.IFS($U70="","",$AD70&gt;=6,TIME(1,0,0),$AD70&lt;=5,"")</f>
        <v>4.1666666666666664E-2</v>
      </c>
      <c r="X70" s="23"/>
      <c r="Y70" s="23" cm="1">
        <f t="array" ref="Y70">_xlfn.IFS($U70="","",AND($AD70&lt;=12,$AD70&gt;10),TIME(0,35,0),AND($AD70&lt;=10,$AD70&gt;5),TIME(0,20,0),AND($AD70&gt;12,$X70&lt;&gt;""),TIME(0,20,0),AND($AD70&gt;12,$X70=""),TIME(0,35,0),AND($AD70&gt;3,$AD70&lt;=5),TIME(0,10,0),$AD70&lt;=3,"")</f>
        <v>2.4305555555555556E-2</v>
      </c>
      <c r="Z70" s="23">
        <f t="shared" si="19"/>
        <v>6.9444444444444441E-3</v>
      </c>
      <c r="AA70" s="23"/>
      <c r="AB70" s="23"/>
      <c r="AC70" s="30"/>
      <c r="AD70" s="24">
        <f t="shared" si="14"/>
        <v>11.999999999999998</v>
      </c>
      <c r="AE70" s="23">
        <f t="shared" si="15"/>
        <v>7.2916666666666671E-2</v>
      </c>
      <c r="AF70" s="25">
        <f t="shared" si="16"/>
        <v>227.99999999999997</v>
      </c>
      <c r="AG70" s="25">
        <f t="shared" si="17"/>
        <v>194.74999999999997</v>
      </c>
      <c r="AH70" s="16">
        <f t="shared" si="18"/>
        <v>0.46530612244897951</v>
      </c>
      <c r="AI70" s="30"/>
      <c r="AJ70" s="14"/>
      <c r="AK70" s="30"/>
      <c r="AL70" s="30" t="s">
        <v>130</v>
      </c>
    </row>
    <row r="71" spans="1:38" ht="15" customHeight="1" x14ac:dyDescent="0.3">
      <c r="A71" s="95">
        <v>46042</v>
      </c>
      <c r="B71" s="21">
        <f t="shared" si="12"/>
        <v>1</v>
      </c>
      <c r="C71" s="18" t="s">
        <v>97</v>
      </c>
      <c r="D71" s="14">
        <v>160</v>
      </c>
      <c r="E71" s="14"/>
      <c r="F71" s="14"/>
      <c r="G71" s="14">
        <v>100</v>
      </c>
      <c r="H71" s="14">
        <v>100</v>
      </c>
      <c r="I71" s="14"/>
      <c r="J71" s="14">
        <v>68</v>
      </c>
      <c r="K71" s="14"/>
      <c r="L71" s="14"/>
      <c r="M71" s="14"/>
      <c r="N71" s="14"/>
      <c r="O71" s="14"/>
      <c r="P71" s="14"/>
      <c r="Q71" s="14"/>
      <c r="R71" s="22">
        <f t="shared" si="20"/>
        <v>428</v>
      </c>
      <c r="S71" s="14"/>
      <c r="T71" s="31">
        <f>1+4</f>
        <v>5</v>
      </c>
      <c r="U71" s="23">
        <v>0.29166666666666669</v>
      </c>
      <c r="V71" s="23">
        <v>0.79166666666666663</v>
      </c>
      <c r="W71" s="23" cm="1">
        <f t="array" ref="W71">_xlfn.IFS($U71="","",$AD71&gt;=6,TIME(1,0,0),$AD71&lt;=5,"")</f>
        <v>4.1666666666666664E-2</v>
      </c>
      <c r="X71" s="23"/>
      <c r="Y71" s="23" cm="1">
        <f t="array" ref="Y71">_xlfn.IFS($U71="","",AND($AD71&lt;=12,$AD71&gt;10),TIME(0,35,0),AND($AD71&lt;=10,$AD71&gt;5),TIME(0,20,0),AND($AD71&gt;12,$X71&lt;&gt;""),TIME(0,20,0),AND($AD71&gt;12,$X71=""),TIME(0,35,0),AND($AD71&gt;3,$AD71&lt;=5),TIME(0,10,0),$AD71&lt;=3,"")</f>
        <v>2.4305555555555556E-2</v>
      </c>
      <c r="Z71" s="23">
        <f t="shared" si="19"/>
        <v>6.9444444444444441E-3</v>
      </c>
      <c r="AA71" s="23"/>
      <c r="AB71" s="23"/>
      <c r="AC71" s="30"/>
      <c r="AD71" s="24">
        <f t="shared" si="14"/>
        <v>11.999999999999998</v>
      </c>
      <c r="AE71" s="23">
        <f t="shared" si="15"/>
        <v>7.2916666666666671E-2</v>
      </c>
      <c r="AF71" s="25">
        <f t="shared" si="16"/>
        <v>59.999999999999993</v>
      </c>
      <c r="AG71" s="25">
        <f t="shared" si="17"/>
        <v>51.249999999999993</v>
      </c>
      <c r="AH71" s="16">
        <f t="shared" si="18"/>
        <v>0.14018691588785046</v>
      </c>
      <c r="AI71" s="30"/>
      <c r="AJ71" s="14"/>
      <c r="AK71" s="30"/>
      <c r="AL71" s="30"/>
    </row>
    <row r="72" spans="1:38" ht="15" customHeight="1" x14ac:dyDescent="0.3">
      <c r="A72" s="95">
        <v>46042</v>
      </c>
      <c r="B72" s="21">
        <f t="shared" si="12"/>
        <v>1</v>
      </c>
      <c r="C72" s="18" t="s">
        <v>98</v>
      </c>
      <c r="D72" s="14">
        <v>111</v>
      </c>
      <c r="E72" s="14"/>
      <c r="F72" s="14">
        <v>66</v>
      </c>
      <c r="G72" s="14">
        <v>90</v>
      </c>
      <c r="H72" s="14">
        <v>67</v>
      </c>
      <c r="I72" s="14"/>
      <c r="J72" s="14">
        <v>86</v>
      </c>
      <c r="K72" s="14"/>
      <c r="L72" s="14"/>
      <c r="M72" s="14"/>
      <c r="N72" s="14"/>
      <c r="O72" s="14"/>
      <c r="P72" s="14"/>
      <c r="Q72" s="14"/>
      <c r="R72" s="22">
        <f t="shared" si="20"/>
        <v>420</v>
      </c>
      <c r="S72" s="14"/>
      <c r="T72" s="31">
        <f>12+4+1+6</f>
        <v>23</v>
      </c>
      <c r="U72" s="23">
        <v>0.29166666666666669</v>
      </c>
      <c r="V72" s="23">
        <v>0.79166666666666663</v>
      </c>
      <c r="W72" s="23" cm="1">
        <f t="array" ref="W72">_xlfn.IFS($U72="","",$AD72&gt;=6,TIME(1,0,0),$AD72&lt;=5,"")</f>
        <v>4.1666666666666664E-2</v>
      </c>
      <c r="X72" s="23"/>
      <c r="Y72" s="23" cm="1">
        <f t="array" ref="Y72">_xlfn.IFS($U72="","",AND($AD72&lt;=12,$AD72&gt;10),TIME(0,35,0),AND($AD72&lt;=10,$AD72&gt;5),TIME(0,20,0),AND($AD72&gt;12,$X72&lt;&gt;""),TIME(0,20,0),AND($AD72&gt;12,$X72=""),TIME(0,35,0),AND($AD72&gt;3,$AD72&lt;=5),TIME(0,10,0),$AD72&lt;=3,"")</f>
        <v>2.4305555555555556E-2</v>
      </c>
      <c r="Z72" s="23">
        <f t="shared" si="19"/>
        <v>6.9444444444444441E-3</v>
      </c>
      <c r="AA72" s="23">
        <v>2.7777777777777776E-2</v>
      </c>
      <c r="AB72" s="23"/>
      <c r="AC72" s="30"/>
      <c r="AD72" s="24">
        <f t="shared" si="14"/>
        <v>11.999999999999998</v>
      </c>
      <c r="AE72" s="23">
        <f t="shared" si="15"/>
        <v>7.2916666666666671E-2</v>
      </c>
      <c r="AF72" s="25">
        <f t="shared" si="16"/>
        <v>275.99999999999994</v>
      </c>
      <c r="AG72" s="25">
        <f t="shared" si="17"/>
        <v>220.41666666666663</v>
      </c>
      <c r="AH72" s="16">
        <f t="shared" si="18"/>
        <v>0.65714285714285703</v>
      </c>
      <c r="AI72" s="30"/>
      <c r="AJ72" s="14"/>
      <c r="AK72" s="30"/>
      <c r="AL72" s="30" t="s">
        <v>133</v>
      </c>
    </row>
    <row r="73" spans="1:38" ht="15" customHeight="1" x14ac:dyDescent="0.3">
      <c r="A73" s="95">
        <v>46042</v>
      </c>
      <c r="B73" s="21">
        <f t="shared" si="12"/>
        <v>1</v>
      </c>
      <c r="C73" s="18" t="s">
        <v>99</v>
      </c>
      <c r="D73" s="14">
        <v>72</v>
      </c>
      <c r="E73" s="14"/>
      <c r="F73" s="14">
        <f>33+65</f>
        <v>98</v>
      </c>
      <c r="G73" s="14">
        <v>65</v>
      </c>
      <c r="H73" s="14"/>
      <c r="I73" s="14"/>
      <c r="J73" s="14">
        <f>133+77</f>
        <v>210</v>
      </c>
      <c r="K73" s="14"/>
      <c r="L73" s="14"/>
      <c r="M73" s="14"/>
      <c r="N73" s="14"/>
      <c r="O73" s="14"/>
      <c r="P73" s="14">
        <v>1</v>
      </c>
      <c r="Q73" s="14"/>
      <c r="R73" s="22">
        <f t="shared" si="20"/>
        <v>446</v>
      </c>
      <c r="S73" s="14"/>
      <c r="T73" s="31">
        <f>8+5+11</f>
        <v>24</v>
      </c>
      <c r="U73" s="23">
        <v>0.29166666666666669</v>
      </c>
      <c r="V73" s="23">
        <v>0.875</v>
      </c>
      <c r="W73" s="23" cm="1">
        <f t="array" ref="W73">_xlfn.IFS($U73="","",$AD73&gt;=6,TIME(1,0,0),$AD73&lt;=5,"")</f>
        <v>4.1666666666666664E-2</v>
      </c>
      <c r="X73" s="23"/>
      <c r="Y73" s="23" cm="1">
        <f t="array" ref="Y73">_xlfn.IFS($U73="","",AND($AD73&lt;=12,$AD73&gt;10),TIME(0,35,0),AND($AD73&lt;=10,$AD73&gt;5),TIME(0,20,0),AND($AD73&gt;12,$X73&lt;&gt;""),TIME(0,20,0),AND($AD73&gt;12,$X73=""),TIME(0,35,0),AND($AD73&gt;3,$AD73&lt;=5),TIME(0,10,0),$AD73&lt;=3,"")</f>
        <v>2.4305555555555556E-2</v>
      </c>
      <c r="Z73" s="23">
        <f t="shared" si="19"/>
        <v>6.9444444444444441E-3</v>
      </c>
      <c r="AA73" s="23"/>
      <c r="AB73" s="23"/>
      <c r="AC73" s="30"/>
      <c r="AD73" s="24">
        <f t="shared" si="14"/>
        <v>13.999999999999998</v>
      </c>
      <c r="AE73" s="23">
        <f t="shared" si="15"/>
        <v>7.2916666666666671E-2</v>
      </c>
      <c r="AF73" s="25">
        <f t="shared" si="16"/>
        <v>335.99999999999994</v>
      </c>
      <c r="AG73" s="25">
        <f t="shared" si="17"/>
        <v>293.99999999999994</v>
      </c>
      <c r="AH73" s="16">
        <f t="shared" si="18"/>
        <v>0.75336322869955141</v>
      </c>
      <c r="AI73" s="16">
        <f>IF(COUNTIF(A70:A73,A70)=4,1/SUM(AH70:AH73),"")</f>
        <v>0.49603196152534246</v>
      </c>
      <c r="AJ73" s="14"/>
      <c r="AK73" s="30"/>
      <c r="AL73" s="30" t="s">
        <v>134</v>
      </c>
    </row>
    <row r="74" spans="1:38" ht="15" customHeight="1" x14ac:dyDescent="0.3">
      <c r="A74" s="78">
        <v>46043</v>
      </c>
      <c r="B74" s="21">
        <f t="shared" si="12"/>
        <v>1</v>
      </c>
      <c r="C74" s="18" t="s">
        <v>96</v>
      </c>
      <c r="D74" s="14">
        <v>100</v>
      </c>
      <c r="E74" s="14"/>
      <c r="F74" s="14">
        <f>61+36</f>
        <v>97</v>
      </c>
      <c r="G74" s="14">
        <v>100</v>
      </c>
      <c r="H74" s="14">
        <v>30</v>
      </c>
      <c r="I74" s="14"/>
      <c r="J74" s="14">
        <v>106</v>
      </c>
      <c r="K74" s="14"/>
      <c r="L74" s="14"/>
      <c r="M74" s="14"/>
      <c r="N74" s="14"/>
      <c r="O74" s="14"/>
      <c r="P74" s="14"/>
      <c r="Q74" s="14"/>
      <c r="R74" s="22">
        <f t="shared" si="20"/>
        <v>433</v>
      </c>
      <c r="S74" s="14"/>
      <c r="T74" s="31">
        <f>12+4+3</f>
        <v>19</v>
      </c>
      <c r="U74" s="23">
        <v>0.29166666666666669</v>
      </c>
      <c r="V74" s="23">
        <v>0.79166666666666663</v>
      </c>
      <c r="W74" s="23" cm="1">
        <f t="array" ref="W74">_xlfn.IFS($U74="","",$AD74&gt;=6,TIME(1,0,0),$AD74&lt;=5,"")</f>
        <v>4.1666666666666664E-2</v>
      </c>
      <c r="X74" s="23"/>
      <c r="Y74" s="23" cm="1">
        <f t="array" ref="Y74">_xlfn.IFS($U74="","",AND($AD74&lt;=12,$AD74&gt;10),TIME(0,35,0),AND($AD74&lt;=10,$AD74&gt;5),TIME(0,20,0),AND($AD74&gt;12,$X74&lt;&gt;""),TIME(0,20,0),AND($AD74&gt;12,$X74=""),TIME(0,35,0),AND($AD74&gt;3,$AD74&lt;=5),TIME(0,10,0),$AD74&lt;=3,"")</f>
        <v>2.4305555555555556E-2</v>
      </c>
      <c r="Z74" s="23">
        <f t="shared" si="19"/>
        <v>6.9444444444444441E-3</v>
      </c>
      <c r="AA74" s="23"/>
      <c r="AB74" s="23"/>
      <c r="AC74" s="30"/>
      <c r="AD74" s="24">
        <f t="shared" si="14"/>
        <v>11.999999999999998</v>
      </c>
      <c r="AE74" s="23">
        <f t="shared" si="15"/>
        <v>7.2916666666666671E-2</v>
      </c>
      <c r="AF74" s="25">
        <f t="shared" si="16"/>
        <v>227.99999999999997</v>
      </c>
      <c r="AG74" s="25">
        <f t="shared" si="17"/>
        <v>194.74999999999997</v>
      </c>
      <c r="AH74" s="16">
        <f t="shared" si="18"/>
        <v>0.52655889145496526</v>
      </c>
      <c r="AI74" s="30"/>
      <c r="AJ74" s="14"/>
      <c r="AK74" s="30"/>
      <c r="AL74" s="30"/>
    </row>
    <row r="75" spans="1:38" ht="15" customHeight="1" x14ac:dyDescent="0.3">
      <c r="A75" s="78">
        <v>46043</v>
      </c>
      <c r="B75" s="21">
        <f t="shared" si="12"/>
        <v>1</v>
      </c>
      <c r="C75" s="18" t="s">
        <v>97</v>
      </c>
      <c r="D75" s="14">
        <v>121</v>
      </c>
      <c r="E75" s="14"/>
      <c r="F75" s="14">
        <v>96</v>
      </c>
      <c r="G75" s="14">
        <v>74</v>
      </c>
      <c r="H75" s="14">
        <v>149</v>
      </c>
      <c r="I75" s="14"/>
      <c r="J75" s="14"/>
      <c r="K75" s="14"/>
      <c r="L75" s="14"/>
      <c r="M75" s="14"/>
      <c r="N75" s="14"/>
      <c r="O75" s="14"/>
      <c r="P75" s="14"/>
      <c r="Q75" s="14"/>
      <c r="R75" s="22">
        <f t="shared" si="20"/>
        <v>440</v>
      </c>
      <c r="S75" s="14"/>
      <c r="T75" s="31">
        <f>1+4</f>
        <v>5</v>
      </c>
      <c r="U75" s="23">
        <v>0.29166666666666669</v>
      </c>
      <c r="V75" s="23">
        <v>0.79166666666666663</v>
      </c>
      <c r="W75" s="23" cm="1">
        <f t="array" ref="W75">_xlfn.IFS($U75="","",$AD75&gt;=6,TIME(1,0,0),$AD75&lt;=5,"")</f>
        <v>4.1666666666666664E-2</v>
      </c>
      <c r="X75" s="23"/>
      <c r="Y75" s="23" cm="1">
        <f t="array" ref="Y75">_xlfn.IFS($U75="","",AND($AD75&lt;=12,$AD75&gt;10),TIME(0,35,0),AND($AD75&lt;=10,$AD75&gt;5),TIME(0,20,0),AND($AD75&gt;12,$X75&lt;&gt;""),TIME(0,20,0),AND($AD75&gt;12,$X75=""),TIME(0,35,0),AND($AD75&gt;3,$AD75&lt;=5),TIME(0,10,0),$AD75&lt;=3,"")</f>
        <v>2.4305555555555556E-2</v>
      </c>
      <c r="Z75" s="23">
        <f t="shared" si="19"/>
        <v>6.9444444444444441E-3</v>
      </c>
      <c r="AA75" s="23"/>
      <c r="AB75" s="23"/>
      <c r="AC75" s="30"/>
      <c r="AD75" s="24">
        <f t="shared" si="14"/>
        <v>11.999999999999998</v>
      </c>
      <c r="AE75" s="23">
        <f t="shared" si="15"/>
        <v>7.2916666666666671E-2</v>
      </c>
      <c r="AF75" s="25">
        <f t="shared" si="16"/>
        <v>59.999999999999993</v>
      </c>
      <c r="AG75" s="25">
        <f t="shared" si="17"/>
        <v>51.249999999999993</v>
      </c>
      <c r="AH75" s="16">
        <f t="shared" si="18"/>
        <v>0.13636363636363635</v>
      </c>
      <c r="AI75" s="30"/>
      <c r="AJ75" s="14"/>
      <c r="AK75" s="30"/>
      <c r="AL75" s="30"/>
    </row>
    <row r="76" spans="1:38" ht="15" customHeight="1" x14ac:dyDescent="0.3">
      <c r="A76" s="78">
        <v>46043</v>
      </c>
      <c r="B76" s="21">
        <f t="shared" si="12"/>
        <v>1</v>
      </c>
      <c r="C76" s="18" t="s">
        <v>98</v>
      </c>
      <c r="D76" s="14">
        <v>135</v>
      </c>
      <c r="E76" s="14"/>
      <c r="F76" s="14">
        <v>73</v>
      </c>
      <c r="G76" s="14">
        <v>95</v>
      </c>
      <c r="H76" s="14">
        <v>137</v>
      </c>
      <c r="I76" s="14"/>
      <c r="J76" s="14">
        <v>10</v>
      </c>
      <c r="K76" s="14"/>
      <c r="L76" s="14"/>
      <c r="M76" s="14"/>
      <c r="N76" s="14"/>
      <c r="O76" s="14"/>
      <c r="P76" s="14"/>
      <c r="Q76" s="14"/>
      <c r="R76" s="22">
        <f t="shared" si="20"/>
        <v>450</v>
      </c>
      <c r="S76" s="14"/>
      <c r="T76" s="31">
        <f>12+6+1+6</f>
        <v>25</v>
      </c>
      <c r="U76" s="23">
        <v>0.29166666666666669</v>
      </c>
      <c r="V76" s="23">
        <v>0.79166666666666663</v>
      </c>
      <c r="W76" s="23" cm="1">
        <f t="array" ref="W76">_xlfn.IFS($U76="","",$AD76&gt;=6,TIME(1,0,0),$AD76&lt;=5,"")</f>
        <v>4.1666666666666664E-2</v>
      </c>
      <c r="X76" s="23"/>
      <c r="Y76" s="23" cm="1">
        <f t="array" ref="Y76">_xlfn.IFS($U76="","",AND($AD76&lt;=12,$AD76&gt;10),TIME(0,35,0),AND($AD76&lt;=10,$AD76&gt;5),TIME(0,20,0),AND($AD76&gt;12,$X76&lt;&gt;""),TIME(0,20,0),AND($AD76&gt;12,$X76=""),TIME(0,35,0),AND($AD76&gt;3,$AD76&lt;=5),TIME(0,10,0),$AD76&lt;=3,"")</f>
        <v>2.4305555555555556E-2</v>
      </c>
      <c r="Z76" s="23">
        <f t="shared" si="19"/>
        <v>6.9444444444444441E-3</v>
      </c>
      <c r="AA76" s="23">
        <v>0.12569444444444444</v>
      </c>
      <c r="AB76" s="23"/>
      <c r="AC76" s="30"/>
      <c r="AD76" s="24">
        <f t="shared" si="14"/>
        <v>11.999999999999998</v>
      </c>
      <c r="AE76" s="23">
        <f t="shared" si="15"/>
        <v>7.2916666666666671E-2</v>
      </c>
      <c r="AF76" s="25">
        <f t="shared" si="16"/>
        <v>299.99999999999994</v>
      </c>
      <c r="AG76" s="25">
        <f t="shared" si="17"/>
        <v>180.83333333333326</v>
      </c>
      <c r="AH76" s="16">
        <f t="shared" si="18"/>
        <v>0.66666666666666652</v>
      </c>
      <c r="AI76" s="30"/>
      <c r="AJ76" s="14"/>
      <c r="AK76" s="30"/>
      <c r="AL76" s="30" t="s">
        <v>135</v>
      </c>
    </row>
    <row r="77" spans="1:38" ht="15" customHeight="1" x14ac:dyDescent="0.3">
      <c r="A77" s="78">
        <v>46043</v>
      </c>
      <c r="B77" s="21">
        <f t="shared" si="12"/>
        <v>1</v>
      </c>
      <c r="C77" s="18" t="s">
        <v>99</v>
      </c>
      <c r="D77" s="14">
        <v>129</v>
      </c>
      <c r="E77" s="14"/>
      <c r="F77" s="14">
        <f>25+32</f>
        <v>57</v>
      </c>
      <c r="G77" s="14">
        <v>93</v>
      </c>
      <c r="H77" s="14">
        <v>158</v>
      </c>
      <c r="I77" s="14"/>
      <c r="J77" s="14">
        <f>20+43</f>
        <v>63</v>
      </c>
      <c r="K77" s="14"/>
      <c r="L77" s="14"/>
      <c r="M77" s="14"/>
      <c r="N77" s="14"/>
      <c r="O77" s="14"/>
      <c r="P77" s="14"/>
      <c r="Q77" s="14"/>
      <c r="R77" s="22">
        <f t="shared" si="20"/>
        <v>500</v>
      </c>
      <c r="S77" s="14"/>
      <c r="T77" s="31">
        <f>8+5+11</f>
        <v>24</v>
      </c>
      <c r="U77" s="23">
        <v>0.29166666666666669</v>
      </c>
      <c r="V77" s="23">
        <v>0.79166666666666663</v>
      </c>
      <c r="W77" s="23" cm="1">
        <f t="array" ref="W77">_xlfn.IFS($U77="","",$AD77&gt;=6,TIME(1,0,0),$AD77&lt;=5,"")</f>
        <v>4.1666666666666664E-2</v>
      </c>
      <c r="X77" s="23"/>
      <c r="Y77" s="23" cm="1">
        <f t="array" ref="Y77">_xlfn.IFS($U77="","",AND($AD77&lt;=12,$AD77&gt;10),TIME(0,35,0),AND($AD77&lt;=10,$AD77&gt;5),TIME(0,20,0),AND($AD77&gt;12,$X77&lt;&gt;""),TIME(0,20,0),AND($AD77&gt;12,$X77=""),TIME(0,35,0),AND($AD77&gt;3,$AD77&lt;=5),TIME(0,10,0),$AD77&lt;=3,"")</f>
        <v>2.4305555555555556E-2</v>
      </c>
      <c r="Z77" s="23">
        <f t="shared" si="19"/>
        <v>6.9444444444444441E-3</v>
      </c>
      <c r="AA77" s="23"/>
      <c r="AB77" s="23"/>
      <c r="AC77" s="30"/>
      <c r="AD77" s="24">
        <f t="shared" si="14"/>
        <v>11.999999999999998</v>
      </c>
      <c r="AE77" s="23">
        <f t="shared" si="15"/>
        <v>7.2916666666666671E-2</v>
      </c>
      <c r="AF77" s="25">
        <f t="shared" si="16"/>
        <v>287.99999999999994</v>
      </c>
      <c r="AG77" s="25">
        <f t="shared" si="17"/>
        <v>245.99999999999994</v>
      </c>
      <c r="AH77" s="16">
        <f t="shared" si="18"/>
        <v>0.57599999999999985</v>
      </c>
      <c r="AI77" s="16">
        <f>IF(COUNTIF(A74:A77,A74)=4,1/SUM(AH74:AH77),"")</f>
        <v>0.52477207726302044</v>
      </c>
      <c r="AJ77" s="14"/>
      <c r="AK77" s="30"/>
      <c r="AL77" s="30" t="s">
        <v>136</v>
      </c>
    </row>
    <row r="78" spans="1:38" ht="15" customHeight="1" x14ac:dyDescent="0.3">
      <c r="A78" s="95">
        <v>46044</v>
      </c>
      <c r="B78" s="21">
        <f t="shared" si="12"/>
        <v>1</v>
      </c>
      <c r="C78" s="18" t="s">
        <v>96</v>
      </c>
      <c r="D78" s="14">
        <v>80</v>
      </c>
      <c r="E78" s="14"/>
      <c r="F78" s="14">
        <f>11+95</f>
        <v>106</v>
      </c>
      <c r="G78" s="14">
        <v>100</v>
      </c>
      <c r="H78" s="14"/>
      <c r="I78" s="14"/>
      <c r="J78" s="14">
        <v>95</v>
      </c>
      <c r="K78" s="14"/>
      <c r="L78" s="14"/>
      <c r="M78" s="14"/>
      <c r="N78" s="14"/>
      <c r="O78" s="14"/>
      <c r="P78" s="14"/>
      <c r="Q78" s="14"/>
      <c r="R78" s="22">
        <f t="shared" si="20"/>
        <v>381</v>
      </c>
      <c r="S78" s="14"/>
      <c r="T78" s="31">
        <f>12+3+3-2</f>
        <v>16</v>
      </c>
      <c r="U78" s="23">
        <v>0.29166666666666669</v>
      </c>
      <c r="V78" s="23">
        <v>0.79166666666666663</v>
      </c>
      <c r="W78" s="23" cm="1">
        <f t="array" ref="W78">_xlfn.IFS($U78="","",$AD78&gt;=6,TIME(1,0,0),$AD78&lt;=5,"")</f>
        <v>4.1666666666666664E-2</v>
      </c>
      <c r="X78" s="23"/>
      <c r="Y78" s="23" cm="1">
        <f t="array" ref="Y78">_xlfn.IFS($U78="","",AND($AD78&lt;=12,$AD78&gt;10),TIME(0,35,0),AND($AD78&lt;=10,$AD78&gt;5),TIME(0,20,0),AND($AD78&gt;12,$X78&lt;&gt;""),TIME(0,20,0),AND($AD78&gt;12,$X78=""),TIME(0,35,0),AND($AD78&gt;3,$AD78&lt;=5),TIME(0,10,0),$AD78&lt;=3,"")</f>
        <v>2.4305555555555556E-2</v>
      </c>
      <c r="Z78" s="23">
        <f t="shared" si="19"/>
        <v>6.9444444444444441E-3</v>
      </c>
      <c r="AA78" s="23"/>
      <c r="AB78" s="23"/>
      <c r="AC78" s="30"/>
      <c r="AD78" s="24">
        <f t="shared" si="14"/>
        <v>11.999999999999998</v>
      </c>
      <c r="AE78" s="23">
        <f t="shared" si="15"/>
        <v>7.2916666666666671E-2</v>
      </c>
      <c r="AF78" s="25">
        <f t="shared" si="16"/>
        <v>191.99999999999997</v>
      </c>
      <c r="AG78" s="25">
        <f t="shared" si="17"/>
        <v>163.99999999999997</v>
      </c>
      <c r="AH78" s="16">
        <f t="shared" si="18"/>
        <v>0.50393700787401563</v>
      </c>
      <c r="AI78" s="30"/>
      <c r="AJ78" s="14"/>
      <c r="AK78" s="30"/>
      <c r="AL78" s="30" t="s">
        <v>137</v>
      </c>
    </row>
    <row r="79" spans="1:38" ht="15" customHeight="1" x14ac:dyDescent="0.3">
      <c r="A79" s="95">
        <v>46044</v>
      </c>
      <c r="B79" s="21">
        <f t="shared" si="12"/>
        <v>1</v>
      </c>
      <c r="C79" s="18" t="s">
        <v>97</v>
      </c>
      <c r="D79" s="14">
        <v>121</v>
      </c>
      <c r="E79" s="14"/>
      <c r="F79" s="14">
        <v>96</v>
      </c>
      <c r="G79" s="14">
        <v>74</v>
      </c>
      <c r="H79" s="14">
        <v>149</v>
      </c>
      <c r="I79" s="14"/>
      <c r="J79" s="14"/>
      <c r="K79" s="14"/>
      <c r="L79" s="14"/>
      <c r="M79" s="14"/>
      <c r="N79" s="14"/>
      <c r="O79" s="14"/>
      <c r="P79" s="14"/>
      <c r="Q79" s="14"/>
      <c r="R79" s="22">
        <f t="shared" si="20"/>
        <v>440</v>
      </c>
      <c r="S79" s="14"/>
      <c r="T79" s="31">
        <f>1+4</f>
        <v>5</v>
      </c>
      <c r="U79" s="23">
        <v>0.29166666666666669</v>
      </c>
      <c r="V79" s="23">
        <v>0.79166666666666663</v>
      </c>
      <c r="W79" s="23" cm="1">
        <f t="array" ref="W79">_xlfn.IFS($U79="","",$AD79&gt;=6,TIME(1,0,0),$AD79&lt;=5,"")</f>
        <v>4.1666666666666664E-2</v>
      </c>
      <c r="X79" s="23"/>
      <c r="Y79" s="23" cm="1">
        <f t="array" ref="Y79">_xlfn.IFS($U79="","",AND($AD79&lt;=12,$AD79&gt;10),TIME(0,35,0),AND($AD79&lt;=10,$AD79&gt;5),TIME(0,20,0),AND($AD79&gt;12,$X79&lt;&gt;""),TIME(0,20,0),AND($AD79&gt;12,$X79=""),TIME(0,35,0),AND($AD79&gt;3,$AD79&lt;=5),TIME(0,10,0),$AD79&lt;=3,"")</f>
        <v>2.4305555555555556E-2</v>
      </c>
      <c r="Z79" s="23">
        <f t="shared" si="19"/>
        <v>6.9444444444444441E-3</v>
      </c>
      <c r="AA79" s="23"/>
      <c r="AB79" s="23"/>
      <c r="AC79" s="30"/>
      <c r="AD79" s="24">
        <f t="shared" si="14"/>
        <v>11.999999999999998</v>
      </c>
      <c r="AE79" s="23">
        <f t="shared" si="15"/>
        <v>7.2916666666666671E-2</v>
      </c>
      <c r="AF79" s="25">
        <f t="shared" si="16"/>
        <v>59.999999999999993</v>
      </c>
      <c r="AG79" s="25">
        <f t="shared" si="17"/>
        <v>51.249999999999993</v>
      </c>
      <c r="AH79" s="16">
        <f t="shared" si="18"/>
        <v>0.13636363636363635</v>
      </c>
      <c r="AI79" s="30"/>
      <c r="AJ79" s="14"/>
      <c r="AK79" s="30"/>
      <c r="AL79" s="30"/>
    </row>
    <row r="80" spans="1:38" ht="15" customHeight="1" x14ac:dyDescent="0.3">
      <c r="A80" s="95">
        <v>46044</v>
      </c>
      <c r="B80" s="21">
        <f t="shared" si="12"/>
        <v>1</v>
      </c>
      <c r="C80" s="18" t="s">
        <v>98</v>
      </c>
      <c r="D80" s="14">
        <v>63</v>
      </c>
      <c r="E80" s="14"/>
      <c r="F80" s="14">
        <v>52</v>
      </c>
      <c r="G80" s="14">
        <f>48+47</f>
        <v>95</v>
      </c>
      <c r="H80" s="14">
        <v>44</v>
      </c>
      <c r="I80" s="14"/>
      <c r="J80" s="14">
        <v>121</v>
      </c>
      <c r="K80" s="14"/>
      <c r="L80" s="14"/>
      <c r="M80" s="14"/>
      <c r="N80" s="14"/>
      <c r="O80" s="14"/>
      <c r="P80" s="14"/>
      <c r="Q80" s="14"/>
      <c r="R80" s="22">
        <f t="shared" si="20"/>
        <v>375</v>
      </c>
      <c r="S80" s="14"/>
      <c r="T80" s="31">
        <f>12+7+6</f>
        <v>25</v>
      </c>
      <c r="U80" s="23">
        <v>0.29166666666666669</v>
      </c>
      <c r="V80" s="23">
        <v>0.79166666666666663</v>
      </c>
      <c r="W80" s="23" cm="1">
        <f t="array" ref="W80">_xlfn.IFS($U80="","",$AD80&gt;=6,TIME(1,0,0),$AD80&lt;=5,"")</f>
        <v>4.1666666666666664E-2</v>
      </c>
      <c r="X80" s="23"/>
      <c r="Y80" s="23" cm="1">
        <f t="array" ref="Y80">_xlfn.IFS($U80="","",AND($AD80&lt;=12,$AD80&gt;10),TIME(0,35,0),AND($AD80&lt;=10,$AD80&gt;5),TIME(0,20,0),AND($AD80&gt;12,$X80&lt;&gt;""),TIME(0,20,0),AND($AD80&gt;12,$X80=""),TIME(0,35,0),AND($AD80&gt;3,$AD80&lt;=5),TIME(0,10,0),$AD80&lt;=3,"")</f>
        <v>2.4305555555555556E-2</v>
      </c>
      <c r="Z80" s="23">
        <f t="shared" si="19"/>
        <v>6.9444444444444441E-3</v>
      </c>
      <c r="AA80" s="23">
        <v>6.5277777777777782E-2</v>
      </c>
      <c r="AB80" s="23"/>
      <c r="AC80" s="30"/>
      <c r="AD80" s="24">
        <f t="shared" si="14"/>
        <v>11.999999999999998</v>
      </c>
      <c r="AE80" s="23">
        <f t="shared" si="15"/>
        <v>7.2916666666666671E-2</v>
      </c>
      <c r="AF80" s="25">
        <f t="shared" si="16"/>
        <v>299.99999999999994</v>
      </c>
      <c r="AG80" s="25">
        <f t="shared" si="17"/>
        <v>217.08333333333329</v>
      </c>
      <c r="AH80" s="16">
        <f t="shared" si="18"/>
        <v>0.79999999999999982</v>
      </c>
      <c r="AI80" s="30"/>
      <c r="AJ80" s="14"/>
      <c r="AK80" s="30"/>
      <c r="AL80" t="s">
        <v>138</v>
      </c>
    </row>
    <row r="81" spans="1:38" ht="15" customHeight="1" x14ac:dyDescent="0.3">
      <c r="A81" s="95">
        <v>46044</v>
      </c>
      <c r="B81" s="21">
        <f t="shared" si="12"/>
        <v>1</v>
      </c>
      <c r="C81" s="18" t="s">
        <v>99</v>
      </c>
      <c r="D81" s="14">
        <v>63</v>
      </c>
      <c r="E81" s="14"/>
      <c r="F81" s="14">
        <f>21+31</f>
        <v>52</v>
      </c>
      <c r="G81" s="14">
        <v>101</v>
      </c>
      <c r="H81" s="14">
        <f>50+8</f>
        <v>58</v>
      </c>
      <c r="I81" s="14"/>
      <c r="J81" s="14">
        <f>83+17</f>
        <v>100</v>
      </c>
      <c r="K81" s="14"/>
      <c r="L81" s="14"/>
      <c r="M81" s="14"/>
      <c r="N81" s="14"/>
      <c r="O81" s="14"/>
      <c r="P81" s="14"/>
      <c r="Q81" s="14"/>
      <c r="R81" s="22">
        <f t="shared" si="20"/>
        <v>374</v>
      </c>
      <c r="S81" s="14"/>
      <c r="T81" s="31">
        <f>8+10+5</f>
        <v>23</v>
      </c>
      <c r="U81" s="23">
        <v>0.29166666666666669</v>
      </c>
      <c r="V81" s="23">
        <v>0.79166666666666663</v>
      </c>
      <c r="W81" s="23" cm="1">
        <f t="array" ref="W81">_xlfn.IFS($U81="","",$AD81&gt;=6,TIME(1,0,0),$AD81&lt;=5,"")</f>
        <v>4.1666666666666664E-2</v>
      </c>
      <c r="X81" s="23"/>
      <c r="Y81" s="23" cm="1">
        <f t="array" ref="Y81">_xlfn.IFS($U81="","",AND($AD81&lt;=12,$AD81&gt;10),TIME(0,35,0),AND($AD81&lt;=10,$AD81&gt;5),TIME(0,20,0),AND($AD81&gt;12,$X81&lt;&gt;""),TIME(0,20,0),AND($AD81&gt;12,$X81=""),TIME(0,35,0),AND($AD81&gt;3,$AD81&lt;=5),TIME(0,10,0),$AD81&lt;=3,"")</f>
        <v>2.4305555555555556E-2</v>
      </c>
      <c r="Z81" s="23">
        <f t="shared" si="19"/>
        <v>6.9444444444444441E-3</v>
      </c>
      <c r="AA81" s="23"/>
      <c r="AB81" s="23"/>
      <c r="AC81" s="30"/>
      <c r="AD81" s="24">
        <f t="shared" si="14"/>
        <v>11.999999999999998</v>
      </c>
      <c r="AE81" s="23">
        <f t="shared" si="15"/>
        <v>7.2916666666666671E-2</v>
      </c>
      <c r="AF81" s="25">
        <f t="shared" si="16"/>
        <v>275.99999999999994</v>
      </c>
      <c r="AG81" s="25">
        <f t="shared" si="17"/>
        <v>235.74999999999997</v>
      </c>
      <c r="AH81" s="16">
        <f t="shared" si="18"/>
        <v>0.73796791443850251</v>
      </c>
      <c r="AI81" s="16">
        <f>IF(COUNTIF(A78:A81,A78)=4,1/SUM(AH78:AH81),"")</f>
        <v>0.45908021580578262</v>
      </c>
      <c r="AJ81" s="14"/>
      <c r="AK81" s="30"/>
      <c r="AL81" s="30" t="s">
        <v>139</v>
      </c>
    </row>
    <row r="82" spans="1:38" ht="15" customHeight="1" x14ac:dyDescent="0.3">
      <c r="A82" s="78">
        <v>46045</v>
      </c>
      <c r="B82" s="21">
        <f t="shared" si="12"/>
        <v>1</v>
      </c>
      <c r="C82" s="18" t="s">
        <v>96</v>
      </c>
      <c r="D82" s="14">
        <v>70</v>
      </c>
      <c r="E82" s="14">
        <v>150</v>
      </c>
      <c r="F82" s="14"/>
      <c r="G82" s="14"/>
      <c r="H82" s="14"/>
      <c r="I82" s="14">
        <v>50</v>
      </c>
      <c r="J82" s="14">
        <v>129</v>
      </c>
      <c r="K82" s="14"/>
      <c r="L82" s="14"/>
      <c r="M82" s="14"/>
      <c r="N82" s="14"/>
      <c r="O82" s="14"/>
      <c r="P82" s="14"/>
      <c r="Q82" s="14"/>
      <c r="R82" s="22">
        <f t="shared" si="20"/>
        <v>399</v>
      </c>
      <c r="S82" s="14"/>
      <c r="T82" s="31">
        <f>12+2+3</f>
        <v>17</v>
      </c>
      <c r="U82" s="23">
        <v>0.29166666666666669</v>
      </c>
      <c r="V82" s="23">
        <v>0.79166666666666663</v>
      </c>
      <c r="W82" s="23" cm="1">
        <f t="array" ref="W82">_xlfn.IFS($U82="","",$AD82&gt;=6,TIME(1,0,0),$AD82&lt;=5,"")</f>
        <v>4.1666666666666664E-2</v>
      </c>
      <c r="X82" s="23"/>
      <c r="Y82" s="23" cm="1">
        <f t="array" ref="Y82">_xlfn.IFS($U82="","",AND($AD82&lt;=12,$AD82&gt;10),TIME(0,35,0),AND($AD82&lt;=10,$AD82&gt;5),TIME(0,20,0),AND($AD82&gt;12,$X82&lt;&gt;""),TIME(0,20,0),AND($AD82&gt;12,$X82=""),TIME(0,35,0),AND($AD82&gt;3,$AD82&lt;=5),TIME(0,10,0),$AD82&lt;=3,"")</f>
        <v>2.4305555555555556E-2</v>
      </c>
      <c r="Z82" s="23">
        <f t="shared" si="19"/>
        <v>6.9444444444444441E-3</v>
      </c>
      <c r="AA82" s="23"/>
      <c r="AB82" s="23"/>
      <c r="AC82" s="30"/>
      <c r="AD82" s="24">
        <f t="shared" si="14"/>
        <v>11.999999999999998</v>
      </c>
      <c r="AE82" s="23">
        <f t="shared" si="15"/>
        <v>7.2916666666666671E-2</v>
      </c>
      <c r="AF82" s="25">
        <f t="shared" si="16"/>
        <v>203.99999999999997</v>
      </c>
      <c r="AG82" s="25">
        <f t="shared" si="17"/>
        <v>174.24999999999997</v>
      </c>
      <c r="AH82" s="16">
        <f t="shared" si="18"/>
        <v>0.51127819548872178</v>
      </c>
      <c r="AI82" s="30"/>
      <c r="AJ82" s="14"/>
      <c r="AK82" s="30"/>
      <c r="AL82" s="30"/>
    </row>
    <row r="83" spans="1:38" ht="15" customHeight="1" x14ac:dyDescent="0.3">
      <c r="A83" s="78">
        <v>46045</v>
      </c>
      <c r="B83" s="21">
        <f t="shared" si="12"/>
        <v>1</v>
      </c>
      <c r="C83" s="18" t="s">
        <v>97</v>
      </c>
      <c r="D83" s="14">
        <v>214</v>
      </c>
      <c r="E83" s="14"/>
      <c r="F83" s="14"/>
      <c r="G83" s="14">
        <v>20</v>
      </c>
      <c r="H83" s="14"/>
      <c r="I83" s="14"/>
      <c r="J83" s="14">
        <v>178</v>
      </c>
      <c r="K83" s="14"/>
      <c r="L83" s="14"/>
      <c r="M83" s="14"/>
      <c r="N83" s="14"/>
      <c r="O83" s="14"/>
      <c r="P83" s="14"/>
      <c r="Q83" s="14"/>
      <c r="R83" s="22">
        <f t="shared" si="20"/>
        <v>412</v>
      </c>
      <c r="S83" s="14"/>
      <c r="T83" s="31">
        <f>1+4</f>
        <v>5</v>
      </c>
      <c r="U83" s="23">
        <v>0.29166666666666669</v>
      </c>
      <c r="V83" s="23">
        <v>0.79166666666666663</v>
      </c>
      <c r="W83" s="23" cm="1">
        <f t="array" ref="W83">_xlfn.IFS($U83="","",$AD83&gt;=6,TIME(1,0,0),$AD83&lt;=5,"")</f>
        <v>4.1666666666666664E-2</v>
      </c>
      <c r="X83" s="23"/>
      <c r="Y83" s="23" cm="1">
        <f t="array" ref="Y83">_xlfn.IFS($U83="","",AND($AD83&lt;=12,$AD83&gt;10),TIME(0,35,0),AND($AD83&lt;=10,$AD83&gt;5),TIME(0,20,0),AND($AD83&gt;12,$X83&lt;&gt;""),TIME(0,20,0),AND($AD83&gt;12,$X83=""),TIME(0,35,0),AND($AD83&gt;3,$AD83&lt;=5),TIME(0,10,0),$AD83&lt;=3,"")</f>
        <v>2.4305555555555556E-2</v>
      </c>
      <c r="Z83" s="23">
        <f t="shared" si="19"/>
        <v>6.9444444444444441E-3</v>
      </c>
      <c r="AA83" s="23"/>
      <c r="AB83" s="23"/>
      <c r="AC83" s="30"/>
      <c r="AD83" s="24">
        <f t="shared" si="14"/>
        <v>11.999999999999998</v>
      </c>
      <c r="AE83" s="23">
        <f t="shared" si="15"/>
        <v>7.2916666666666671E-2</v>
      </c>
      <c r="AF83" s="25">
        <f t="shared" si="16"/>
        <v>59.999999999999993</v>
      </c>
      <c r="AG83" s="25">
        <f t="shared" si="17"/>
        <v>51.249999999999993</v>
      </c>
      <c r="AH83" s="16">
        <f t="shared" si="18"/>
        <v>0.14563106796116504</v>
      </c>
      <c r="AI83" s="30"/>
      <c r="AJ83" s="14"/>
      <c r="AK83" s="30"/>
      <c r="AL83" s="30"/>
    </row>
    <row r="84" spans="1:38" ht="15" customHeight="1" x14ac:dyDescent="0.3">
      <c r="A84" s="78">
        <v>46045</v>
      </c>
      <c r="B84" s="21">
        <f t="shared" si="12"/>
        <v>1</v>
      </c>
      <c r="C84" s="18" t="s">
        <v>98</v>
      </c>
      <c r="D84" s="14">
        <v>110</v>
      </c>
      <c r="E84" s="14">
        <v>100</v>
      </c>
      <c r="F84" s="14">
        <v>3</v>
      </c>
      <c r="G84" s="14">
        <v>51</v>
      </c>
      <c r="H84" s="14">
        <v>1</v>
      </c>
      <c r="I84" s="14"/>
      <c r="J84" s="14">
        <v>131</v>
      </c>
      <c r="K84" s="14"/>
      <c r="L84" s="14"/>
      <c r="M84" s="14"/>
      <c r="N84" s="14">
        <v>4</v>
      </c>
      <c r="O84" s="14"/>
      <c r="P84" s="14"/>
      <c r="Q84" s="14"/>
      <c r="R84" s="22">
        <f t="shared" si="20"/>
        <v>400</v>
      </c>
      <c r="S84" s="14"/>
      <c r="T84" s="31">
        <f>12+7+5</f>
        <v>24</v>
      </c>
      <c r="U84" s="23">
        <v>0.29166666666666669</v>
      </c>
      <c r="V84" s="23">
        <v>0.79166666666666663</v>
      </c>
      <c r="W84" s="23" cm="1">
        <f t="array" ref="W84">_xlfn.IFS($U84="","",$AD84&gt;=6,TIME(1,0,0),$AD84&lt;=5,"")</f>
        <v>4.1666666666666664E-2</v>
      </c>
      <c r="X84" s="23"/>
      <c r="Y84" s="23" cm="1">
        <f t="array" ref="Y84">_xlfn.IFS($U84="","",AND($AD84&lt;=12,$AD84&gt;10),TIME(0,35,0),AND($AD84&lt;=10,$AD84&gt;5),TIME(0,20,0),AND($AD84&gt;12,$X84&lt;&gt;""),TIME(0,20,0),AND($AD84&gt;12,$X84=""),TIME(0,35,0),AND($AD84&gt;3,$AD84&lt;=5),TIME(0,10,0),$AD84&lt;=3,"")</f>
        <v>2.4305555555555556E-2</v>
      </c>
      <c r="Z84" s="23">
        <f t="shared" si="19"/>
        <v>6.9444444444444441E-3</v>
      </c>
      <c r="AA84" s="23">
        <v>9.4444444444444442E-2</v>
      </c>
      <c r="AB84" s="23"/>
      <c r="AC84" s="30"/>
      <c r="AD84" s="24">
        <f t="shared" si="14"/>
        <v>11.999999999999998</v>
      </c>
      <c r="AE84" s="23">
        <f t="shared" si="15"/>
        <v>7.2916666666666671E-2</v>
      </c>
      <c r="AF84" s="25">
        <f t="shared" si="16"/>
        <v>287.99999999999994</v>
      </c>
      <c r="AG84" s="25">
        <f t="shared" si="17"/>
        <v>191.59999999999994</v>
      </c>
      <c r="AH84" s="16">
        <f t="shared" si="18"/>
        <v>0.71999999999999986</v>
      </c>
      <c r="AI84" s="30"/>
      <c r="AJ84" s="14"/>
      <c r="AK84" s="30"/>
      <c r="AL84" s="30" t="s">
        <v>140</v>
      </c>
    </row>
    <row r="85" spans="1:38" ht="15" customHeight="1" x14ac:dyDescent="0.3">
      <c r="A85" s="78">
        <v>46045</v>
      </c>
      <c r="B85" s="21">
        <f t="shared" si="12"/>
        <v>1</v>
      </c>
      <c r="C85" s="18" t="s">
        <v>99</v>
      </c>
      <c r="D85" s="14">
        <v>116</v>
      </c>
      <c r="E85" s="14"/>
      <c r="F85" s="14">
        <f>16+21</f>
        <v>37</v>
      </c>
      <c r="G85" s="14">
        <f>81+12</f>
        <v>93</v>
      </c>
      <c r="H85" s="14">
        <v>41</v>
      </c>
      <c r="I85" s="14"/>
      <c r="J85" s="14">
        <f>14+97</f>
        <v>111</v>
      </c>
      <c r="K85" s="14"/>
      <c r="L85" s="14"/>
      <c r="M85" s="14"/>
      <c r="N85" s="14"/>
      <c r="O85" s="14"/>
      <c r="P85" s="14"/>
      <c r="Q85" s="14"/>
      <c r="R85" s="22">
        <f t="shared" si="20"/>
        <v>398</v>
      </c>
      <c r="S85" s="14"/>
      <c r="T85" s="31">
        <f>7+5+7</f>
        <v>19</v>
      </c>
      <c r="U85" s="23">
        <v>0.29166666666666669</v>
      </c>
      <c r="V85" s="23">
        <v>0.79166666666666663</v>
      </c>
      <c r="W85" s="23" cm="1">
        <f t="array" ref="W85">_xlfn.IFS($U85="","",$AD85&gt;=6,TIME(1,0,0),$AD85&lt;=5,"")</f>
        <v>4.1666666666666664E-2</v>
      </c>
      <c r="X85" s="23"/>
      <c r="Y85" s="23" cm="1">
        <f t="array" ref="Y85">_xlfn.IFS($U85="","",AND($AD85&lt;=12,$AD85&gt;10),TIME(0,35,0),AND($AD85&lt;=10,$AD85&gt;5),TIME(0,20,0),AND($AD85&gt;12,$X85&lt;&gt;""),TIME(0,20,0),AND($AD85&gt;12,$X85=""),TIME(0,35,0),AND($AD85&gt;3,$AD85&lt;=5),TIME(0,10,0),$AD85&lt;=3,"")</f>
        <v>2.4305555555555556E-2</v>
      </c>
      <c r="Z85" s="23">
        <f t="shared" si="19"/>
        <v>6.9444444444444441E-3</v>
      </c>
      <c r="AA85" s="23"/>
      <c r="AB85" s="23"/>
      <c r="AC85" s="30"/>
      <c r="AD85" s="24">
        <f t="shared" si="14"/>
        <v>11.999999999999998</v>
      </c>
      <c r="AE85" s="23">
        <f t="shared" si="15"/>
        <v>7.2916666666666671E-2</v>
      </c>
      <c r="AF85" s="25">
        <f t="shared" si="16"/>
        <v>227.99999999999997</v>
      </c>
      <c r="AG85" s="25">
        <f t="shared" si="17"/>
        <v>194.74999999999997</v>
      </c>
      <c r="AH85" s="16">
        <f t="shared" si="18"/>
        <v>0.57286432160804013</v>
      </c>
      <c r="AI85" s="16">
        <f>IF(COUNTIF(A82:A85,A82)=4,1/SUM(AH82:AH85),"")</f>
        <v>0.51288006344095094</v>
      </c>
      <c r="AJ85" s="14"/>
      <c r="AK85" s="30"/>
      <c r="AL85" s="30" t="s">
        <v>141</v>
      </c>
    </row>
    <row r="86" spans="1:38" ht="15" customHeight="1" x14ac:dyDescent="0.3">
      <c r="A86" s="95">
        <v>46046</v>
      </c>
      <c r="B86" s="21">
        <f t="shared" si="12"/>
        <v>1</v>
      </c>
      <c r="C86" s="18" t="s">
        <v>96</v>
      </c>
      <c r="D86" s="14"/>
      <c r="E86" s="14">
        <v>134</v>
      </c>
      <c r="F86" s="14"/>
      <c r="G86" s="14"/>
      <c r="H86" s="14">
        <v>180</v>
      </c>
      <c r="I86" s="14">
        <v>100</v>
      </c>
      <c r="J86" s="14">
        <v>10</v>
      </c>
      <c r="K86" s="14"/>
      <c r="L86" s="14"/>
      <c r="M86" s="14"/>
      <c r="N86" s="14"/>
      <c r="O86" s="14"/>
      <c r="P86" s="14"/>
      <c r="Q86" s="14"/>
      <c r="R86" s="22">
        <f t="shared" si="20"/>
        <v>424</v>
      </c>
      <c r="S86" s="14"/>
      <c r="T86" s="31">
        <f>13+5+3-1</f>
        <v>20</v>
      </c>
      <c r="U86" s="23">
        <v>0.29166666666666669</v>
      </c>
      <c r="V86" s="23">
        <v>0.79166666666666663</v>
      </c>
      <c r="W86" s="23" cm="1">
        <f t="array" ref="W86">_xlfn.IFS($U86="","",$AD86&gt;=6,TIME(1,0,0),$AD86&lt;=5,"")</f>
        <v>4.1666666666666664E-2</v>
      </c>
      <c r="X86" s="23"/>
      <c r="Y86" s="23" cm="1">
        <f t="array" ref="Y86">_xlfn.IFS($U86="","",AND($AD86&lt;=12,$AD86&gt;10),TIME(0,35,0),AND($AD86&lt;=10,$AD86&gt;5),TIME(0,20,0),AND($AD86&gt;12,$X86&lt;&gt;""),TIME(0,20,0),AND($AD86&gt;12,$X86=""),TIME(0,35,0),AND($AD86&gt;3,$AD86&lt;=5),TIME(0,10,0),$AD86&lt;=3,"")</f>
        <v>2.4305555555555556E-2</v>
      </c>
      <c r="Z86" s="23">
        <f t="shared" si="19"/>
        <v>6.9444444444444441E-3</v>
      </c>
      <c r="AA86" s="23"/>
      <c r="AB86" s="23"/>
      <c r="AC86" s="30"/>
      <c r="AD86" s="24">
        <f t="shared" si="14"/>
        <v>11.999999999999998</v>
      </c>
      <c r="AE86" s="23">
        <f t="shared" si="15"/>
        <v>7.2916666666666671E-2</v>
      </c>
      <c r="AF86" s="25">
        <f t="shared" si="16"/>
        <v>239.99999999999997</v>
      </c>
      <c r="AG86" s="25">
        <f t="shared" si="17"/>
        <v>204.99999999999997</v>
      </c>
      <c r="AH86" s="16">
        <f t="shared" si="18"/>
        <v>0.56603773584905659</v>
      </c>
      <c r="AI86" s="30"/>
      <c r="AJ86" s="14"/>
      <c r="AK86" s="30"/>
      <c r="AL86" s="30" t="s">
        <v>130</v>
      </c>
    </row>
    <row r="87" spans="1:38" ht="15" customHeight="1" x14ac:dyDescent="0.3">
      <c r="A87" s="95">
        <v>46046</v>
      </c>
      <c r="B87" s="21">
        <f t="shared" si="12"/>
        <v>1</v>
      </c>
      <c r="C87" s="18" t="s">
        <v>97</v>
      </c>
      <c r="D87" s="14">
        <v>150</v>
      </c>
      <c r="E87" s="14"/>
      <c r="F87" s="14"/>
      <c r="G87" s="14"/>
      <c r="H87" s="14">
        <v>257</v>
      </c>
      <c r="I87" s="14"/>
      <c r="J87" s="14">
        <v>10</v>
      </c>
      <c r="K87" s="14"/>
      <c r="L87" s="14"/>
      <c r="M87" s="14"/>
      <c r="N87" s="14"/>
      <c r="O87" s="14"/>
      <c r="P87" s="14"/>
      <c r="Q87" s="14"/>
      <c r="R87" s="22">
        <f t="shared" si="20"/>
        <v>417</v>
      </c>
      <c r="S87" s="14"/>
      <c r="T87" s="31">
        <f>1+4</f>
        <v>5</v>
      </c>
      <c r="U87" s="23">
        <v>0.29166666666666669</v>
      </c>
      <c r="V87" s="23">
        <v>0.79166666666666663</v>
      </c>
      <c r="W87" s="23" cm="1">
        <f t="array" ref="W87">_xlfn.IFS($U87="","",$AD87&gt;=6,TIME(1,0,0),$AD87&lt;=5,"")</f>
        <v>4.1666666666666664E-2</v>
      </c>
      <c r="X87" s="23"/>
      <c r="Y87" s="23" cm="1">
        <f t="array" ref="Y87">_xlfn.IFS($U87="","",AND($AD87&lt;=12,$AD87&gt;10),TIME(0,35,0),AND($AD87&lt;=10,$AD87&gt;5),TIME(0,20,0),AND($AD87&gt;12,$X87&lt;&gt;""),TIME(0,20,0),AND($AD87&gt;12,$X87=""),TIME(0,35,0),AND($AD87&gt;3,$AD87&lt;=5),TIME(0,10,0),$AD87&lt;=3,"")</f>
        <v>2.4305555555555556E-2</v>
      </c>
      <c r="Z87" s="23">
        <f t="shared" si="19"/>
        <v>6.9444444444444441E-3</v>
      </c>
      <c r="AA87" s="23"/>
      <c r="AB87" s="23"/>
      <c r="AC87" s="30"/>
      <c r="AD87" s="24">
        <f t="shared" si="14"/>
        <v>11.999999999999998</v>
      </c>
      <c r="AE87" s="23">
        <f t="shared" si="15"/>
        <v>7.2916666666666671E-2</v>
      </c>
      <c r="AF87" s="25">
        <f t="shared" si="16"/>
        <v>59.999999999999993</v>
      </c>
      <c r="AG87" s="25">
        <f t="shared" si="17"/>
        <v>51.249999999999993</v>
      </c>
      <c r="AH87" s="16">
        <f t="shared" si="18"/>
        <v>0.14388489208633093</v>
      </c>
      <c r="AI87" s="30"/>
      <c r="AJ87" s="14"/>
      <c r="AK87" s="30"/>
      <c r="AL87" s="30"/>
    </row>
    <row r="88" spans="1:38" ht="15" customHeight="1" x14ac:dyDescent="0.3">
      <c r="A88" s="95">
        <v>46046</v>
      </c>
      <c r="B88" s="21">
        <f t="shared" si="12"/>
        <v>1</v>
      </c>
      <c r="C88" s="18" t="s">
        <v>98</v>
      </c>
      <c r="D88" s="14">
        <v>30</v>
      </c>
      <c r="E88" s="14">
        <v>144</v>
      </c>
      <c r="F88" s="14"/>
      <c r="G88" s="14"/>
      <c r="H88" s="14">
        <v>102</v>
      </c>
      <c r="I88" s="14">
        <v>130</v>
      </c>
      <c r="J88" s="14"/>
      <c r="K88" s="14"/>
      <c r="L88" s="14"/>
      <c r="M88" s="14"/>
      <c r="N88" s="14"/>
      <c r="O88" s="14"/>
      <c r="P88" s="14"/>
      <c r="Q88" s="14"/>
      <c r="R88" s="22">
        <f t="shared" si="20"/>
        <v>406</v>
      </c>
      <c r="S88" s="14"/>
      <c r="T88" s="31">
        <f>12+6+5</f>
        <v>23</v>
      </c>
      <c r="U88" s="23">
        <v>0.29166666666666669</v>
      </c>
      <c r="V88" s="23">
        <v>0.79166666666666663</v>
      </c>
      <c r="W88" s="23" cm="1">
        <f t="array" ref="W88">_xlfn.IFS($U88="","",$AD88&gt;=6,TIME(1,0,0),$AD88&lt;=5,"")</f>
        <v>4.1666666666666664E-2</v>
      </c>
      <c r="X88" s="23"/>
      <c r="Y88" s="23" cm="1">
        <f t="array" ref="Y88">_xlfn.IFS($U88="","",AND($AD88&lt;=12,$AD88&gt;10),TIME(0,35,0),AND($AD88&lt;=10,$AD88&gt;5),TIME(0,20,0),AND($AD88&gt;12,$X88&lt;&gt;""),TIME(0,20,0),AND($AD88&gt;12,$X88=""),TIME(0,35,0),AND($AD88&gt;3,$AD88&lt;=5),TIME(0,10,0),$AD88&lt;=3,"")</f>
        <v>2.4305555555555556E-2</v>
      </c>
      <c r="Z88" s="23">
        <f t="shared" si="19"/>
        <v>6.9444444444444441E-3</v>
      </c>
      <c r="AA88" s="23">
        <v>2.361111111111111E-2</v>
      </c>
      <c r="AB88" s="23"/>
      <c r="AC88" s="30"/>
      <c r="AD88" s="24">
        <f t="shared" si="14"/>
        <v>11.999999999999998</v>
      </c>
      <c r="AE88" s="23">
        <f t="shared" si="15"/>
        <v>7.2916666666666671E-2</v>
      </c>
      <c r="AF88" s="25">
        <f t="shared" si="16"/>
        <v>275.99999999999994</v>
      </c>
      <c r="AG88" s="25">
        <f t="shared" si="17"/>
        <v>222.71666666666664</v>
      </c>
      <c r="AH88" s="16">
        <f t="shared" si="18"/>
        <v>0.67980295566502447</v>
      </c>
      <c r="AI88" s="30"/>
      <c r="AJ88" s="14"/>
      <c r="AK88" s="30"/>
      <c r="AL88" s="30" t="s">
        <v>142</v>
      </c>
    </row>
    <row r="89" spans="1:38" ht="15" customHeight="1" x14ac:dyDescent="0.3">
      <c r="A89" s="95">
        <v>46046</v>
      </c>
      <c r="B89" s="21">
        <f t="shared" si="12"/>
        <v>1</v>
      </c>
      <c r="C89" s="18" t="s">
        <v>99</v>
      </c>
      <c r="D89" s="14">
        <v>79</v>
      </c>
      <c r="E89" s="14">
        <v>148</v>
      </c>
      <c r="F89" s="14">
        <f>7+12</f>
        <v>19</v>
      </c>
      <c r="G89" s="14">
        <f>17+8</f>
        <v>25</v>
      </c>
      <c r="H89" s="14"/>
      <c r="I89" s="14">
        <v>85</v>
      </c>
      <c r="J89" s="14">
        <f>70+26</f>
        <v>96</v>
      </c>
      <c r="K89" s="14"/>
      <c r="L89" s="14"/>
      <c r="M89" s="14"/>
      <c r="N89" s="14"/>
      <c r="O89" s="14"/>
      <c r="P89" s="14"/>
      <c r="Q89" s="14"/>
      <c r="R89" s="22">
        <f t="shared" si="20"/>
        <v>452</v>
      </c>
      <c r="S89" s="14"/>
      <c r="T89" s="31">
        <f>8+4+8</f>
        <v>20</v>
      </c>
      <c r="U89" s="23">
        <v>0.29166666666666669</v>
      </c>
      <c r="V89" s="23">
        <v>0.79166666666666663</v>
      </c>
      <c r="W89" s="23" cm="1">
        <f t="array" ref="W89">_xlfn.IFS($U89="","",$AD89&gt;=6,TIME(1,0,0),$AD89&lt;=5,"")</f>
        <v>4.1666666666666664E-2</v>
      </c>
      <c r="X89" s="23"/>
      <c r="Y89" s="23" cm="1">
        <f t="array" ref="Y89">_xlfn.IFS($U89="","",AND($AD89&lt;=12,$AD89&gt;10),TIME(0,35,0),AND($AD89&lt;=10,$AD89&gt;5),TIME(0,20,0),AND($AD89&gt;12,$X89&lt;&gt;""),TIME(0,20,0),AND($AD89&gt;12,$X89=""),TIME(0,35,0),AND($AD89&gt;3,$AD89&lt;=5),TIME(0,10,0),$AD89&lt;=3,"")</f>
        <v>2.4305555555555556E-2</v>
      </c>
      <c r="Z89" s="23">
        <f t="shared" si="19"/>
        <v>6.9444444444444441E-3</v>
      </c>
      <c r="AA89" s="23"/>
      <c r="AB89" s="23"/>
      <c r="AC89" s="30"/>
      <c r="AD89" s="24">
        <f t="shared" si="14"/>
        <v>11.999999999999998</v>
      </c>
      <c r="AE89" s="23">
        <f t="shared" si="15"/>
        <v>7.2916666666666671E-2</v>
      </c>
      <c r="AF89" s="25">
        <f t="shared" si="16"/>
        <v>239.99999999999997</v>
      </c>
      <c r="AG89" s="25">
        <f t="shared" si="17"/>
        <v>204.99999999999997</v>
      </c>
      <c r="AH89" s="16">
        <f t="shared" si="18"/>
        <v>0.53097345132743357</v>
      </c>
      <c r="AI89" s="16">
        <f>IF(COUNTIF(A86:A89,A86)=4,1/SUM(AH86:AH89),"")</f>
        <v>0.52064377698693787</v>
      </c>
      <c r="AJ89" s="14"/>
      <c r="AK89" s="30"/>
      <c r="AL89" s="30" t="s">
        <v>143</v>
      </c>
    </row>
    <row r="90" spans="1:38" ht="15" customHeight="1" x14ac:dyDescent="0.3">
      <c r="A90" s="78">
        <v>46048</v>
      </c>
      <c r="B90" s="21">
        <f t="shared" si="12"/>
        <v>1</v>
      </c>
      <c r="C90" s="18" t="s">
        <v>96</v>
      </c>
      <c r="D90" s="14">
        <f>150+10</f>
        <v>160</v>
      </c>
      <c r="E90" s="14">
        <v>16</v>
      </c>
      <c r="F90" s="14"/>
      <c r="G90" s="14"/>
      <c r="H90" s="14">
        <f>220+10</f>
        <v>230</v>
      </c>
      <c r="I90" s="14"/>
      <c r="J90" s="14"/>
      <c r="K90" s="14"/>
      <c r="L90" s="14"/>
      <c r="M90" s="14"/>
      <c r="N90" s="14"/>
      <c r="O90" s="14"/>
      <c r="P90" s="14"/>
      <c r="Q90" s="14"/>
      <c r="R90" s="22">
        <f t="shared" si="20"/>
        <v>406</v>
      </c>
      <c r="S90" s="14"/>
      <c r="T90" s="31">
        <f>11+3+3</f>
        <v>17</v>
      </c>
      <c r="U90" s="23">
        <v>0.29166666666666669</v>
      </c>
      <c r="V90" s="23">
        <v>0.79166666666666663</v>
      </c>
      <c r="W90" s="23" cm="1">
        <f t="array" ref="W90">_xlfn.IFS($U90="","",$AD90&gt;=6,TIME(1,0,0),$AD90&lt;=5,"")</f>
        <v>4.1666666666666664E-2</v>
      </c>
      <c r="X90" s="23"/>
      <c r="Y90" s="23" cm="1">
        <f t="array" ref="Y90">_xlfn.IFS($U90="","",AND($AD90&lt;=12,$AD90&gt;10),TIME(0,35,0),AND($AD90&lt;=10,$AD90&gt;5),TIME(0,20,0),AND($AD90&gt;12,$X90&lt;&gt;""),TIME(0,20,0),AND($AD90&gt;12,$X90=""),TIME(0,35,0),AND($AD90&gt;3,$AD90&lt;=5),TIME(0,10,0),$AD90&lt;=3,"")</f>
        <v>2.4305555555555556E-2</v>
      </c>
      <c r="Z90" s="23">
        <f t="shared" si="19"/>
        <v>6.9444444444444441E-3</v>
      </c>
      <c r="AA90" s="23"/>
      <c r="AB90" s="23"/>
      <c r="AC90" s="30"/>
      <c r="AD90" s="24">
        <f t="shared" si="14"/>
        <v>11.999999999999998</v>
      </c>
      <c r="AE90" s="23">
        <f t="shared" si="15"/>
        <v>7.2916666666666671E-2</v>
      </c>
      <c r="AF90" s="25">
        <f t="shared" si="16"/>
        <v>203.99999999999997</v>
      </c>
      <c r="AG90" s="25">
        <f t="shared" si="17"/>
        <v>174.24999999999997</v>
      </c>
      <c r="AH90" s="16">
        <f t="shared" si="18"/>
        <v>0.50246305418719206</v>
      </c>
      <c r="AI90" s="30"/>
      <c r="AJ90" s="14"/>
      <c r="AK90" s="30"/>
      <c r="AL90" s="30"/>
    </row>
    <row r="91" spans="1:38" ht="15" customHeight="1" x14ac:dyDescent="0.3">
      <c r="A91" s="78">
        <v>46048</v>
      </c>
      <c r="B91" s="21">
        <f t="shared" ref="B91:B131" si="21">IF($A91="","",MONTH(A91))</f>
        <v>1</v>
      </c>
      <c r="C91" s="18" t="s">
        <v>97</v>
      </c>
      <c r="D91" s="14">
        <v>166</v>
      </c>
      <c r="E91" s="14"/>
      <c r="F91" s="14"/>
      <c r="G91" s="14"/>
      <c r="H91" s="14">
        <v>257</v>
      </c>
      <c r="I91" s="14"/>
      <c r="J91" s="14"/>
      <c r="K91" s="14"/>
      <c r="L91" s="14"/>
      <c r="M91" s="14"/>
      <c r="N91" s="14"/>
      <c r="O91" s="14"/>
      <c r="P91" s="14"/>
      <c r="Q91" s="14"/>
      <c r="R91" s="22">
        <f t="shared" si="20"/>
        <v>423</v>
      </c>
      <c r="S91" s="14"/>
      <c r="T91" s="31">
        <f>1+4</f>
        <v>5</v>
      </c>
      <c r="U91" s="23">
        <v>0.29166666666666669</v>
      </c>
      <c r="V91" s="23">
        <v>0.79166666666666663</v>
      </c>
      <c r="W91" s="23" cm="1">
        <f t="array" ref="W91">_xlfn.IFS($U91="","",$AD91&gt;=6,TIME(1,0,0),$AD91&lt;=5,"")</f>
        <v>4.1666666666666664E-2</v>
      </c>
      <c r="X91" s="23"/>
      <c r="Y91" s="23" cm="1">
        <f t="array" ref="Y91">_xlfn.IFS($U91="","",AND($AD91&lt;=12,$AD91&gt;10),TIME(0,35,0),AND($AD91&lt;=10,$AD91&gt;5),TIME(0,20,0),AND($AD91&gt;12,$X91&lt;&gt;""),TIME(0,20,0),AND($AD91&gt;12,$X91=""),TIME(0,35,0),AND($AD91&gt;3,$AD91&lt;=5),TIME(0,10,0),$AD91&lt;=3,"")</f>
        <v>2.4305555555555556E-2</v>
      </c>
      <c r="Z91" s="23">
        <f t="shared" si="19"/>
        <v>6.9444444444444441E-3</v>
      </c>
      <c r="AA91" s="23">
        <v>0.1111111111111111</v>
      </c>
      <c r="AB91" s="23"/>
      <c r="AC91" s="30"/>
      <c r="AD91" s="24">
        <f t="shared" si="14"/>
        <v>11.999999999999998</v>
      </c>
      <c r="AE91" s="23">
        <f t="shared" si="15"/>
        <v>7.2916666666666671E-2</v>
      </c>
      <c r="AF91" s="25">
        <f t="shared" si="16"/>
        <v>59.999999999999993</v>
      </c>
      <c r="AG91" s="25">
        <f t="shared" si="17"/>
        <v>37.916666666666657</v>
      </c>
      <c r="AH91" s="16">
        <f t="shared" si="18"/>
        <v>0.14184397163120566</v>
      </c>
      <c r="AI91" s="30"/>
      <c r="AJ91" s="14"/>
      <c r="AK91" s="30"/>
      <c r="AL91" s="30" t="s">
        <v>144</v>
      </c>
    </row>
    <row r="92" spans="1:38" ht="15" customHeight="1" x14ac:dyDescent="0.3">
      <c r="A92" s="78">
        <v>46048</v>
      </c>
      <c r="B92" s="21">
        <f t="shared" si="21"/>
        <v>1</v>
      </c>
      <c r="C92" s="18" t="s">
        <v>98</v>
      </c>
      <c r="D92" s="14">
        <v>117</v>
      </c>
      <c r="E92" s="14">
        <v>39</v>
      </c>
      <c r="F92" s="14">
        <v>37</v>
      </c>
      <c r="G92" s="14"/>
      <c r="H92" s="14">
        <f>187+10</f>
        <v>197</v>
      </c>
      <c r="I92" s="14">
        <v>10</v>
      </c>
      <c r="J92" s="14">
        <v>1</v>
      </c>
      <c r="K92" s="14">
        <v>2</v>
      </c>
      <c r="L92" s="14"/>
      <c r="M92" s="14"/>
      <c r="N92" s="14">
        <v>1</v>
      </c>
      <c r="O92" s="14"/>
      <c r="P92" s="14"/>
      <c r="Q92" s="14"/>
      <c r="R92" s="22">
        <f t="shared" si="20"/>
        <v>404</v>
      </c>
      <c r="S92" s="14"/>
      <c r="T92" s="31">
        <f>11+7+5-1</f>
        <v>22</v>
      </c>
      <c r="U92" s="23">
        <v>0.29166666666666669</v>
      </c>
      <c r="V92" s="23">
        <v>0.79166666666666663</v>
      </c>
      <c r="W92" s="23" cm="1">
        <f t="array" ref="W92">_xlfn.IFS($U92="","",$AD92&gt;=6,TIME(1,0,0),$AD92&lt;=5,"")</f>
        <v>4.1666666666666664E-2</v>
      </c>
      <c r="X92" s="23"/>
      <c r="Y92" s="23" cm="1">
        <f t="array" ref="Y92">_xlfn.IFS($U92="","",AND($AD92&lt;=12,$AD92&gt;10),TIME(0,35,0),AND($AD92&lt;=10,$AD92&gt;5),TIME(0,20,0),AND($AD92&gt;12,$X92&lt;&gt;""),TIME(0,20,0),AND($AD92&gt;12,$X92=""),TIME(0,35,0),AND($AD92&gt;3,$AD92&lt;=5),TIME(0,10,0),$AD92&lt;=3,"")</f>
        <v>2.4305555555555556E-2</v>
      </c>
      <c r="Z92" s="23">
        <f t="shared" si="19"/>
        <v>6.9444444444444441E-3</v>
      </c>
      <c r="AA92" s="23">
        <v>4.1666666666666664E-2</v>
      </c>
      <c r="AB92" s="23"/>
      <c r="AC92" s="30"/>
      <c r="AD92" s="24">
        <f t="shared" si="14"/>
        <v>11.999999999999998</v>
      </c>
      <c r="AE92" s="23">
        <f t="shared" si="15"/>
        <v>7.2916666666666671E-2</v>
      </c>
      <c r="AF92" s="25">
        <f t="shared" si="16"/>
        <v>263.99999999999994</v>
      </c>
      <c r="AG92" s="25">
        <f t="shared" si="17"/>
        <v>203.49999999999997</v>
      </c>
      <c r="AH92" s="16">
        <f t="shared" si="18"/>
        <v>0.65346534653465338</v>
      </c>
      <c r="AI92" s="30"/>
      <c r="AJ92" s="14"/>
      <c r="AK92" s="30"/>
      <c r="AL92" s="30" t="s">
        <v>145</v>
      </c>
    </row>
    <row r="93" spans="1:38" ht="15" customHeight="1" x14ac:dyDescent="0.3">
      <c r="A93" s="78">
        <v>46048</v>
      </c>
      <c r="B93" s="21">
        <f t="shared" si="21"/>
        <v>1</v>
      </c>
      <c r="C93" s="18" t="s">
        <v>99</v>
      </c>
      <c r="D93" s="14">
        <f>41+2</f>
        <v>43</v>
      </c>
      <c r="E93" s="14"/>
      <c r="F93" s="14">
        <f>24+44</f>
        <v>68</v>
      </c>
      <c r="G93" s="14">
        <v>1</v>
      </c>
      <c r="H93" s="14">
        <f>82+12</f>
        <v>94</v>
      </c>
      <c r="I93" s="14">
        <v>10</v>
      </c>
      <c r="J93" s="14">
        <f>23+59</f>
        <v>82</v>
      </c>
      <c r="K93" s="14">
        <v>1</v>
      </c>
      <c r="L93" s="14"/>
      <c r="M93" s="14"/>
      <c r="N93" s="14">
        <v>3</v>
      </c>
      <c r="O93" s="14">
        <v>1</v>
      </c>
      <c r="P93" s="14"/>
      <c r="Q93" s="14">
        <v>1</v>
      </c>
      <c r="R93" s="22">
        <f t="shared" si="20"/>
        <v>304</v>
      </c>
      <c r="S93" s="14"/>
      <c r="T93" s="31">
        <f>8+3+8</f>
        <v>19</v>
      </c>
      <c r="U93" s="23">
        <v>0.29166666666666669</v>
      </c>
      <c r="V93" s="23">
        <v>0.79166666666666663</v>
      </c>
      <c r="W93" s="23" cm="1">
        <f t="array" ref="W93">_xlfn.IFS($U93="","",$AD93&gt;=6,TIME(1,0,0),$AD93&lt;=5,"")</f>
        <v>4.1666666666666664E-2</v>
      </c>
      <c r="X93" s="23"/>
      <c r="Y93" s="23" cm="1">
        <f t="array" ref="Y93">_xlfn.IFS($U93="","",AND($AD93&lt;=12,$AD93&gt;10),TIME(0,35,0),AND($AD93&lt;=10,$AD93&gt;5),TIME(0,20,0),AND($AD93&gt;12,$X93&lt;&gt;""),TIME(0,20,0),AND($AD93&gt;12,$X93=""),TIME(0,35,0),AND($AD93&gt;3,$AD93&lt;=5),TIME(0,10,0),$AD93&lt;=3,"")</f>
        <v>2.4305555555555556E-2</v>
      </c>
      <c r="Z93" s="23">
        <f t="shared" si="19"/>
        <v>6.9444444444444441E-3</v>
      </c>
      <c r="AA93" s="23"/>
      <c r="AB93" s="23"/>
      <c r="AC93" s="30"/>
      <c r="AD93" s="24">
        <f t="shared" si="14"/>
        <v>11.999999999999998</v>
      </c>
      <c r="AE93" s="23">
        <f t="shared" si="15"/>
        <v>7.2916666666666671E-2</v>
      </c>
      <c r="AF93" s="25">
        <f t="shared" si="16"/>
        <v>227.99999999999997</v>
      </c>
      <c r="AG93" s="25">
        <f t="shared" si="17"/>
        <v>194.74999999999997</v>
      </c>
      <c r="AH93" s="16">
        <f t="shared" si="18"/>
        <v>0.74999999999999989</v>
      </c>
      <c r="AI93" s="16">
        <f>IF(COUNTIF(A90:A93,A90)=4,1/SUM(AH90:AH93),"")</f>
        <v>0.488335526692804</v>
      </c>
      <c r="AJ93" s="14"/>
      <c r="AK93" s="30"/>
      <c r="AL93" s="30" t="s">
        <v>146</v>
      </c>
    </row>
    <row r="94" spans="1:38" ht="15" customHeight="1" x14ac:dyDescent="0.3">
      <c r="A94" s="95">
        <v>46049</v>
      </c>
      <c r="B94" s="21">
        <f t="shared" si="21"/>
        <v>1</v>
      </c>
      <c r="C94" s="18" t="s">
        <v>96</v>
      </c>
      <c r="D94" s="14">
        <f>150+200</f>
        <v>350</v>
      </c>
      <c r="E94" s="14"/>
      <c r="F94" s="14"/>
      <c r="G94" s="14"/>
      <c r="H94" s="14">
        <v>150</v>
      </c>
      <c r="I94" s="14"/>
      <c r="J94" s="14"/>
      <c r="K94" s="14"/>
      <c r="L94" s="14"/>
      <c r="M94" s="14"/>
      <c r="N94" s="14"/>
      <c r="O94" s="14"/>
      <c r="P94" s="14"/>
      <c r="Q94" s="14"/>
      <c r="R94" s="22">
        <f t="shared" si="20"/>
        <v>500</v>
      </c>
      <c r="S94" s="14"/>
      <c r="T94" s="31">
        <f>12+5+3-1</f>
        <v>19</v>
      </c>
      <c r="U94" s="23">
        <v>0.29166666666666669</v>
      </c>
      <c r="V94" s="23">
        <v>0.79166666666666663</v>
      </c>
      <c r="W94" s="23" cm="1">
        <f t="array" ref="W94">_xlfn.IFS($U94="","",$AD94&gt;=6,TIME(1,0,0),$AD94&lt;=5,"")</f>
        <v>4.1666666666666664E-2</v>
      </c>
      <c r="X94" s="23"/>
      <c r="Y94" s="23" cm="1">
        <f t="array" ref="Y94">_xlfn.IFS($U94="","",AND($AD94&lt;=12,$AD94&gt;10),TIME(0,35,0),AND($AD94&lt;=10,$AD94&gt;5),TIME(0,20,0),AND($AD94&gt;12,$X94&lt;&gt;""),TIME(0,20,0),AND($AD94&gt;12,$X94=""),TIME(0,35,0),AND($AD94&gt;3,$AD94&lt;=5),TIME(0,10,0),$AD94&lt;=3,"")</f>
        <v>2.4305555555555556E-2</v>
      </c>
      <c r="Z94" s="23">
        <f t="shared" si="19"/>
        <v>6.9444444444444441E-3</v>
      </c>
      <c r="AA94" s="23"/>
      <c r="AB94" s="23"/>
      <c r="AC94" s="30"/>
      <c r="AD94" s="24">
        <f t="shared" si="14"/>
        <v>11.999999999999998</v>
      </c>
      <c r="AE94" s="23">
        <f t="shared" si="15"/>
        <v>7.2916666666666671E-2</v>
      </c>
      <c r="AF94" s="25">
        <f t="shared" si="16"/>
        <v>227.99999999999997</v>
      </c>
      <c r="AG94" s="25">
        <f t="shared" si="17"/>
        <v>194.74999999999997</v>
      </c>
      <c r="AH94" s="16">
        <f t="shared" si="18"/>
        <v>0.45599999999999996</v>
      </c>
      <c r="AI94" s="30"/>
      <c r="AJ94" s="14"/>
      <c r="AK94" s="30"/>
      <c r="AL94" s="30" t="s">
        <v>130</v>
      </c>
    </row>
    <row r="95" spans="1:38" ht="15" customHeight="1" x14ac:dyDescent="0.3">
      <c r="A95" s="95">
        <v>46049</v>
      </c>
      <c r="B95" s="21">
        <f t="shared" si="21"/>
        <v>1</v>
      </c>
      <c r="C95" s="18" t="s">
        <v>97</v>
      </c>
      <c r="D95" s="14">
        <v>269</v>
      </c>
      <c r="E95" s="14"/>
      <c r="F95" s="14"/>
      <c r="G95" s="14"/>
      <c r="H95" s="14">
        <v>169</v>
      </c>
      <c r="I95" s="14"/>
      <c r="J95" s="14"/>
      <c r="K95" s="14"/>
      <c r="L95" s="14"/>
      <c r="M95" s="14"/>
      <c r="N95" s="14"/>
      <c r="O95" s="14"/>
      <c r="P95" s="14"/>
      <c r="Q95" s="14"/>
      <c r="R95" s="22">
        <f t="shared" si="20"/>
        <v>438</v>
      </c>
      <c r="S95" s="14"/>
      <c r="T95" s="31">
        <f>1+4</f>
        <v>5</v>
      </c>
      <c r="U95" s="23">
        <v>0.29166666666666669</v>
      </c>
      <c r="V95" s="23">
        <v>0.79166666666666663</v>
      </c>
      <c r="W95" s="23" cm="1">
        <f t="array" ref="W95">_xlfn.IFS($U95="","",$AD95&gt;=6,TIME(1,0,0),$AD95&lt;=5,"")</f>
        <v>4.1666666666666664E-2</v>
      </c>
      <c r="X95" s="23"/>
      <c r="Y95" s="23" cm="1">
        <f t="array" ref="Y95">_xlfn.IFS($U95="","",AND($AD95&lt;=12,$AD95&gt;10),TIME(0,35,0),AND($AD95&lt;=10,$AD95&gt;5),TIME(0,20,0),AND($AD95&gt;12,$X95&lt;&gt;""),TIME(0,20,0),AND($AD95&gt;12,$X95=""),TIME(0,35,0),AND($AD95&gt;3,$AD95&lt;=5),TIME(0,10,0),$AD95&lt;=3,"")</f>
        <v>2.4305555555555556E-2</v>
      </c>
      <c r="Z95" s="23">
        <f t="shared" si="19"/>
        <v>6.9444444444444441E-3</v>
      </c>
      <c r="AA95" s="23"/>
      <c r="AB95" s="23"/>
      <c r="AC95" s="30"/>
      <c r="AD95" s="24">
        <f t="shared" si="14"/>
        <v>11.999999999999998</v>
      </c>
      <c r="AE95" s="23">
        <f t="shared" si="15"/>
        <v>7.2916666666666671E-2</v>
      </c>
      <c r="AF95" s="25">
        <f t="shared" si="16"/>
        <v>59.999999999999993</v>
      </c>
      <c r="AG95" s="25">
        <f t="shared" si="17"/>
        <v>51.249999999999993</v>
      </c>
      <c r="AH95" s="16">
        <f t="shared" si="18"/>
        <v>0.13698630136986301</v>
      </c>
      <c r="AI95" s="30"/>
      <c r="AJ95" s="14"/>
      <c r="AK95" s="30"/>
      <c r="AL95" s="30"/>
    </row>
    <row r="96" spans="1:38" ht="15" customHeight="1" x14ac:dyDescent="0.3">
      <c r="A96" s="95">
        <v>46049</v>
      </c>
      <c r="B96" s="21">
        <f t="shared" si="21"/>
        <v>1</v>
      </c>
      <c r="C96" s="18" t="s">
        <v>98</v>
      </c>
      <c r="D96" s="14">
        <f>157+94</f>
        <v>251</v>
      </c>
      <c r="E96" s="14"/>
      <c r="F96" s="14"/>
      <c r="G96" s="14"/>
      <c r="H96" s="14">
        <v>247</v>
      </c>
      <c r="I96" s="14"/>
      <c r="J96" s="14"/>
      <c r="K96" s="14"/>
      <c r="L96" s="14"/>
      <c r="M96" s="14"/>
      <c r="N96" s="14"/>
      <c r="O96" s="14"/>
      <c r="P96" s="14"/>
      <c r="Q96" s="14"/>
      <c r="R96" s="22">
        <f t="shared" si="20"/>
        <v>498</v>
      </c>
      <c r="S96" s="14"/>
      <c r="T96" s="31">
        <f>12+5+5</f>
        <v>22</v>
      </c>
      <c r="U96" s="23">
        <v>0.29166666666666669</v>
      </c>
      <c r="V96" s="23">
        <v>0.79166666666666663</v>
      </c>
      <c r="W96" s="23" cm="1">
        <f t="array" ref="W96">_xlfn.IFS($U96="","",$AD96&gt;=6,TIME(1,0,0),$AD96&lt;=5,"")</f>
        <v>4.1666666666666664E-2</v>
      </c>
      <c r="X96" s="23"/>
      <c r="Y96" s="23" cm="1">
        <f t="array" ref="Y96">_xlfn.IFS($U96="","",AND($AD96&lt;=12,$AD96&gt;10),TIME(0,35,0),AND($AD96&lt;=10,$AD96&gt;5),TIME(0,20,0),AND($AD96&gt;12,$X96&lt;&gt;""),TIME(0,20,0),AND($AD96&gt;12,$X96=""),TIME(0,35,0),AND($AD96&gt;3,$AD96&lt;=5),TIME(0,10,0),$AD96&lt;=3,"")</f>
        <v>2.4305555555555556E-2</v>
      </c>
      <c r="Z96" s="23">
        <f t="shared" si="19"/>
        <v>6.9444444444444441E-3</v>
      </c>
      <c r="AA96" s="23"/>
      <c r="AB96" s="23"/>
      <c r="AC96" s="30"/>
      <c r="AD96" s="24">
        <f t="shared" si="14"/>
        <v>11.999999999999998</v>
      </c>
      <c r="AE96" s="23">
        <f t="shared" si="15"/>
        <v>7.2916666666666671E-2</v>
      </c>
      <c r="AF96" s="25">
        <f t="shared" si="16"/>
        <v>263.99999999999994</v>
      </c>
      <c r="AG96" s="25">
        <f t="shared" si="17"/>
        <v>225.49999999999997</v>
      </c>
      <c r="AH96" s="16">
        <f t="shared" si="18"/>
        <v>0.53012048192771077</v>
      </c>
      <c r="AI96" s="30"/>
      <c r="AJ96" s="14"/>
      <c r="AK96" s="30"/>
      <c r="AL96" s="30" t="s">
        <v>147</v>
      </c>
    </row>
    <row r="97" spans="1:38" ht="15" customHeight="1" x14ac:dyDescent="0.3">
      <c r="A97" s="95">
        <v>46049</v>
      </c>
      <c r="B97" s="21">
        <f t="shared" si="21"/>
        <v>1</v>
      </c>
      <c r="C97" s="18" t="s">
        <v>99</v>
      </c>
      <c r="D97" s="14">
        <f>202+14+10</f>
        <v>226</v>
      </c>
      <c r="E97" s="14"/>
      <c r="F97" s="14">
        <f>4+7</f>
        <v>11</v>
      </c>
      <c r="G97" s="14">
        <v>1</v>
      </c>
      <c r="H97" s="14">
        <f>313+10</f>
        <v>323</v>
      </c>
      <c r="I97" s="14"/>
      <c r="J97" s="14">
        <v>8</v>
      </c>
      <c r="K97" s="14"/>
      <c r="L97" s="14">
        <v>2</v>
      </c>
      <c r="M97" s="14"/>
      <c r="N97" s="14"/>
      <c r="O97" s="14"/>
      <c r="P97" s="14"/>
      <c r="Q97" s="14">
        <v>1</v>
      </c>
      <c r="R97" s="22">
        <f t="shared" si="20"/>
        <v>572</v>
      </c>
      <c r="S97" s="14"/>
      <c r="T97" s="31">
        <f>8+3+8</f>
        <v>19</v>
      </c>
      <c r="U97" s="23">
        <v>0.29166666666666669</v>
      </c>
      <c r="V97" s="23">
        <v>0.79166666666666663</v>
      </c>
      <c r="W97" s="23" cm="1">
        <f t="array" ref="W97">_xlfn.IFS($U97="","",$AD97&gt;=6,TIME(1,0,0),$AD97&lt;=5,"")</f>
        <v>4.1666666666666664E-2</v>
      </c>
      <c r="X97" s="23"/>
      <c r="Y97" s="23" cm="1">
        <f t="array" ref="Y97">_xlfn.IFS($U97="","",AND($AD97&lt;=12,$AD97&gt;10),TIME(0,35,0),AND($AD97&lt;=10,$AD97&gt;5),TIME(0,20,0),AND($AD97&gt;12,$X97&lt;&gt;""),TIME(0,20,0),AND($AD97&gt;12,$X97=""),TIME(0,35,0),AND($AD97&gt;3,$AD97&lt;=5),TIME(0,10,0),$AD97&lt;=3,"")</f>
        <v>2.4305555555555556E-2</v>
      </c>
      <c r="Z97" s="23">
        <f t="shared" si="19"/>
        <v>6.9444444444444441E-3</v>
      </c>
      <c r="AA97" s="23">
        <v>3.125E-2</v>
      </c>
      <c r="AB97" s="23"/>
      <c r="AC97" s="30"/>
      <c r="AD97" s="24">
        <f t="shared" si="14"/>
        <v>11.999999999999998</v>
      </c>
      <c r="AE97" s="23">
        <f t="shared" si="15"/>
        <v>7.2916666666666671E-2</v>
      </c>
      <c r="AF97" s="25">
        <f t="shared" si="16"/>
        <v>227.99999999999997</v>
      </c>
      <c r="AG97" s="25">
        <f t="shared" si="17"/>
        <v>180.49999999999997</v>
      </c>
      <c r="AH97" s="16">
        <f t="shared" si="18"/>
        <v>0.39860139860139854</v>
      </c>
      <c r="AI97" s="16">
        <f>IF(COUNTIF(A94:A97,A94)=4,1/SUM(AH94:AH97),"")</f>
        <v>0.6571562221293169</v>
      </c>
      <c r="AJ97" s="14"/>
      <c r="AK97" s="30"/>
      <c r="AL97" s="30"/>
    </row>
    <row r="98" spans="1:38" ht="15" customHeight="1" x14ac:dyDescent="0.3">
      <c r="A98" s="78">
        <v>46050</v>
      </c>
      <c r="B98" s="21">
        <f t="shared" si="21"/>
        <v>1</v>
      </c>
      <c r="C98" s="18" t="s">
        <v>96</v>
      </c>
      <c r="D98" s="14">
        <v>250</v>
      </c>
      <c r="E98" s="14"/>
      <c r="F98" s="14"/>
      <c r="G98" s="14"/>
      <c r="H98" s="14">
        <v>250</v>
      </c>
      <c r="I98" s="14"/>
      <c r="J98" s="14"/>
      <c r="K98" s="14"/>
      <c r="L98" s="14"/>
      <c r="M98" s="14"/>
      <c r="N98" s="14"/>
      <c r="O98" s="14"/>
      <c r="P98" s="14"/>
      <c r="Q98" s="14"/>
      <c r="R98" s="22">
        <f t="shared" si="20"/>
        <v>500</v>
      </c>
      <c r="S98" s="14"/>
      <c r="T98" s="31">
        <f>13+5+3-1</f>
        <v>20</v>
      </c>
      <c r="U98" s="23">
        <v>0.29166666666666669</v>
      </c>
      <c r="V98" s="23">
        <v>0.79166666666666663</v>
      </c>
      <c r="W98" s="23" cm="1">
        <f t="array" ref="W98">_xlfn.IFS($U98="","",$AD98&gt;=6,TIME(1,0,0),$AD98&lt;=5,"")</f>
        <v>4.1666666666666664E-2</v>
      </c>
      <c r="X98" s="23"/>
      <c r="Y98" s="23" cm="1">
        <f t="array" ref="Y98">_xlfn.IFS($U98="","",AND($AD98&lt;=12,$AD98&gt;10),TIME(0,35,0),AND($AD98&lt;=10,$AD98&gt;5),TIME(0,20,0),AND($AD98&gt;12,$X98&lt;&gt;""),TIME(0,20,0),AND($AD98&gt;12,$X98=""),TIME(0,35,0),AND($AD98&gt;3,$AD98&lt;=5),TIME(0,10,0),$AD98&lt;=3,"")</f>
        <v>2.4305555555555556E-2</v>
      </c>
      <c r="Z98" s="23">
        <f t="shared" si="19"/>
        <v>6.9444444444444441E-3</v>
      </c>
      <c r="AA98" s="23"/>
      <c r="AB98" s="23"/>
      <c r="AC98" s="30"/>
      <c r="AD98" s="24">
        <f t="shared" si="14"/>
        <v>11.999999999999998</v>
      </c>
      <c r="AE98" s="23">
        <f t="shared" si="15"/>
        <v>7.2916666666666671E-2</v>
      </c>
      <c r="AF98" s="25">
        <f t="shared" si="16"/>
        <v>239.99999999999997</v>
      </c>
      <c r="AG98" s="25">
        <f t="shared" si="17"/>
        <v>204.99999999999997</v>
      </c>
      <c r="AH98" s="16">
        <f t="shared" si="18"/>
        <v>0.47999999999999993</v>
      </c>
      <c r="AI98" s="30"/>
      <c r="AJ98" s="14"/>
      <c r="AK98" s="30"/>
      <c r="AL98" s="30" t="s">
        <v>130</v>
      </c>
    </row>
    <row r="99" spans="1:38" ht="15" customHeight="1" x14ac:dyDescent="0.3">
      <c r="A99" s="78">
        <v>46050</v>
      </c>
      <c r="B99" s="21">
        <f t="shared" si="21"/>
        <v>1</v>
      </c>
      <c r="C99" s="18" t="s">
        <v>97</v>
      </c>
      <c r="D99" s="14">
        <v>273</v>
      </c>
      <c r="E99" s="14"/>
      <c r="F99" s="14"/>
      <c r="G99" s="14"/>
      <c r="H99" s="14">
        <v>235</v>
      </c>
      <c r="I99" s="14"/>
      <c r="J99" s="14"/>
      <c r="K99" s="14"/>
      <c r="L99" s="14"/>
      <c r="M99" s="14"/>
      <c r="N99" s="14"/>
      <c r="O99" s="14"/>
      <c r="P99" s="14"/>
      <c r="Q99" s="14"/>
      <c r="R99" s="22">
        <f t="shared" si="20"/>
        <v>508</v>
      </c>
      <c r="S99" s="14"/>
      <c r="T99" s="31">
        <f>1+4</f>
        <v>5</v>
      </c>
      <c r="U99" s="23">
        <v>0.29166666666666669</v>
      </c>
      <c r="V99" s="23">
        <v>0.79166666666666663</v>
      </c>
      <c r="W99" s="23" cm="1">
        <f t="array" ref="W99">_xlfn.IFS($U99="","",$AD99&gt;=6,TIME(1,0,0),$AD99&lt;=5,"")</f>
        <v>4.1666666666666664E-2</v>
      </c>
      <c r="X99" s="23"/>
      <c r="Y99" s="23" cm="1">
        <f t="array" ref="Y99">_xlfn.IFS($U99="","",AND($AD99&lt;=12,$AD99&gt;10),TIME(0,35,0),AND($AD99&lt;=10,$AD99&gt;5),TIME(0,20,0),AND($AD99&gt;12,$X99&lt;&gt;""),TIME(0,20,0),AND($AD99&gt;12,$X99=""),TIME(0,35,0),AND($AD99&gt;3,$AD99&lt;=5),TIME(0,10,0),$AD99&lt;=3,"")</f>
        <v>2.4305555555555556E-2</v>
      </c>
      <c r="Z99" s="23">
        <f t="shared" si="19"/>
        <v>6.9444444444444441E-3</v>
      </c>
      <c r="AA99" s="23"/>
      <c r="AB99" s="23"/>
      <c r="AC99" s="30"/>
      <c r="AD99" s="24">
        <f t="shared" si="14"/>
        <v>11.999999999999998</v>
      </c>
      <c r="AE99" s="23">
        <f t="shared" si="15"/>
        <v>7.2916666666666671E-2</v>
      </c>
      <c r="AF99" s="25">
        <f t="shared" si="16"/>
        <v>59.999999999999993</v>
      </c>
      <c r="AG99" s="25">
        <f t="shared" si="17"/>
        <v>51.249999999999993</v>
      </c>
      <c r="AH99" s="16">
        <f t="shared" si="18"/>
        <v>0.11811023622047243</v>
      </c>
      <c r="AI99" s="30"/>
      <c r="AJ99" s="14"/>
      <c r="AK99" s="30"/>
      <c r="AL99" s="30"/>
    </row>
    <row r="100" spans="1:38" ht="15" customHeight="1" x14ac:dyDescent="0.3">
      <c r="A100" s="78">
        <v>46050</v>
      </c>
      <c r="B100" s="21">
        <f t="shared" si="21"/>
        <v>1</v>
      </c>
      <c r="C100" s="18" t="s">
        <v>98</v>
      </c>
      <c r="D100" s="14">
        <f>256+30</f>
        <v>286</v>
      </c>
      <c r="E100" s="14"/>
      <c r="F100" s="14"/>
      <c r="G100" s="14"/>
      <c r="H100" s="14">
        <f>10+183</f>
        <v>193</v>
      </c>
      <c r="I100" s="14">
        <v>1</v>
      </c>
      <c r="J100" s="14"/>
      <c r="K100" s="14"/>
      <c r="L100" s="14"/>
      <c r="M100" s="14"/>
      <c r="N100" s="14"/>
      <c r="O100" s="14"/>
      <c r="P100" s="14"/>
      <c r="Q100" s="14"/>
      <c r="R100" s="22">
        <f t="shared" ref="R100:R131" si="22">SUM(D100:Q100)</f>
        <v>480</v>
      </c>
      <c r="S100" s="14"/>
      <c r="T100" s="31">
        <f>12+4+5</f>
        <v>21</v>
      </c>
      <c r="U100" s="23">
        <v>0.29166666666666669</v>
      </c>
      <c r="V100" s="23">
        <v>0.79166666666666663</v>
      </c>
      <c r="W100" s="23" cm="1">
        <f t="array" ref="W100">_xlfn.IFS($U100="","",$AD100&gt;=6,TIME(1,0,0),$AD100&lt;=5,"")</f>
        <v>4.1666666666666664E-2</v>
      </c>
      <c r="X100" s="23"/>
      <c r="Y100" s="23" cm="1">
        <f t="array" ref="Y100">_xlfn.IFS($U100="","",AND($AD100&lt;=12,$AD100&gt;10),TIME(0,35,0),AND($AD100&lt;=10,$AD100&gt;5),TIME(0,20,0),AND($AD100&gt;12,$X100&lt;&gt;""),TIME(0,20,0),AND($AD100&gt;12,$X100=""),TIME(0,35,0),AND($AD100&gt;3,$AD100&lt;=5),TIME(0,10,0),$AD100&lt;=3,"")</f>
        <v>2.4305555555555556E-2</v>
      </c>
      <c r="Z100" s="23">
        <f t="shared" si="19"/>
        <v>6.9444444444444441E-3</v>
      </c>
      <c r="AA100" s="23">
        <v>4.1666666666666664E-2</v>
      </c>
      <c r="AB100" s="23"/>
      <c r="AC100" s="30"/>
      <c r="AD100" s="24">
        <f t="shared" si="14"/>
        <v>11.999999999999998</v>
      </c>
      <c r="AE100" s="23">
        <f t="shared" si="15"/>
        <v>7.2916666666666671E-2</v>
      </c>
      <c r="AF100" s="25">
        <f t="shared" si="16"/>
        <v>251.99999999999997</v>
      </c>
      <c r="AG100" s="25">
        <f t="shared" si="17"/>
        <v>194.24999999999997</v>
      </c>
      <c r="AH100" s="16">
        <f t="shared" si="18"/>
        <v>0.52499999999999991</v>
      </c>
      <c r="AI100" s="30"/>
      <c r="AJ100" s="14"/>
      <c r="AK100" s="30"/>
      <c r="AL100" s="30" t="s">
        <v>148</v>
      </c>
    </row>
    <row r="101" spans="1:38" ht="15" customHeight="1" x14ac:dyDescent="0.3">
      <c r="A101" s="78">
        <v>46050</v>
      </c>
      <c r="B101" s="21">
        <f t="shared" si="21"/>
        <v>1</v>
      </c>
      <c r="C101" s="18" t="s">
        <v>99</v>
      </c>
      <c r="D101" s="14">
        <f>221+58</f>
        <v>279</v>
      </c>
      <c r="E101" s="14">
        <v>136</v>
      </c>
      <c r="F101" s="14">
        <v>3</v>
      </c>
      <c r="G101" s="14">
        <v>1</v>
      </c>
      <c r="H101" s="14">
        <f>65+49</f>
        <v>114</v>
      </c>
      <c r="I101" s="14">
        <v>2</v>
      </c>
      <c r="J101" s="14">
        <f>1+1</f>
        <v>2</v>
      </c>
      <c r="K101" s="14"/>
      <c r="L101" s="14"/>
      <c r="M101" s="14"/>
      <c r="N101" s="14">
        <v>1</v>
      </c>
      <c r="O101" s="14"/>
      <c r="P101" s="14"/>
      <c r="Q101" s="14"/>
      <c r="R101" s="22">
        <f t="shared" si="22"/>
        <v>538</v>
      </c>
      <c r="S101" s="14"/>
      <c r="T101" s="31">
        <f>8+3+8</f>
        <v>19</v>
      </c>
      <c r="U101" s="23">
        <v>0.29166666666666669</v>
      </c>
      <c r="V101" s="23">
        <v>0.79166666666666663</v>
      </c>
      <c r="W101" s="23" cm="1">
        <f t="array" ref="W101">_xlfn.IFS($U101="","",$AD101&gt;=6,TIME(1,0,0),$AD101&lt;=5,"")</f>
        <v>4.1666666666666664E-2</v>
      </c>
      <c r="X101" s="23"/>
      <c r="Y101" s="23" cm="1">
        <f t="array" ref="Y101">_xlfn.IFS($U101="","",AND($AD101&lt;=12,$AD101&gt;10),TIME(0,35,0),AND($AD101&lt;=10,$AD101&gt;5),TIME(0,20,0),AND($AD101&gt;12,$X101&lt;&gt;""),TIME(0,20,0),AND($AD101&gt;12,$X101=""),TIME(0,35,0),AND($AD101&gt;3,$AD101&lt;=5),TIME(0,10,0),$AD101&lt;=3,"")</f>
        <v>2.4305555555555556E-2</v>
      </c>
      <c r="Z101" s="23">
        <f t="shared" si="19"/>
        <v>6.9444444444444441E-3</v>
      </c>
      <c r="AA101" s="23"/>
      <c r="AB101" s="23"/>
      <c r="AC101" s="30"/>
      <c r="AD101" s="24">
        <f t="shared" si="14"/>
        <v>11.999999999999998</v>
      </c>
      <c r="AE101" s="23">
        <f t="shared" si="15"/>
        <v>7.2916666666666671E-2</v>
      </c>
      <c r="AF101" s="25">
        <f t="shared" si="16"/>
        <v>227.99999999999997</v>
      </c>
      <c r="AG101" s="25">
        <f t="shared" si="17"/>
        <v>194.74999999999997</v>
      </c>
      <c r="AH101" s="16">
        <f t="shared" si="18"/>
        <v>0.42379182156133821</v>
      </c>
      <c r="AI101" s="16">
        <f>IF(COUNTIF(A98:A101,A98)=4,1/SUM(AH98:AH101),"")</f>
        <v>0.64645333876790889</v>
      </c>
      <c r="AJ101" s="14"/>
      <c r="AK101" s="30"/>
      <c r="AL101" s="30"/>
    </row>
    <row r="102" spans="1:38" ht="15" customHeight="1" x14ac:dyDescent="0.3">
      <c r="A102" s="95">
        <v>46051</v>
      </c>
      <c r="B102" s="21">
        <f t="shared" si="21"/>
        <v>1</v>
      </c>
      <c r="C102" s="18" t="s">
        <v>96</v>
      </c>
      <c r="D102" s="14">
        <f>250+1</f>
        <v>251</v>
      </c>
      <c r="E102" s="14"/>
      <c r="F102" s="14"/>
      <c r="G102" s="14"/>
      <c r="H102" s="14">
        <f>250+1</f>
        <v>251</v>
      </c>
      <c r="I102" s="14">
        <v>1</v>
      </c>
      <c r="J102" s="14"/>
      <c r="K102" s="14"/>
      <c r="L102" s="14"/>
      <c r="M102" s="14"/>
      <c r="N102" s="14"/>
      <c r="O102" s="14"/>
      <c r="P102" s="14"/>
      <c r="Q102" s="14"/>
      <c r="R102" s="22">
        <f t="shared" si="22"/>
        <v>503</v>
      </c>
      <c r="S102" s="14"/>
      <c r="T102" s="31">
        <f>11+5+3</f>
        <v>19</v>
      </c>
      <c r="U102" s="23">
        <v>0.29166666666666669</v>
      </c>
      <c r="V102" s="23">
        <v>0.79166666666666663</v>
      </c>
      <c r="W102" s="23" cm="1">
        <f t="array" ref="W102">_xlfn.IFS($U102="","",$AD102&gt;=6,TIME(1,0,0),$AD102&lt;=5,"")</f>
        <v>4.1666666666666664E-2</v>
      </c>
      <c r="X102" s="23"/>
      <c r="Y102" s="23" cm="1">
        <f t="array" ref="Y102">_xlfn.IFS($U102="","",AND($AD102&lt;=12,$AD102&gt;10),TIME(0,35,0),AND($AD102&lt;=10,$AD102&gt;5),TIME(0,20,0),AND($AD102&gt;12,$X102&lt;&gt;""),TIME(0,20,0),AND($AD102&gt;12,$X102=""),TIME(0,35,0),AND($AD102&gt;3,$AD102&lt;=5),TIME(0,10,0),$AD102&lt;=3,"")</f>
        <v>2.4305555555555556E-2</v>
      </c>
      <c r="Z102" s="23">
        <f t="shared" si="19"/>
        <v>6.9444444444444441E-3</v>
      </c>
      <c r="AA102" s="23"/>
      <c r="AB102" s="23"/>
      <c r="AC102" s="30"/>
      <c r="AD102" s="24">
        <f t="shared" si="14"/>
        <v>11.999999999999998</v>
      </c>
      <c r="AE102" s="23">
        <f t="shared" si="15"/>
        <v>7.2916666666666671E-2</v>
      </c>
      <c r="AF102" s="25">
        <f t="shared" si="16"/>
        <v>227.99999999999997</v>
      </c>
      <c r="AG102" s="25">
        <f t="shared" si="17"/>
        <v>194.74999999999997</v>
      </c>
      <c r="AH102" s="16">
        <f t="shared" si="18"/>
        <v>0.45328031809145125</v>
      </c>
      <c r="AI102" s="30"/>
      <c r="AJ102" s="14"/>
      <c r="AK102" s="30"/>
      <c r="AL102" s="30"/>
    </row>
    <row r="103" spans="1:38" ht="15" customHeight="1" x14ac:dyDescent="0.3">
      <c r="A103" s="95">
        <v>46051</v>
      </c>
      <c r="B103" s="21">
        <f t="shared" si="21"/>
        <v>1</v>
      </c>
      <c r="C103" s="18" t="s">
        <v>97</v>
      </c>
      <c r="D103" s="14">
        <v>270</v>
      </c>
      <c r="E103" s="14"/>
      <c r="F103" s="14"/>
      <c r="G103" s="14"/>
      <c r="H103" s="14">
        <v>201</v>
      </c>
      <c r="I103" s="14"/>
      <c r="J103" s="14"/>
      <c r="K103" s="14"/>
      <c r="L103" s="14"/>
      <c r="M103" s="14"/>
      <c r="N103" s="14"/>
      <c r="O103" s="14"/>
      <c r="P103" s="14"/>
      <c r="Q103" s="14"/>
      <c r="R103" s="22">
        <f t="shared" si="22"/>
        <v>471</v>
      </c>
      <c r="S103" s="14"/>
      <c r="T103" s="31">
        <f>1+4</f>
        <v>5</v>
      </c>
      <c r="U103" s="23">
        <v>0.29166666666666669</v>
      </c>
      <c r="V103" s="23">
        <v>0.79166666666666663</v>
      </c>
      <c r="W103" s="23" cm="1">
        <f t="array" ref="W103">_xlfn.IFS($U103="","",$AD103&gt;=6,TIME(1,0,0),$AD103&lt;=5,"")</f>
        <v>4.1666666666666664E-2</v>
      </c>
      <c r="X103" s="23"/>
      <c r="Y103" s="23" cm="1">
        <f t="array" ref="Y103">_xlfn.IFS($U103="","",AND($AD103&lt;=12,$AD103&gt;10),TIME(0,35,0),AND($AD103&lt;=10,$AD103&gt;5),TIME(0,20,0),AND($AD103&gt;12,$X103&lt;&gt;""),TIME(0,20,0),AND($AD103&gt;12,$X103=""),TIME(0,35,0),AND($AD103&gt;3,$AD103&lt;=5),TIME(0,10,0),$AD103&lt;=3,"")</f>
        <v>2.4305555555555556E-2</v>
      </c>
      <c r="Z103" s="23">
        <f t="shared" si="19"/>
        <v>6.9444444444444441E-3</v>
      </c>
      <c r="AA103" s="23"/>
      <c r="AB103" s="23"/>
      <c r="AC103" s="30"/>
      <c r="AD103" s="24">
        <f t="shared" si="14"/>
        <v>11.999999999999998</v>
      </c>
      <c r="AE103" s="23">
        <f t="shared" si="15"/>
        <v>7.2916666666666671E-2</v>
      </c>
      <c r="AF103" s="25">
        <f t="shared" si="16"/>
        <v>59.999999999999993</v>
      </c>
      <c r="AG103" s="25">
        <f t="shared" si="17"/>
        <v>51.249999999999993</v>
      </c>
      <c r="AH103" s="16">
        <f t="shared" si="18"/>
        <v>0.12738853503184711</v>
      </c>
      <c r="AI103" s="30"/>
      <c r="AJ103" s="14"/>
      <c r="AK103" s="30"/>
      <c r="AL103" s="30"/>
    </row>
    <row r="104" spans="1:38" ht="15" customHeight="1" x14ac:dyDescent="0.3">
      <c r="A104" s="95">
        <v>46051</v>
      </c>
      <c r="B104" s="21">
        <f t="shared" si="21"/>
        <v>1</v>
      </c>
      <c r="C104" s="18" t="s">
        <v>98</v>
      </c>
      <c r="D104" s="14">
        <v>273</v>
      </c>
      <c r="E104" s="14"/>
      <c r="F104" s="14"/>
      <c r="G104" s="14"/>
      <c r="H104" s="14">
        <v>214</v>
      </c>
      <c r="I104" s="14"/>
      <c r="J104" s="14"/>
      <c r="K104" s="14"/>
      <c r="L104" s="14"/>
      <c r="M104" s="14"/>
      <c r="N104" s="14"/>
      <c r="O104" s="14"/>
      <c r="P104" s="14"/>
      <c r="Q104" s="14"/>
      <c r="R104" s="22">
        <f t="shared" si="22"/>
        <v>487</v>
      </c>
      <c r="S104" s="14"/>
      <c r="T104" s="31">
        <f>12+5+5</f>
        <v>22</v>
      </c>
      <c r="U104" s="23">
        <v>0.29166666666666669</v>
      </c>
      <c r="V104" s="23">
        <v>0.79166666666666663</v>
      </c>
      <c r="W104" s="23" cm="1">
        <f t="array" ref="W104">_xlfn.IFS($U104="","",$AD104&gt;=6,TIME(1,0,0),$AD104&lt;=5,"")</f>
        <v>4.1666666666666664E-2</v>
      </c>
      <c r="X104" s="23"/>
      <c r="Y104" s="23" cm="1">
        <f t="array" ref="Y104">_xlfn.IFS($U104="","",AND($AD104&lt;=12,$AD104&gt;10),TIME(0,35,0),AND($AD104&lt;=10,$AD104&gt;5),TIME(0,20,0),AND($AD104&gt;12,$X104&lt;&gt;""),TIME(0,20,0),AND($AD104&gt;12,$X104=""),TIME(0,35,0),AND($AD104&gt;3,$AD104&lt;=5),TIME(0,10,0),$AD104&lt;=3,"")</f>
        <v>2.4305555555555556E-2</v>
      </c>
      <c r="Z104" s="23">
        <f t="shared" si="19"/>
        <v>6.9444444444444441E-3</v>
      </c>
      <c r="AA104" s="23">
        <v>5.0694444444444445E-2</v>
      </c>
      <c r="AB104" s="23"/>
      <c r="AC104" s="30"/>
      <c r="AD104" s="24">
        <f t="shared" si="14"/>
        <v>11.999999999999998</v>
      </c>
      <c r="AE104" s="23">
        <f t="shared" si="15"/>
        <v>7.2916666666666671E-2</v>
      </c>
      <c r="AF104" s="25">
        <f t="shared" si="16"/>
        <v>263.99999999999994</v>
      </c>
      <c r="AG104" s="25">
        <f t="shared" si="17"/>
        <v>198.73333333333329</v>
      </c>
      <c r="AH104" s="16">
        <f t="shared" si="18"/>
        <v>0.54209445585215599</v>
      </c>
      <c r="AI104" s="30"/>
      <c r="AJ104" s="14"/>
      <c r="AK104" s="30"/>
      <c r="AL104" s="30" t="s">
        <v>149</v>
      </c>
    </row>
    <row r="105" spans="1:38" ht="15" customHeight="1" x14ac:dyDescent="0.3">
      <c r="A105" s="95">
        <v>46051</v>
      </c>
      <c r="B105" s="21">
        <f t="shared" si="21"/>
        <v>1</v>
      </c>
      <c r="C105" s="18" t="s">
        <v>99</v>
      </c>
      <c r="D105" s="14">
        <v>240</v>
      </c>
      <c r="E105" s="14"/>
      <c r="F105" s="14"/>
      <c r="G105" s="14"/>
      <c r="H105" s="14">
        <f>196+2</f>
        <v>198</v>
      </c>
      <c r="I105" s="14"/>
      <c r="J105" s="14"/>
      <c r="K105" s="14"/>
      <c r="L105" s="14"/>
      <c r="M105" s="14"/>
      <c r="N105" s="14"/>
      <c r="O105" s="14"/>
      <c r="P105" s="14"/>
      <c r="Q105" s="14"/>
      <c r="R105" s="22">
        <f t="shared" si="22"/>
        <v>438</v>
      </c>
      <c r="S105" s="14"/>
      <c r="T105" s="31">
        <f>8+7+4</f>
        <v>19</v>
      </c>
      <c r="U105" s="23">
        <v>0.29166666666666669</v>
      </c>
      <c r="V105" s="23">
        <v>0.79166666666666663</v>
      </c>
      <c r="W105" s="23" cm="1">
        <f t="array" ref="W105">_xlfn.IFS($U105="","",$AD105&gt;=6,TIME(1,0,0),$AD105&lt;=5,"")</f>
        <v>4.1666666666666664E-2</v>
      </c>
      <c r="X105" s="23"/>
      <c r="Y105" s="23" cm="1">
        <f t="array" ref="Y105">_xlfn.IFS($U105="","",AND($AD105&lt;=12,$AD105&gt;10),TIME(0,35,0),AND($AD105&lt;=10,$AD105&gt;5),TIME(0,20,0),AND($AD105&gt;12,$X105&lt;&gt;""),TIME(0,20,0),AND($AD105&gt;12,$X105=""),TIME(0,35,0),AND($AD105&gt;3,$AD105&lt;=5),TIME(0,10,0),$AD105&lt;=3,"")</f>
        <v>2.4305555555555556E-2</v>
      </c>
      <c r="Z105" s="23">
        <f t="shared" si="19"/>
        <v>6.9444444444444441E-3</v>
      </c>
      <c r="AA105" s="23">
        <v>0.1875</v>
      </c>
      <c r="AB105" s="23"/>
      <c r="AC105" s="30"/>
      <c r="AD105" s="24">
        <f t="shared" si="14"/>
        <v>11.999999999999998</v>
      </c>
      <c r="AE105" s="23">
        <f t="shared" si="15"/>
        <v>7.2916666666666671E-2</v>
      </c>
      <c r="AF105" s="25">
        <f t="shared" si="16"/>
        <v>227.99999999999997</v>
      </c>
      <c r="AG105" s="25">
        <f t="shared" si="17"/>
        <v>109.24999999999997</v>
      </c>
      <c r="AH105" s="16">
        <f t="shared" si="18"/>
        <v>0.52054794520547942</v>
      </c>
      <c r="AI105" s="16">
        <f>IF(COUNTIF(A102:A105,A102)=4,1/SUM(AH102:AH105),"")</f>
        <v>0.60852744570195516</v>
      </c>
      <c r="AJ105" s="14"/>
      <c r="AK105" s="30"/>
      <c r="AL105" s="30" t="s">
        <v>150</v>
      </c>
    </row>
    <row r="106" spans="1:38" ht="15" customHeight="1" x14ac:dyDescent="0.3">
      <c r="A106" s="78">
        <v>46052</v>
      </c>
      <c r="B106" s="21">
        <f t="shared" si="21"/>
        <v>1</v>
      </c>
      <c r="C106" s="18" t="s">
        <v>96</v>
      </c>
      <c r="D106" s="14">
        <v>220</v>
      </c>
      <c r="E106" s="14"/>
      <c r="F106" s="14"/>
      <c r="G106" s="14"/>
      <c r="H106" s="14">
        <v>200</v>
      </c>
      <c r="I106" s="14"/>
      <c r="J106" s="14"/>
      <c r="K106" s="14"/>
      <c r="L106" s="14"/>
      <c r="M106" s="14"/>
      <c r="N106" s="14"/>
      <c r="O106" s="14"/>
      <c r="P106" s="14"/>
      <c r="Q106" s="14"/>
      <c r="R106" s="22">
        <f t="shared" si="22"/>
        <v>420</v>
      </c>
      <c r="S106" s="14"/>
      <c r="T106" s="31">
        <f>12+3+3-1</f>
        <v>17</v>
      </c>
      <c r="U106" s="23">
        <v>0.29166666666666669</v>
      </c>
      <c r="V106" s="23">
        <v>0.79166666666666663</v>
      </c>
      <c r="W106" s="23" cm="1">
        <f t="array" ref="W106">_xlfn.IFS($U106="","",$AD106&gt;=6,TIME(1,0,0),$AD106&lt;=5,"")</f>
        <v>4.1666666666666664E-2</v>
      </c>
      <c r="X106" s="23"/>
      <c r="Y106" s="23" cm="1">
        <f t="array" ref="Y106">_xlfn.IFS($U106="","",AND($AD106&lt;=12,$AD106&gt;10),TIME(0,35,0),AND($AD106&lt;=10,$AD106&gt;5),TIME(0,20,0),AND($AD106&gt;12,$X106&lt;&gt;""),TIME(0,20,0),AND($AD106&gt;12,$X106=""),TIME(0,35,0),AND($AD106&gt;3,$AD106&lt;=5),TIME(0,10,0),$AD106&lt;=3,"")</f>
        <v>2.4305555555555556E-2</v>
      </c>
      <c r="Z106" s="23">
        <f t="shared" si="19"/>
        <v>6.9444444444444441E-3</v>
      </c>
      <c r="AA106" s="23"/>
      <c r="AB106" s="23"/>
      <c r="AC106" s="30"/>
      <c r="AD106" s="24">
        <f t="shared" si="14"/>
        <v>11.999999999999998</v>
      </c>
      <c r="AE106" s="23">
        <f t="shared" si="15"/>
        <v>7.2916666666666671E-2</v>
      </c>
      <c r="AF106" s="25">
        <f t="shared" si="16"/>
        <v>203.99999999999997</v>
      </c>
      <c r="AG106" s="25">
        <f t="shared" si="17"/>
        <v>174.24999999999997</v>
      </c>
      <c r="AH106" s="16">
        <f t="shared" si="18"/>
        <v>0.48571428571428565</v>
      </c>
      <c r="AI106" s="30"/>
      <c r="AJ106" s="14"/>
      <c r="AK106" s="30"/>
      <c r="AL106" s="30" t="s">
        <v>130</v>
      </c>
    </row>
    <row r="107" spans="1:38" ht="15" customHeight="1" x14ac:dyDescent="0.3">
      <c r="A107" s="78">
        <v>46052</v>
      </c>
      <c r="B107" s="21">
        <f t="shared" si="21"/>
        <v>1</v>
      </c>
      <c r="C107" s="18" t="s">
        <v>97</v>
      </c>
      <c r="D107" s="14">
        <v>224</v>
      </c>
      <c r="E107" s="14"/>
      <c r="F107" s="14"/>
      <c r="G107" s="14"/>
      <c r="H107" s="14">
        <v>258</v>
      </c>
      <c r="I107" s="14"/>
      <c r="J107" s="14"/>
      <c r="K107" s="14"/>
      <c r="L107" s="14"/>
      <c r="M107" s="14"/>
      <c r="N107" s="14"/>
      <c r="O107" s="14"/>
      <c r="P107" s="14"/>
      <c r="Q107" s="14"/>
      <c r="R107" s="22">
        <f t="shared" si="22"/>
        <v>482</v>
      </c>
      <c r="S107" s="14"/>
      <c r="T107" s="31">
        <f>1+4</f>
        <v>5</v>
      </c>
      <c r="U107" s="23">
        <v>0.29166666666666669</v>
      </c>
      <c r="V107" s="23">
        <v>0.79166666666666663</v>
      </c>
      <c r="W107" s="23" cm="1">
        <f t="array" ref="W107">_xlfn.IFS($U107="","",$AD107&gt;=6,TIME(1,0,0),$AD107&lt;=5,"")</f>
        <v>4.1666666666666664E-2</v>
      </c>
      <c r="X107" s="23"/>
      <c r="Y107" s="23" cm="1">
        <f t="array" ref="Y107">_xlfn.IFS($U107="","",AND($AD107&lt;=12,$AD107&gt;10),TIME(0,35,0),AND($AD107&lt;=10,$AD107&gt;5),TIME(0,20,0),AND($AD107&gt;12,$X107&lt;&gt;""),TIME(0,20,0),AND($AD107&gt;12,$X107=""),TIME(0,35,0),AND($AD107&gt;3,$AD107&lt;=5),TIME(0,10,0),$AD107&lt;=3,"")</f>
        <v>2.4305555555555556E-2</v>
      </c>
      <c r="Z107" s="23">
        <f t="shared" si="19"/>
        <v>6.9444444444444441E-3</v>
      </c>
      <c r="AA107" s="23"/>
      <c r="AB107" s="23"/>
      <c r="AC107" s="30"/>
      <c r="AD107" s="24">
        <f t="shared" si="14"/>
        <v>11.999999999999998</v>
      </c>
      <c r="AE107" s="23">
        <f t="shared" si="15"/>
        <v>7.2916666666666671E-2</v>
      </c>
      <c r="AF107" s="25">
        <f t="shared" si="16"/>
        <v>59.999999999999993</v>
      </c>
      <c r="AG107" s="25">
        <f t="shared" si="17"/>
        <v>51.249999999999993</v>
      </c>
      <c r="AH107" s="16">
        <f t="shared" si="18"/>
        <v>0.12448132780082986</v>
      </c>
      <c r="AI107" s="30"/>
      <c r="AJ107" s="14"/>
      <c r="AK107" s="30"/>
      <c r="AL107" s="30"/>
    </row>
    <row r="108" spans="1:38" ht="15" customHeight="1" x14ac:dyDescent="0.3">
      <c r="A108" s="78">
        <v>46052</v>
      </c>
      <c r="B108" s="21">
        <f t="shared" si="21"/>
        <v>1</v>
      </c>
      <c r="C108" s="18" t="s">
        <v>98</v>
      </c>
      <c r="D108" s="14">
        <v>213</v>
      </c>
      <c r="E108" s="14"/>
      <c r="F108" s="14"/>
      <c r="G108" s="14"/>
      <c r="H108" s="14">
        <v>230</v>
      </c>
      <c r="I108" s="14"/>
      <c r="J108" s="14"/>
      <c r="K108" s="14"/>
      <c r="L108" s="14"/>
      <c r="M108" s="14"/>
      <c r="N108" s="14"/>
      <c r="O108" s="14"/>
      <c r="P108" s="14"/>
      <c r="Q108" s="14"/>
      <c r="R108" s="22">
        <f t="shared" si="22"/>
        <v>443</v>
      </c>
      <c r="S108" s="14"/>
      <c r="T108" s="31">
        <f>11+5+5</f>
        <v>21</v>
      </c>
      <c r="U108" s="23">
        <v>0.29166666666666669</v>
      </c>
      <c r="V108" s="23">
        <v>0.79166666666666663</v>
      </c>
      <c r="W108" s="23" cm="1">
        <f t="array" ref="W108">_xlfn.IFS($U108="","",$AD108&gt;=6,TIME(1,0,0),$AD108&lt;=5,"")</f>
        <v>4.1666666666666664E-2</v>
      </c>
      <c r="X108" s="23"/>
      <c r="Y108" s="23" cm="1">
        <f t="array" ref="Y108">_xlfn.IFS($U108="","",AND($AD108&lt;=12,$AD108&gt;10),TIME(0,35,0),AND($AD108&lt;=10,$AD108&gt;5),TIME(0,20,0),AND($AD108&gt;12,$X108&lt;&gt;""),TIME(0,20,0),AND($AD108&gt;12,$X108=""),TIME(0,35,0),AND($AD108&gt;3,$AD108&lt;=5),TIME(0,10,0),$AD108&lt;=3,"")</f>
        <v>2.4305555555555556E-2</v>
      </c>
      <c r="Z108" s="23">
        <f t="shared" si="19"/>
        <v>6.9444444444444441E-3</v>
      </c>
      <c r="AA108" s="23"/>
      <c r="AB108" s="23"/>
      <c r="AC108" s="30"/>
      <c r="AD108" s="24">
        <f t="shared" si="14"/>
        <v>11.999999999999998</v>
      </c>
      <c r="AE108" s="23">
        <f t="shared" si="15"/>
        <v>7.2916666666666671E-2</v>
      </c>
      <c r="AF108" s="25">
        <f t="shared" si="16"/>
        <v>251.99999999999997</v>
      </c>
      <c r="AG108" s="25">
        <f t="shared" si="17"/>
        <v>215.24999999999997</v>
      </c>
      <c r="AH108" s="16">
        <f t="shared" si="18"/>
        <v>0.56884875846501126</v>
      </c>
      <c r="AI108" s="30"/>
      <c r="AJ108" s="14"/>
      <c r="AK108" s="30"/>
      <c r="AL108" s="30"/>
    </row>
    <row r="109" spans="1:38" ht="15" customHeight="1" x14ac:dyDescent="0.3">
      <c r="A109" s="78">
        <v>46052</v>
      </c>
      <c r="B109" s="21">
        <f t="shared" si="21"/>
        <v>1</v>
      </c>
      <c r="C109" s="18" t="s">
        <v>99</v>
      </c>
      <c r="D109" s="14">
        <v>267</v>
      </c>
      <c r="E109" s="14">
        <v>1</v>
      </c>
      <c r="F109" s="14"/>
      <c r="G109" s="14"/>
      <c r="H109" s="14">
        <v>247</v>
      </c>
      <c r="I109" s="14">
        <v>1</v>
      </c>
      <c r="J109" s="14"/>
      <c r="K109" s="14"/>
      <c r="L109" s="14"/>
      <c r="M109" s="14"/>
      <c r="N109" s="14"/>
      <c r="O109" s="14"/>
      <c r="P109" s="14"/>
      <c r="Q109" s="14">
        <v>1</v>
      </c>
      <c r="R109" s="22">
        <f t="shared" si="22"/>
        <v>517</v>
      </c>
      <c r="S109" s="14"/>
      <c r="T109" s="31">
        <f>8+4+7</f>
        <v>19</v>
      </c>
      <c r="U109" s="23">
        <v>0.29166666666666669</v>
      </c>
      <c r="V109" s="23">
        <v>0.70833333333333337</v>
      </c>
      <c r="W109" s="23" cm="1">
        <f t="array" ref="W109">_xlfn.IFS($U109="","",$AD109&gt;=6,TIME(1,0,0),$AD109&lt;=5,"")</f>
        <v>4.1666666666666664E-2</v>
      </c>
      <c r="X109" s="23"/>
      <c r="Y109" s="23" cm="1">
        <f t="array" ref="Y109">_xlfn.IFS($U109="","",AND($AD109&lt;=12,$AD109&gt;10),TIME(0,35,0),AND($AD109&lt;=10,$AD109&gt;5),TIME(0,20,0),AND($AD109&gt;12,$X109&lt;&gt;""),TIME(0,20,0),AND($AD109&gt;12,$X109=""),TIME(0,35,0),AND($AD109&gt;3,$AD109&lt;=5),TIME(0,10,0),$AD109&lt;=3,"")</f>
        <v>1.3888888888888888E-2</v>
      </c>
      <c r="Z109" s="23">
        <f t="shared" si="19"/>
        <v>6.9444444444444441E-3</v>
      </c>
      <c r="AA109" s="23"/>
      <c r="AB109" s="23"/>
      <c r="AC109" s="30"/>
      <c r="AD109" s="24">
        <f t="shared" si="14"/>
        <v>10</v>
      </c>
      <c r="AE109" s="23">
        <f t="shared" si="15"/>
        <v>6.25E-2</v>
      </c>
      <c r="AF109" s="25">
        <f t="shared" si="16"/>
        <v>190</v>
      </c>
      <c r="AG109" s="25">
        <f t="shared" si="17"/>
        <v>161.5</v>
      </c>
      <c r="AH109" s="16">
        <f t="shared" si="18"/>
        <v>0.36750483558994196</v>
      </c>
      <c r="AI109" s="16">
        <f>IF(COUNTIF(A106:A109,A106)=4,1/SUM(AH106:AH109),"")</f>
        <v>0.64660082919132944</v>
      </c>
      <c r="AJ109" s="14"/>
      <c r="AK109" s="30"/>
      <c r="AL109" s="30"/>
    </row>
    <row r="110" spans="1:38" ht="15" customHeight="1" x14ac:dyDescent="0.3">
      <c r="A110" s="95">
        <v>46053</v>
      </c>
      <c r="B110" s="21">
        <f t="shared" si="21"/>
        <v>1</v>
      </c>
      <c r="C110" s="18" t="s">
        <v>96</v>
      </c>
      <c r="D110" s="14">
        <v>220</v>
      </c>
      <c r="E110" s="14"/>
      <c r="F110" s="14"/>
      <c r="G110" s="14"/>
      <c r="H110" s="14">
        <v>150</v>
      </c>
      <c r="I110" s="14"/>
      <c r="J110" s="14"/>
      <c r="K110" s="14"/>
      <c r="L110" s="14"/>
      <c r="M110" s="14"/>
      <c r="N110" s="14"/>
      <c r="O110" s="14"/>
      <c r="P110" s="14"/>
      <c r="Q110" s="14"/>
      <c r="R110" s="22">
        <f t="shared" si="22"/>
        <v>370</v>
      </c>
      <c r="S110" s="14"/>
      <c r="T110" s="31">
        <f>12+4+3</f>
        <v>19</v>
      </c>
      <c r="U110" s="23">
        <v>0.29166666666666669</v>
      </c>
      <c r="V110" s="23">
        <v>0.79166666666666663</v>
      </c>
      <c r="W110" s="23" cm="1">
        <f t="array" ref="W110">_xlfn.IFS($U110="","",$AD110&gt;=6,TIME(1,0,0),$AD110&lt;=5,"")</f>
        <v>4.1666666666666664E-2</v>
      </c>
      <c r="X110" s="23"/>
      <c r="Y110" s="23" cm="1">
        <f t="array" ref="Y110">_xlfn.IFS($U110="","",AND($AD110&lt;=12,$AD110&gt;10),TIME(0,35,0),AND($AD110&lt;=10,$AD110&gt;5),TIME(0,20,0),AND($AD110&gt;12,$X110&lt;&gt;""),TIME(0,20,0),AND($AD110&gt;12,$X110=""),TIME(0,35,0),AND($AD110&gt;3,$AD110&lt;=5),TIME(0,10,0),$AD110&lt;=3,"")</f>
        <v>2.4305555555555556E-2</v>
      </c>
      <c r="Z110" s="23">
        <f t="shared" si="19"/>
        <v>6.9444444444444441E-3</v>
      </c>
      <c r="AA110" s="23"/>
      <c r="AB110" s="23"/>
      <c r="AC110" s="30"/>
      <c r="AD110" s="24">
        <f t="shared" si="14"/>
        <v>11.999999999999998</v>
      </c>
      <c r="AE110" s="23">
        <f t="shared" si="15"/>
        <v>7.2916666666666671E-2</v>
      </c>
      <c r="AF110" s="25">
        <f t="shared" si="16"/>
        <v>227.99999999999997</v>
      </c>
      <c r="AG110" s="25">
        <f t="shared" si="17"/>
        <v>194.74999999999997</v>
      </c>
      <c r="AH110" s="16">
        <f t="shared" si="18"/>
        <v>0.61621621621621614</v>
      </c>
      <c r="AI110" s="30"/>
      <c r="AJ110" s="14"/>
      <c r="AK110" s="30"/>
      <c r="AL110" s="30" t="s">
        <v>151</v>
      </c>
    </row>
    <row r="111" spans="1:38" ht="15" customHeight="1" x14ac:dyDescent="0.3">
      <c r="A111" s="95">
        <v>46053</v>
      </c>
      <c r="B111" s="21">
        <f t="shared" si="21"/>
        <v>1</v>
      </c>
      <c r="C111" s="18" t="s">
        <v>97</v>
      </c>
      <c r="D111" s="14">
        <v>210</v>
      </c>
      <c r="E111" s="14"/>
      <c r="F111" s="14"/>
      <c r="G111" s="14"/>
      <c r="H111" s="14">
        <v>170</v>
      </c>
      <c r="I111" s="14"/>
      <c r="J111" s="14"/>
      <c r="K111" s="14"/>
      <c r="L111" s="14"/>
      <c r="M111" s="14"/>
      <c r="N111" s="14"/>
      <c r="O111" s="14"/>
      <c r="P111" s="14"/>
      <c r="Q111" s="14"/>
      <c r="R111" s="22">
        <f t="shared" si="22"/>
        <v>380</v>
      </c>
      <c r="S111" s="14"/>
      <c r="T111" s="31">
        <f>1+4</f>
        <v>5</v>
      </c>
      <c r="U111" s="23">
        <v>0.29166666666666669</v>
      </c>
      <c r="V111" s="23">
        <v>0.79166666666666663</v>
      </c>
      <c r="W111" s="23" cm="1">
        <f t="array" ref="W111">_xlfn.IFS($U111="","",$AD111&gt;=6,TIME(1,0,0),$AD111&lt;=5,"")</f>
        <v>4.1666666666666664E-2</v>
      </c>
      <c r="X111" s="23"/>
      <c r="Y111" s="23" cm="1">
        <f t="array" ref="Y111">_xlfn.IFS($U111="","",AND($AD111&lt;=12,$AD111&gt;10),TIME(0,35,0),AND($AD111&lt;=10,$AD111&gt;5),TIME(0,20,0),AND($AD111&gt;12,$X111&lt;&gt;""),TIME(0,20,0),AND($AD111&gt;12,$X111=""),TIME(0,35,0),AND($AD111&gt;3,$AD111&lt;=5),TIME(0,10,0),$AD111&lt;=3,"")</f>
        <v>2.4305555555555556E-2</v>
      </c>
      <c r="Z111" s="23">
        <f t="shared" si="19"/>
        <v>6.9444444444444441E-3</v>
      </c>
      <c r="AA111" s="23"/>
      <c r="AB111" s="23"/>
      <c r="AC111" s="30"/>
      <c r="AD111" s="24">
        <f t="shared" si="14"/>
        <v>11.999999999999998</v>
      </c>
      <c r="AE111" s="23">
        <f t="shared" si="15"/>
        <v>7.2916666666666671E-2</v>
      </c>
      <c r="AF111" s="25">
        <f t="shared" si="16"/>
        <v>59.999999999999993</v>
      </c>
      <c r="AG111" s="25">
        <f t="shared" si="17"/>
        <v>51.249999999999993</v>
      </c>
      <c r="AH111" s="16">
        <f t="shared" si="18"/>
        <v>0.15789473684210525</v>
      </c>
      <c r="AI111" s="30"/>
      <c r="AJ111" s="14"/>
      <c r="AK111" s="30"/>
      <c r="AL111" s="30"/>
    </row>
    <row r="112" spans="1:38" ht="15" customHeight="1" x14ac:dyDescent="0.3">
      <c r="A112" s="95">
        <v>46053</v>
      </c>
      <c r="B112" s="21">
        <f t="shared" si="21"/>
        <v>1</v>
      </c>
      <c r="C112" s="18" t="s">
        <v>98</v>
      </c>
      <c r="D112" s="14">
        <v>220</v>
      </c>
      <c r="E112" s="14"/>
      <c r="F112" s="14">
        <v>58</v>
      </c>
      <c r="G112" s="14"/>
      <c r="H112" s="14">
        <v>216</v>
      </c>
      <c r="I112" s="14"/>
      <c r="J112" s="14"/>
      <c r="K112" s="14"/>
      <c r="L112" s="14"/>
      <c r="M112" s="14"/>
      <c r="N112" s="14"/>
      <c r="O112" s="14"/>
      <c r="P112" s="14"/>
      <c r="Q112" s="14"/>
      <c r="R112" s="22">
        <f t="shared" si="22"/>
        <v>494</v>
      </c>
      <c r="S112" s="14"/>
      <c r="T112" s="31">
        <f>11+4+1+4</f>
        <v>20</v>
      </c>
      <c r="U112" s="23">
        <v>0.29166666666666669</v>
      </c>
      <c r="V112" s="23">
        <v>0.79166666666666663</v>
      </c>
      <c r="W112" s="23" cm="1">
        <f t="array" ref="W112">_xlfn.IFS($U112="","",$AD112&gt;=6,TIME(1,0,0),$AD112&lt;=5,"")</f>
        <v>4.1666666666666664E-2</v>
      </c>
      <c r="X112" s="23"/>
      <c r="Y112" s="23" cm="1">
        <f t="array" ref="Y112">_xlfn.IFS($U112="","",AND($AD112&lt;=12,$AD112&gt;10),TIME(0,35,0),AND($AD112&lt;=10,$AD112&gt;5),TIME(0,20,0),AND($AD112&gt;12,$X112&lt;&gt;""),TIME(0,20,0),AND($AD112&gt;12,$X112=""),TIME(0,35,0),AND($AD112&gt;3,$AD112&lt;=5),TIME(0,10,0),$AD112&lt;=3,"")</f>
        <v>2.4305555555555556E-2</v>
      </c>
      <c r="Z112" s="23">
        <f t="shared" si="19"/>
        <v>6.9444444444444441E-3</v>
      </c>
      <c r="AA112" s="23"/>
      <c r="AB112" s="23"/>
      <c r="AC112" s="30"/>
      <c r="AD112" s="24">
        <f t="shared" si="14"/>
        <v>11.999999999999998</v>
      </c>
      <c r="AE112" s="23">
        <f t="shared" si="15"/>
        <v>7.2916666666666671E-2</v>
      </c>
      <c r="AF112" s="25">
        <f t="shared" si="16"/>
        <v>239.99999999999997</v>
      </c>
      <c r="AG112" s="25">
        <f t="shared" si="17"/>
        <v>204.99999999999997</v>
      </c>
      <c r="AH112" s="16">
        <f t="shared" si="18"/>
        <v>0.48582995951416996</v>
      </c>
      <c r="AI112" s="30"/>
      <c r="AJ112" s="14"/>
      <c r="AK112" s="30"/>
      <c r="AL112" s="30"/>
    </row>
    <row r="113" spans="1:38" ht="15" customHeight="1" x14ac:dyDescent="0.3">
      <c r="A113" s="95">
        <v>46053</v>
      </c>
      <c r="B113" s="21">
        <f t="shared" si="21"/>
        <v>1</v>
      </c>
      <c r="C113" s="18" t="s">
        <v>99</v>
      </c>
      <c r="D113" s="14">
        <v>206</v>
      </c>
      <c r="E113" s="14"/>
      <c r="F113" s="14">
        <f>1+2</f>
        <v>3</v>
      </c>
      <c r="G113" s="14"/>
      <c r="H113" s="14">
        <v>168</v>
      </c>
      <c r="I113" s="14"/>
      <c r="J113" s="14"/>
      <c r="K113" s="14"/>
      <c r="L113" s="14"/>
      <c r="M113" s="14"/>
      <c r="N113" s="14"/>
      <c r="O113" s="14"/>
      <c r="P113" s="14"/>
      <c r="Q113" s="14"/>
      <c r="R113" s="22">
        <f t="shared" si="22"/>
        <v>377</v>
      </c>
      <c r="S113" s="14"/>
      <c r="T113" s="31">
        <v>17</v>
      </c>
      <c r="U113" s="23">
        <v>0.29166666666666669</v>
      </c>
      <c r="V113" s="23">
        <v>0.79166666666666663</v>
      </c>
      <c r="W113" s="23" cm="1">
        <f t="array" ref="W113">_xlfn.IFS($U113="","",$AD113&gt;=6,TIME(1,0,0),$AD113&lt;=5,"")</f>
        <v>4.1666666666666664E-2</v>
      </c>
      <c r="X113" s="23"/>
      <c r="Y113" s="23" cm="1">
        <f t="array" ref="Y113">_xlfn.IFS($U113="","",AND($AD113&lt;=12,$AD113&gt;10),TIME(0,35,0),AND($AD113&lt;=10,$AD113&gt;5),TIME(0,20,0),AND($AD113&gt;12,$X113&lt;&gt;""),TIME(0,20,0),AND($AD113&gt;12,$X113=""),TIME(0,35,0),AND($AD113&gt;3,$AD113&lt;=5),TIME(0,10,0),$AD113&lt;=3,"")</f>
        <v>2.4305555555555556E-2</v>
      </c>
      <c r="Z113" s="23">
        <f t="shared" si="19"/>
        <v>6.9444444444444441E-3</v>
      </c>
      <c r="AA113" s="23">
        <v>0.1875</v>
      </c>
      <c r="AB113" s="23"/>
      <c r="AC113" s="30"/>
      <c r="AD113" s="24">
        <f t="shared" si="14"/>
        <v>11.999999999999998</v>
      </c>
      <c r="AE113" s="23">
        <f t="shared" si="15"/>
        <v>7.2916666666666671E-2</v>
      </c>
      <c r="AF113" s="25">
        <f t="shared" si="16"/>
        <v>203.99999999999997</v>
      </c>
      <c r="AG113" s="25">
        <f t="shared" si="17"/>
        <v>97.749999999999972</v>
      </c>
      <c r="AH113" s="16">
        <f t="shared" si="18"/>
        <v>0.54111405835543758</v>
      </c>
      <c r="AI113" s="16">
        <f>IF(COUNTIF(A110:A113,A110)=4,1/SUM(AH110:AH113),"")</f>
        <v>0.55523013797007315</v>
      </c>
      <c r="AJ113" s="14"/>
      <c r="AK113" s="30"/>
      <c r="AL113" s="30" t="s">
        <v>152</v>
      </c>
    </row>
    <row r="114" spans="1:38" ht="15" customHeight="1" x14ac:dyDescent="0.3">
      <c r="A114" s="78">
        <v>46054</v>
      </c>
      <c r="B114" s="21">
        <f t="shared" si="21"/>
        <v>2</v>
      </c>
      <c r="C114" s="18" t="s">
        <v>98</v>
      </c>
      <c r="D114" s="14">
        <v>33</v>
      </c>
      <c r="E114" s="14"/>
      <c r="F114" s="14">
        <v>103</v>
      </c>
      <c r="G114" s="14"/>
      <c r="H114" s="14">
        <v>4</v>
      </c>
      <c r="I114" s="14"/>
      <c r="J114" s="14">
        <v>14</v>
      </c>
      <c r="K114" s="14"/>
      <c r="L114" s="14"/>
      <c r="M114" s="14"/>
      <c r="N114" s="14"/>
      <c r="O114" s="14"/>
      <c r="P114" s="14"/>
      <c r="Q114" s="14"/>
      <c r="R114" s="22">
        <f t="shared" si="22"/>
        <v>154</v>
      </c>
      <c r="S114" s="14"/>
      <c r="T114" s="31">
        <v>7</v>
      </c>
      <c r="U114" s="23">
        <v>0.29166666666666669</v>
      </c>
      <c r="V114" s="23">
        <v>0.66666666666666663</v>
      </c>
      <c r="W114" s="23" cm="1">
        <f t="array" ref="W114">_xlfn.IFS($U114="","",$AD114&gt;=6,TIME(1,0,0),$AD114&lt;=5,"")</f>
        <v>4.1666666666666664E-2</v>
      </c>
      <c r="X114" s="23"/>
      <c r="Y114" s="23" cm="1">
        <f t="array" ref="Y114">_xlfn.IFS($U114="","",AND($AD114&lt;=12,$AD114&gt;10),TIME(0,35,0),AND($AD114&lt;=10,$AD114&gt;5),TIME(0,20,0),AND($AD114&gt;12,$X114&lt;&gt;""),TIME(0,20,0),AND($AD114&gt;12,$X114=""),TIME(0,35,0),AND($AD114&gt;3,$AD114&lt;=5),TIME(0,10,0),$AD114&lt;=3,"")</f>
        <v>1.3888888888888888E-2</v>
      </c>
      <c r="Z114" s="23">
        <f t="shared" si="19"/>
        <v>6.9444444444444441E-3</v>
      </c>
      <c r="AA114" s="23"/>
      <c r="AB114" s="23"/>
      <c r="AC114" s="30"/>
      <c r="AD114" s="24">
        <f t="shared" si="14"/>
        <v>8.9999999999999982</v>
      </c>
      <c r="AE114" s="23">
        <f t="shared" si="15"/>
        <v>6.25E-2</v>
      </c>
      <c r="AF114" s="25">
        <f t="shared" si="16"/>
        <v>62.999999999999986</v>
      </c>
      <c r="AG114" s="25">
        <f t="shared" si="17"/>
        <v>52.499999999999986</v>
      </c>
      <c r="AH114" s="16">
        <f t="shared" si="18"/>
        <v>0.40909090909090901</v>
      </c>
      <c r="AI114" s="30"/>
      <c r="AJ114" s="14"/>
      <c r="AK114" s="30"/>
      <c r="AL114" s="30" t="s">
        <v>153</v>
      </c>
    </row>
    <row r="115" spans="1:38" ht="15" customHeight="1" x14ac:dyDescent="0.3">
      <c r="A115" s="78">
        <v>46054</v>
      </c>
      <c r="B115" s="21">
        <f t="shared" si="21"/>
        <v>2</v>
      </c>
      <c r="C115" s="18" t="s">
        <v>99</v>
      </c>
      <c r="D115" s="14">
        <v>140</v>
      </c>
      <c r="E115" s="14"/>
      <c r="F115" s="14"/>
      <c r="G115" s="14"/>
      <c r="H115" s="14">
        <v>185</v>
      </c>
      <c r="I115" s="14"/>
      <c r="J115" s="14"/>
      <c r="K115" s="14"/>
      <c r="L115" s="14"/>
      <c r="M115" s="14"/>
      <c r="N115" s="14"/>
      <c r="O115" s="14"/>
      <c r="P115" s="14"/>
      <c r="Q115" s="14"/>
      <c r="R115" s="22">
        <f t="shared" si="22"/>
        <v>325</v>
      </c>
      <c r="S115" s="14"/>
      <c r="T115" s="31">
        <f>8+6</f>
        <v>14</v>
      </c>
      <c r="U115" s="23">
        <v>0.29166666666666669</v>
      </c>
      <c r="V115" s="23">
        <v>0.70833333333333337</v>
      </c>
      <c r="W115" s="23" cm="1">
        <f t="array" ref="W115">_xlfn.IFS($U115="","",$AD115&gt;=6,TIME(1,0,0),$AD115&lt;=5,"")</f>
        <v>4.1666666666666664E-2</v>
      </c>
      <c r="X115" s="23"/>
      <c r="Y115" s="23" cm="1">
        <f t="array" ref="Y115">_xlfn.IFS($U115="","",AND($AD115&lt;=12,$AD115&gt;10),TIME(0,35,0),AND($AD115&lt;=10,$AD115&gt;5),TIME(0,20,0),AND($AD115&gt;12,$X115&lt;&gt;""),TIME(0,20,0),AND($AD115&gt;12,$X115=""),TIME(0,35,0),AND($AD115&gt;3,$AD115&lt;=5),TIME(0,10,0),$AD115&lt;=3,"")</f>
        <v>1.3888888888888888E-2</v>
      </c>
      <c r="Z115" s="23">
        <f t="shared" si="19"/>
        <v>6.9444444444444441E-3</v>
      </c>
      <c r="AA115" s="23"/>
      <c r="AB115" s="23"/>
      <c r="AC115" s="30"/>
      <c r="AD115" s="24">
        <f t="shared" si="14"/>
        <v>10</v>
      </c>
      <c r="AE115" s="23">
        <f t="shared" si="15"/>
        <v>6.25E-2</v>
      </c>
      <c r="AF115" s="25">
        <f t="shared" si="16"/>
        <v>140</v>
      </c>
      <c r="AG115" s="25">
        <f t="shared" si="17"/>
        <v>119</v>
      </c>
      <c r="AH115" s="16">
        <f t="shared" si="18"/>
        <v>0.43076923076923079</v>
      </c>
      <c r="AI115" s="16" t="str">
        <f>IF(COUNTIF(A114:A115,#REF!)=4,1/SUM(AH114:AH115),"")</f>
        <v/>
      </c>
      <c r="AJ115" s="14"/>
      <c r="AK115" s="30"/>
      <c r="AL115" s="30"/>
    </row>
    <row r="116" spans="1:38" ht="15" customHeight="1" x14ac:dyDescent="0.3">
      <c r="A116" s="95">
        <v>46055</v>
      </c>
      <c r="B116" s="21">
        <f t="shared" si="21"/>
        <v>2</v>
      </c>
      <c r="C116" s="18" t="s">
        <v>96</v>
      </c>
      <c r="D116" s="14">
        <f>60+250+100</f>
        <v>410</v>
      </c>
      <c r="E116" s="14"/>
      <c r="F116" s="14"/>
      <c r="G116" s="14"/>
      <c r="H116" s="14"/>
      <c r="I116" s="14"/>
      <c r="J116" s="14"/>
      <c r="K116" s="14"/>
      <c r="L116" s="14"/>
      <c r="M116" s="14"/>
      <c r="N116" s="14"/>
      <c r="O116" s="14"/>
      <c r="P116" s="14"/>
      <c r="Q116" s="14"/>
      <c r="R116" s="22">
        <f t="shared" si="22"/>
        <v>410</v>
      </c>
      <c r="S116" s="14"/>
      <c r="T116" s="31">
        <f>12+3+2</f>
        <v>17</v>
      </c>
      <c r="U116" s="23">
        <v>0.29166666666666669</v>
      </c>
      <c r="V116" s="23">
        <v>0.79166666666666663</v>
      </c>
      <c r="W116" s="23" cm="1">
        <f t="array" ref="W116">_xlfn.IFS($U116="","",$AD116&gt;=6,TIME(1,0,0),$AD116&lt;=5,"")</f>
        <v>4.1666666666666664E-2</v>
      </c>
      <c r="X116" s="23"/>
      <c r="Y116" s="23" cm="1">
        <f t="array" ref="Y116">_xlfn.IFS($U116="","",AND($AD116&lt;=12,$AD116&gt;10),TIME(0,35,0),AND($AD116&lt;=10,$AD116&gt;5),TIME(0,20,0),AND($AD116&gt;12,$X116&lt;&gt;""),TIME(0,20,0),AND($AD116&gt;12,$X116=""),TIME(0,35,0),AND($AD116&gt;3,$AD116&lt;=5),TIME(0,10,0),$AD116&lt;=3,"")</f>
        <v>2.4305555555555556E-2</v>
      </c>
      <c r="Z116" s="23">
        <f t="shared" si="19"/>
        <v>6.9444444444444441E-3</v>
      </c>
      <c r="AA116" s="23"/>
      <c r="AB116" s="23"/>
      <c r="AC116" s="30"/>
      <c r="AD116" s="24">
        <f t="shared" si="14"/>
        <v>11.999999999999998</v>
      </c>
      <c r="AE116" s="23">
        <f t="shared" si="15"/>
        <v>7.2916666666666671E-2</v>
      </c>
      <c r="AF116" s="25">
        <f t="shared" si="16"/>
        <v>203.99999999999997</v>
      </c>
      <c r="AG116" s="25">
        <f t="shared" si="17"/>
        <v>174.24999999999997</v>
      </c>
      <c r="AH116" s="16">
        <f t="shared" si="18"/>
        <v>0.49756097560975604</v>
      </c>
      <c r="AI116" s="30"/>
      <c r="AJ116" s="14"/>
      <c r="AK116" s="30"/>
      <c r="AL116" s="30"/>
    </row>
    <row r="117" spans="1:38" ht="15" customHeight="1" x14ac:dyDescent="0.3">
      <c r="A117" s="95">
        <v>46055</v>
      </c>
      <c r="B117" s="21">
        <f t="shared" si="21"/>
        <v>2</v>
      </c>
      <c r="C117" s="18" t="s">
        <v>97</v>
      </c>
      <c r="D117" s="14">
        <v>103</v>
      </c>
      <c r="E117" s="14"/>
      <c r="F117" s="14">
        <v>100</v>
      </c>
      <c r="G117" s="14"/>
      <c r="H117" s="14">
        <v>216</v>
      </c>
      <c r="I117" s="14"/>
      <c r="J117" s="14"/>
      <c r="K117" s="14"/>
      <c r="L117" s="14"/>
      <c r="M117" s="14"/>
      <c r="N117" s="14"/>
      <c r="O117" s="14"/>
      <c r="P117" s="14"/>
      <c r="Q117" s="14"/>
      <c r="R117" s="22">
        <f t="shared" si="22"/>
        <v>419</v>
      </c>
      <c r="S117" s="14"/>
      <c r="T117" s="31">
        <f>1+4</f>
        <v>5</v>
      </c>
      <c r="U117" s="23">
        <v>0.29166666666666669</v>
      </c>
      <c r="V117" s="23">
        <v>0.79166666666666663</v>
      </c>
      <c r="W117" s="23" cm="1">
        <f t="array" ref="W117">_xlfn.IFS($U117="","",$AD117&gt;=6,TIME(1,0,0),$AD117&lt;=5,"")</f>
        <v>4.1666666666666664E-2</v>
      </c>
      <c r="X117" s="23"/>
      <c r="Y117" s="23" cm="1">
        <f t="array" ref="Y117">_xlfn.IFS($U117="","",AND($AD117&lt;=12,$AD117&gt;10),TIME(0,35,0),AND($AD117&lt;=10,$AD117&gt;5),TIME(0,20,0),AND($AD117&gt;12,$X117&lt;&gt;""),TIME(0,20,0),AND($AD117&gt;12,$X117=""),TIME(0,35,0),AND($AD117&gt;3,$AD117&lt;=5),TIME(0,10,0),$AD117&lt;=3,"")</f>
        <v>2.4305555555555556E-2</v>
      </c>
      <c r="Z117" s="23">
        <f t="shared" si="19"/>
        <v>6.9444444444444441E-3</v>
      </c>
      <c r="AA117" s="23"/>
      <c r="AB117" s="23"/>
      <c r="AC117" s="30"/>
      <c r="AD117" s="24">
        <f t="shared" si="14"/>
        <v>11.999999999999998</v>
      </c>
      <c r="AE117" s="23">
        <f t="shared" si="15"/>
        <v>7.2916666666666671E-2</v>
      </c>
      <c r="AF117" s="25">
        <f t="shared" si="16"/>
        <v>59.999999999999993</v>
      </c>
      <c r="AG117" s="25">
        <f t="shared" si="17"/>
        <v>51.249999999999993</v>
      </c>
      <c r="AH117" s="16">
        <f t="shared" si="18"/>
        <v>0.14319809069212408</v>
      </c>
      <c r="AI117" s="30"/>
      <c r="AJ117" s="14"/>
      <c r="AK117" s="30"/>
      <c r="AL117" s="30"/>
    </row>
    <row r="118" spans="1:38" ht="15" customHeight="1" x14ac:dyDescent="0.3">
      <c r="A118" s="95">
        <v>46055</v>
      </c>
      <c r="B118" s="21">
        <f t="shared" si="21"/>
        <v>2</v>
      </c>
      <c r="C118" s="18" t="s">
        <v>98</v>
      </c>
      <c r="D118" s="14">
        <v>108</v>
      </c>
      <c r="E118" s="14"/>
      <c r="F118" s="14">
        <v>75</v>
      </c>
      <c r="G118" s="14"/>
      <c r="H118" s="14">
        <v>15</v>
      </c>
      <c r="I118" s="14">
        <v>135</v>
      </c>
      <c r="J118" s="14"/>
      <c r="K118" s="14"/>
      <c r="L118" s="14"/>
      <c r="M118" s="14"/>
      <c r="N118" s="14"/>
      <c r="O118" s="14"/>
      <c r="P118" s="14"/>
      <c r="Q118" s="14"/>
      <c r="R118" s="22">
        <f t="shared" si="22"/>
        <v>333</v>
      </c>
      <c r="S118" s="14"/>
      <c r="T118" s="31">
        <f>11+2+4</f>
        <v>17</v>
      </c>
      <c r="U118" s="23">
        <v>0.29166666666666669</v>
      </c>
      <c r="V118" s="23">
        <v>0.79166666666666663</v>
      </c>
      <c r="W118" s="23" cm="1">
        <f t="array" ref="W118">_xlfn.IFS($U118="","",$AD118&gt;=6,TIME(1,0,0),$AD118&lt;=5,"")</f>
        <v>4.1666666666666664E-2</v>
      </c>
      <c r="X118" s="23"/>
      <c r="Y118" s="23" cm="1">
        <f t="array" ref="Y118">_xlfn.IFS($U118="","",AND($AD118&lt;=12,$AD118&gt;10),TIME(0,35,0),AND($AD118&lt;=10,$AD118&gt;5),TIME(0,20,0),AND($AD118&gt;12,$X118&lt;&gt;""),TIME(0,20,0),AND($AD118&gt;12,$X118=""),TIME(0,35,0),AND($AD118&gt;3,$AD118&lt;=5),TIME(0,10,0),$AD118&lt;=3,"")</f>
        <v>2.4305555555555556E-2</v>
      </c>
      <c r="Z118" s="23">
        <f t="shared" si="19"/>
        <v>6.9444444444444441E-3</v>
      </c>
      <c r="AA118" s="23"/>
      <c r="AB118" s="23"/>
      <c r="AC118" s="30"/>
      <c r="AD118" s="24">
        <f t="shared" ref="AD118:AD131" si="23">IF($U118="","",MOD($V118-$U118,1)*24)</f>
        <v>11.999999999999998</v>
      </c>
      <c r="AE118" s="23">
        <f t="shared" ref="AE118:AE131" si="24">IF($U118="","",SUM($W118:$Z118))</f>
        <v>7.2916666666666671E-2</v>
      </c>
      <c r="AF118" s="25">
        <f t="shared" ref="AF118:AF131" si="25">IF(OR($T118="",$AD118=""),"",$AD118*$T118)</f>
        <v>203.99999999999997</v>
      </c>
      <c r="AG118" s="25">
        <f t="shared" ref="AG118:AG131" si="26">IF(OR($T118="",$AD118=""),"",($AD118-($AE118+$AA118)*24)*$T118)</f>
        <v>174.24999999999997</v>
      </c>
      <c r="AH118" s="16">
        <f t="shared" ref="AH118:AH131" si="27">IF(OR($R118=0,$T118="",$AF118=""),"",$AF118/$R118)</f>
        <v>0.61261261261261257</v>
      </c>
      <c r="AI118" s="30"/>
      <c r="AJ118" s="14"/>
      <c r="AK118" s="30"/>
      <c r="AL118" s="30"/>
    </row>
    <row r="119" spans="1:38" ht="15" customHeight="1" x14ac:dyDescent="0.3">
      <c r="A119" s="95">
        <v>46055</v>
      </c>
      <c r="B119" s="21">
        <f t="shared" si="21"/>
        <v>2</v>
      </c>
      <c r="C119" s="18" t="s">
        <v>99</v>
      </c>
      <c r="D119" s="14">
        <f>103+4+1</f>
        <v>108</v>
      </c>
      <c r="E119" s="14"/>
      <c r="F119" s="14">
        <f>12+23+22+8</f>
        <v>65</v>
      </c>
      <c r="G119" s="14"/>
      <c r="H119" s="14"/>
      <c r="I119" s="14">
        <f>36+83</f>
        <v>119</v>
      </c>
      <c r="J119" s="14">
        <f>1+9</f>
        <v>10</v>
      </c>
      <c r="K119" s="14"/>
      <c r="L119" s="14"/>
      <c r="M119" s="14"/>
      <c r="N119" s="14"/>
      <c r="O119" s="14"/>
      <c r="P119" s="14"/>
      <c r="Q119" s="14"/>
      <c r="R119" s="22">
        <f t="shared" si="22"/>
        <v>302</v>
      </c>
      <c r="S119" s="14"/>
      <c r="T119" s="31">
        <f>6+5+3+1</f>
        <v>15</v>
      </c>
      <c r="U119" s="23">
        <v>0.29166666666666669</v>
      </c>
      <c r="V119" s="23">
        <v>0.79166666666666663</v>
      </c>
      <c r="W119" s="23" cm="1">
        <f t="array" ref="W119">_xlfn.IFS($U119="","",$AD119&gt;=6,TIME(1,0,0),$AD119&lt;=5,"")</f>
        <v>4.1666666666666664E-2</v>
      </c>
      <c r="X119" s="23"/>
      <c r="Y119" s="23" cm="1">
        <f t="array" ref="Y119">_xlfn.IFS($U119="","",AND($AD119&lt;=12,$AD119&gt;10),TIME(0,35,0),AND($AD119&lt;=10,$AD119&gt;5),TIME(0,20,0),AND($AD119&gt;12,$X119&lt;&gt;""),TIME(0,20,0),AND($AD119&gt;12,$X119=""),TIME(0,35,0),AND($AD119&gt;3,$AD119&lt;=5),TIME(0,10,0),$AD119&lt;=3,"")</f>
        <v>2.4305555555555556E-2</v>
      </c>
      <c r="Z119" s="23">
        <f t="shared" si="19"/>
        <v>6.9444444444444441E-3</v>
      </c>
      <c r="AA119" s="23"/>
      <c r="AB119" s="23"/>
      <c r="AC119" s="30"/>
      <c r="AD119" s="24">
        <f t="shared" si="23"/>
        <v>11.999999999999998</v>
      </c>
      <c r="AE119" s="23">
        <f t="shared" si="24"/>
        <v>7.2916666666666671E-2</v>
      </c>
      <c r="AF119" s="25">
        <f t="shared" si="25"/>
        <v>179.99999999999997</v>
      </c>
      <c r="AG119" s="25">
        <f t="shared" si="26"/>
        <v>153.74999999999997</v>
      </c>
      <c r="AH119" s="16">
        <f t="shared" si="27"/>
        <v>0.5960264900662251</v>
      </c>
      <c r="AI119" s="16">
        <f>IF(COUNTIF(A116:A119,A116)=4,1/SUM(AH116:AH119),"")</f>
        <v>0.54071644320440881</v>
      </c>
      <c r="AJ119" s="14"/>
      <c r="AK119" s="30"/>
      <c r="AL119" s="30" t="s">
        <v>154</v>
      </c>
    </row>
    <row r="120" spans="1:38" ht="15" customHeight="1" x14ac:dyDescent="0.3">
      <c r="A120" s="78">
        <v>46056</v>
      </c>
      <c r="B120" s="21">
        <f t="shared" si="21"/>
        <v>2</v>
      </c>
      <c r="C120" s="18" t="s">
        <v>96</v>
      </c>
      <c r="D120" s="14">
        <v>100</v>
      </c>
      <c r="E120" s="14"/>
      <c r="F120" s="14">
        <f>40+4+1</f>
        <v>45</v>
      </c>
      <c r="G120" s="14">
        <f>100+3</f>
        <v>103</v>
      </c>
      <c r="H120" s="14">
        <f>150+2</f>
        <v>152</v>
      </c>
      <c r="I120" s="14">
        <v>50</v>
      </c>
      <c r="J120" s="14">
        <f>5+4</f>
        <v>9</v>
      </c>
      <c r="K120" s="14"/>
      <c r="L120" s="14"/>
      <c r="M120" s="14"/>
      <c r="N120" s="14"/>
      <c r="O120" s="14"/>
      <c r="P120" s="14"/>
      <c r="Q120" s="14"/>
      <c r="R120" s="22">
        <f t="shared" si="22"/>
        <v>459</v>
      </c>
      <c r="S120" s="14"/>
      <c r="T120" s="31">
        <f>13+5+2-2</f>
        <v>18</v>
      </c>
      <c r="U120" s="23">
        <v>0.29166666666666669</v>
      </c>
      <c r="V120" s="23">
        <v>0.79166666666666663</v>
      </c>
      <c r="W120" s="23" cm="1">
        <f t="array" ref="W120">_xlfn.IFS($U120="","",$AD120&gt;=6,TIME(1,0,0),$AD120&lt;=5,"")</f>
        <v>4.1666666666666664E-2</v>
      </c>
      <c r="X120" s="23"/>
      <c r="Y120" s="23" cm="1">
        <f t="array" ref="Y120">_xlfn.IFS($U120="","",AND($AD120&lt;=12,$AD120&gt;10),TIME(0,35,0),AND($AD120&lt;=10,$AD120&gt;5),TIME(0,20,0),AND($AD120&gt;12,$X120&lt;&gt;""),TIME(0,20,0),AND($AD120&gt;12,$X120=""),TIME(0,35,0),AND($AD120&gt;3,$AD120&lt;=5),TIME(0,10,0),$AD120&lt;=3,"")</f>
        <v>2.4305555555555556E-2</v>
      </c>
      <c r="Z120" s="23">
        <f t="shared" si="19"/>
        <v>6.9444444444444441E-3</v>
      </c>
      <c r="AA120" s="23"/>
      <c r="AB120" s="23"/>
      <c r="AC120" s="30"/>
      <c r="AD120" s="24">
        <f t="shared" si="23"/>
        <v>11.999999999999998</v>
      </c>
      <c r="AE120" s="23">
        <f t="shared" si="24"/>
        <v>7.2916666666666671E-2</v>
      </c>
      <c r="AF120" s="25">
        <f t="shared" si="25"/>
        <v>215.99999999999997</v>
      </c>
      <c r="AG120" s="25">
        <f t="shared" si="26"/>
        <v>184.49999999999997</v>
      </c>
      <c r="AH120" s="16">
        <f t="shared" si="27"/>
        <v>0.47058823529411759</v>
      </c>
      <c r="AI120" s="30"/>
      <c r="AJ120" s="14"/>
      <c r="AK120" s="30"/>
      <c r="AL120" s="30" t="s">
        <v>155</v>
      </c>
    </row>
    <row r="121" spans="1:38" ht="15" customHeight="1" x14ac:dyDescent="0.3">
      <c r="A121" s="78">
        <v>46056</v>
      </c>
      <c r="B121" s="21">
        <f t="shared" si="21"/>
        <v>2</v>
      </c>
      <c r="C121" s="18" t="s">
        <v>97</v>
      </c>
      <c r="D121" s="14">
        <v>100</v>
      </c>
      <c r="E121" s="14"/>
      <c r="F121" s="14"/>
      <c r="G121" s="14">
        <v>103</v>
      </c>
      <c r="H121" s="14">
        <v>198</v>
      </c>
      <c r="I121" s="14"/>
      <c r="J121" s="14"/>
      <c r="K121" s="14"/>
      <c r="L121" s="14"/>
      <c r="M121" s="14"/>
      <c r="N121" s="14"/>
      <c r="O121" s="14"/>
      <c r="P121" s="14"/>
      <c r="Q121" s="14"/>
      <c r="R121" s="22">
        <f t="shared" si="22"/>
        <v>401</v>
      </c>
      <c r="S121" s="14"/>
      <c r="T121" s="31">
        <f>1+4</f>
        <v>5</v>
      </c>
      <c r="U121" s="23">
        <v>0.29166666666666669</v>
      </c>
      <c r="V121" s="23">
        <v>0.79166666666666663</v>
      </c>
      <c r="W121" s="23" cm="1">
        <f t="array" ref="W121">_xlfn.IFS($U121="","",$AD121&gt;=6,TIME(1,0,0),$AD121&lt;=5,"")</f>
        <v>4.1666666666666664E-2</v>
      </c>
      <c r="X121" s="23"/>
      <c r="Y121" s="23" cm="1">
        <f t="array" ref="Y121">_xlfn.IFS($U121="","",AND($AD121&lt;=12,$AD121&gt;10),TIME(0,35,0),AND($AD121&lt;=10,$AD121&gt;5),TIME(0,20,0),AND($AD121&gt;12,$X121&lt;&gt;""),TIME(0,20,0),AND($AD121&gt;12,$X121=""),TIME(0,35,0),AND($AD121&gt;3,$AD121&lt;=5),TIME(0,10,0),$AD121&lt;=3,"")</f>
        <v>2.4305555555555556E-2</v>
      </c>
      <c r="Z121" s="23">
        <f t="shared" si="19"/>
        <v>6.9444444444444441E-3</v>
      </c>
      <c r="AA121" s="23"/>
      <c r="AB121" s="23"/>
      <c r="AC121" s="30"/>
      <c r="AD121" s="24">
        <f t="shared" si="23"/>
        <v>11.999999999999998</v>
      </c>
      <c r="AE121" s="23">
        <f t="shared" si="24"/>
        <v>7.2916666666666671E-2</v>
      </c>
      <c r="AF121" s="25">
        <f t="shared" si="25"/>
        <v>59.999999999999993</v>
      </c>
      <c r="AG121" s="25">
        <f t="shared" si="26"/>
        <v>51.249999999999993</v>
      </c>
      <c r="AH121" s="16">
        <f t="shared" si="27"/>
        <v>0.14962593516209474</v>
      </c>
      <c r="AI121" s="30"/>
      <c r="AJ121" s="14"/>
      <c r="AK121" s="30"/>
      <c r="AL121" s="30"/>
    </row>
    <row r="122" spans="1:38" ht="15" customHeight="1" x14ac:dyDescent="0.3">
      <c r="A122" s="78">
        <v>46056</v>
      </c>
      <c r="B122" s="21">
        <f t="shared" si="21"/>
        <v>2</v>
      </c>
      <c r="C122" s="18" t="s">
        <v>98</v>
      </c>
      <c r="D122" s="14">
        <f>53+5</f>
        <v>58</v>
      </c>
      <c r="E122" s="14"/>
      <c r="F122" s="14">
        <v>92</v>
      </c>
      <c r="G122" s="14">
        <v>99</v>
      </c>
      <c r="H122" s="14">
        <f>15+41</f>
        <v>56</v>
      </c>
      <c r="I122" s="14">
        <v>64</v>
      </c>
      <c r="J122" s="14">
        <v>21</v>
      </c>
      <c r="K122" s="14"/>
      <c r="L122" s="14"/>
      <c r="M122" s="14"/>
      <c r="N122" s="14"/>
      <c r="O122" s="14"/>
      <c r="P122" s="14"/>
      <c r="Q122" s="14"/>
      <c r="R122" s="22">
        <f t="shared" si="22"/>
        <v>390</v>
      </c>
      <c r="S122" s="14"/>
      <c r="T122" s="31">
        <f>12+2+5</f>
        <v>19</v>
      </c>
      <c r="U122" s="23">
        <v>0.29166666666666669</v>
      </c>
      <c r="V122" s="23">
        <v>0.79166666666666663</v>
      </c>
      <c r="W122" s="23" cm="1">
        <f t="array" ref="W122">_xlfn.IFS($U122="","",$AD122&gt;=6,TIME(1,0,0),$AD122&lt;=5,"")</f>
        <v>4.1666666666666664E-2</v>
      </c>
      <c r="X122" s="23"/>
      <c r="Y122" s="23" cm="1">
        <f t="array" ref="Y122">_xlfn.IFS($U122="","",AND($AD122&lt;=12,$AD122&gt;10),TIME(0,35,0),AND($AD122&lt;=10,$AD122&gt;5),TIME(0,20,0),AND($AD122&gt;12,$X122&lt;&gt;""),TIME(0,20,0),AND($AD122&gt;12,$X122=""),TIME(0,35,0),AND($AD122&gt;3,$AD122&lt;=5),TIME(0,10,0),$AD122&lt;=3,"")</f>
        <v>2.4305555555555556E-2</v>
      </c>
      <c r="Z122" s="23">
        <f t="shared" si="19"/>
        <v>6.9444444444444441E-3</v>
      </c>
      <c r="AA122" s="23"/>
      <c r="AB122" s="23"/>
      <c r="AC122" s="30"/>
      <c r="AD122" s="24">
        <f t="shared" si="23"/>
        <v>11.999999999999998</v>
      </c>
      <c r="AE122" s="23">
        <f t="shared" si="24"/>
        <v>7.2916666666666671E-2</v>
      </c>
      <c r="AF122" s="25">
        <f t="shared" si="25"/>
        <v>227.99999999999997</v>
      </c>
      <c r="AG122" s="25">
        <f t="shared" si="26"/>
        <v>194.74999999999997</v>
      </c>
      <c r="AH122" s="16">
        <f t="shared" si="27"/>
        <v>0.58461538461538454</v>
      </c>
      <c r="AI122" s="30"/>
      <c r="AJ122" s="14"/>
      <c r="AK122" s="30"/>
      <c r="AL122" s="30" t="s">
        <v>156</v>
      </c>
    </row>
    <row r="123" spans="1:38" ht="15" customHeight="1" x14ac:dyDescent="0.3">
      <c r="A123" s="78">
        <v>46056</v>
      </c>
      <c r="B123" s="21">
        <f t="shared" si="21"/>
        <v>2</v>
      </c>
      <c r="C123" s="18" t="s">
        <v>99</v>
      </c>
      <c r="D123" s="14">
        <v>7</v>
      </c>
      <c r="E123" s="14"/>
      <c r="F123" s="14">
        <f>34+2</f>
        <v>36</v>
      </c>
      <c r="G123" s="14"/>
      <c r="H123" s="14">
        <v>12</v>
      </c>
      <c r="I123" s="14">
        <v>20</v>
      </c>
      <c r="J123" s="14"/>
      <c r="K123" s="14"/>
      <c r="L123" s="14"/>
      <c r="M123" s="14"/>
      <c r="N123" s="14"/>
      <c r="O123" s="14"/>
      <c r="P123" s="14"/>
      <c r="Q123" s="14"/>
      <c r="R123" s="22">
        <f t="shared" si="22"/>
        <v>75</v>
      </c>
      <c r="S123" s="14"/>
      <c r="T123" s="31">
        <v>16</v>
      </c>
      <c r="U123" s="23">
        <v>0.29166666666666669</v>
      </c>
      <c r="V123" s="23">
        <v>0.79166666666666663</v>
      </c>
      <c r="W123" s="23" cm="1">
        <f t="array" ref="W123">_xlfn.IFS($U123="","",$AD123&gt;=6,TIME(1,0,0),$AD123&lt;=5,"")</f>
        <v>4.1666666666666664E-2</v>
      </c>
      <c r="X123" s="23"/>
      <c r="Y123" s="23" cm="1">
        <f t="array" ref="Y123">_xlfn.IFS($U123="","",AND($AD123&lt;=12,$AD123&gt;10),TIME(0,35,0),AND($AD123&lt;=10,$AD123&gt;5),TIME(0,20,0),AND($AD123&gt;12,$X123&lt;&gt;""),TIME(0,20,0),AND($AD123&gt;12,$X123=""),TIME(0,35,0),AND($AD123&gt;3,$AD123&lt;=5),TIME(0,10,0),$AD123&lt;=3,"")</f>
        <v>2.4305555555555556E-2</v>
      </c>
      <c r="Z123" s="23">
        <f t="shared" si="19"/>
        <v>6.9444444444444441E-3</v>
      </c>
      <c r="AA123" s="23">
        <v>0.26944444444444443</v>
      </c>
      <c r="AB123" s="23"/>
      <c r="AC123" s="30"/>
      <c r="AD123" s="24">
        <f t="shared" si="23"/>
        <v>11.999999999999998</v>
      </c>
      <c r="AE123" s="23">
        <f t="shared" si="24"/>
        <v>7.2916666666666671E-2</v>
      </c>
      <c r="AF123" s="25">
        <f t="shared" si="25"/>
        <v>191.99999999999997</v>
      </c>
      <c r="AG123" s="25">
        <f t="shared" si="26"/>
        <v>60.533333333333303</v>
      </c>
      <c r="AH123" s="16">
        <f t="shared" si="27"/>
        <v>2.5599999999999996</v>
      </c>
      <c r="AI123" s="16">
        <f>IF(COUNTIF(A120:A123,A120)=4,1/SUM(AH120:AH123),"")</f>
        <v>0.26561627435507712</v>
      </c>
      <c r="AJ123" s="14"/>
      <c r="AK123" s="30"/>
      <c r="AL123" s="30" t="s">
        <v>157</v>
      </c>
    </row>
    <row r="124" spans="1:38" ht="15" customHeight="1" x14ac:dyDescent="0.3">
      <c r="A124" s="95">
        <v>46057</v>
      </c>
      <c r="B124" s="21">
        <f t="shared" si="21"/>
        <v>2</v>
      </c>
      <c r="C124" s="18" t="s">
        <v>96</v>
      </c>
      <c r="D124" s="14"/>
      <c r="E124" s="14"/>
      <c r="F124" s="14">
        <v>180</v>
      </c>
      <c r="G124" s="14">
        <v>100</v>
      </c>
      <c r="H124" s="14">
        <v>100</v>
      </c>
      <c r="I124" s="14"/>
      <c r="J124" s="14"/>
      <c r="K124" s="14"/>
      <c r="L124" s="14"/>
      <c r="M124" s="14"/>
      <c r="N124" s="14"/>
      <c r="O124" s="14"/>
      <c r="P124" s="14"/>
      <c r="Q124" s="14"/>
      <c r="R124" s="22">
        <f t="shared" si="22"/>
        <v>380</v>
      </c>
      <c r="S124" s="14"/>
      <c r="T124" s="31">
        <f>12+2+1</f>
        <v>15</v>
      </c>
      <c r="U124" s="23">
        <v>0.29166666666666669</v>
      </c>
      <c r="V124" s="23">
        <v>0.79166666666666663</v>
      </c>
      <c r="W124" s="23" cm="1">
        <f t="array" ref="W124">_xlfn.IFS($U124="","",$AD124&gt;=6,TIME(1,0,0),$AD124&lt;=5,"")</f>
        <v>4.1666666666666664E-2</v>
      </c>
      <c r="X124" s="23"/>
      <c r="Y124" s="23" cm="1">
        <f t="array" ref="Y124">_xlfn.IFS($U124="","",AND($AD124&lt;=12,$AD124&gt;10),TIME(0,35,0),AND($AD124&lt;=10,$AD124&gt;5),TIME(0,20,0),AND($AD124&gt;12,$X124&lt;&gt;""),TIME(0,20,0),AND($AD124&gt;12,$X124=""),TIME(0,35,0),AND($AD124&gt;3,$AD124&lt;=5),TIME(0,10,0),$AD124&lt;=3,"")</f>
        <v>2.4305555555555556E-2</v>
      </c>
      <c r="Z124" s="23">
        <f t="shared" ref="Z124:Z131" si="28">IF($U124&lt;&gt;"",TIME(0,10,0),"")</f>
        <v>6.9444444444444441E-3</v>
      </c>
      <c r="AA124" s="23"/>
      <c r="AB124" s="23"/>
      <c r="AC124" s="30"/>
      <c r="AD124" s="24">
        <f t="shared" si="23"/>
        <v>11.999999999999998</v>
      </c>
      <c r="AE124" s="23">
        <f t="shared" si="24"/>
        <v>7.2916666666666671E-2</v>
      </c>
      <c r="AF124" s="25">
        <f t="shared" si="25"/>
        <v>179.99999999999997</v>
      </c>
      <c r="AG124" s="25">
        <f t="shared" si="26"/>
        <v>153.74999999999997</v>
      </c>
      <c r="AH124" s="16">
        <f t="shared" si="27"/>
        <v>0.47368421052631571</v>
      </c>
      <c r="AI124" s="30"/>
      <c r="AJ124" s="14"/>
      <c r="AK124" s="30"/>
      <c r="AL124" s="30" t="s">
        <v>158</v>
      </c>
    </row>
    <row r="125" spans="1:38" ht="14.4" x14ac:dyDescent="0.3">
      <c r="A125" s="95">
        <v>46057</v>
      </c>
      <c r="B125" s="21">
        <f t="shared" si="21"/>
        <v>2</v>
      </c>
      <c r="C125" s="18" t="s">
        <v>97</v>
      </c>
      <c r="D125" s="14"/>
      <c r="E125" s="14"/>
      <c r="F125" s="14">
        <v>205</v>
      </c>
      <c r="G125" s="14">
        <v>81</v>
      </c>
      <c r="H125" s="14">
        <v>88</v>
      </c>
      <c r="I125" s="14"/>
      <c r="J125" s="14">
        <v>7</v>
      </c>
      <c r="K125" s="14"/>
      <c r="L125" s="14"/>
      <c r="M125" s="14"/>
      <c r="N125" s="14"/>
      <c r="O125" s="14"/>
      <c r="P125" s="14"/>
      <c r="Q125" s="14"/>
      <c r="R125" s="22">
        <f t="shared" si="22"/>
        <v>381</v>
      </c>
      <c r="S125" s="14"/>
      <c r="T125" s="31">
        <f>1+3</f>
        <v>4</v>
      </c>
      <c r="U125" s="23">
        <v>0.29166666666666669</v>
      </c>
      <c r="V125" s="23">
        <v>0.79166666666666663</v>
      </c>
      <c r="W125" s="23" cm="1">
        <f t="array" ref="W125">_xlfn.IFS($U125="","",$AD125&gt;=6,TIME(1,0,0),$AD125&lt;=5,"")</f>
        <v>4.1666666666666664E-2</v>
      </c>
      <c r="X125" s="23"/>
      <c r="Y125" s="23" cm="1">
        <f t="array" ref="Y125">_xlfn.IFS($U125="","",AND($AD125&lt;=12,$AD125&gt;10),TIME(0,35,0),AND($AD125&lt;=10,$AD125&gt;5),TIME(0,20,0),AND($AD125&gt;12,$X125&lt;&gt;""),TIME(0,20,0),AND($AD125&gt;12,$X125=""),TIME(0,35,0),AND($AD125&gt;3,$AD125&lt;=5),TIME(0,10,0),$AD125&lt;=3,"")</f>
        <v>2.4305555555555556E-2</v>
      </c>
      <c r="Z125" s="23">
        <f t="shared" si="28"/>
        <v>6.9444444444444441E-3</v>
      </c>
      <c r="AA125" s="23"/>
      <c r="AB125" s="23"/>
      <c r="AC125" s="30"/>
      <c r="AD125" s="24">
        <f t="shared" si="23"/>
        <v>11.999999999999998</v>
      </c>
      <c r="AE125" s="23">
        <f t="shared" si="24"/>
        <v>7.2916666666666671E-2</v>
      </c>
      <c r="AF125" s="25">
        <f t="shared" si="25"/>
        <v>47.999999999999993</v>
      </c>
      <c r="AG125" s="25">
        <f t="shared" si="26"/>
        <v>40.999999999999993</v>
      </c>
      <c r="AH125" s="16">
        <f t="shared" si="27"/>
        <v>0.12598425196850391</v>
      </c>
      <c r="AI125" s="30"/>
      <c r="AJ125" s="14"/>
      <c r="AK125" s="30"/>
      <c r="AL125" s="30"/>
    </row>
    <row r="126" spans="1:38" ht="14.4" x14ac:dyDescent="0.3">
      <c r="A126" s="95">
        <v>46057</v>
      </c>
      <c r="B126" s="21">
        <f t="shared" si="21"/>
        <v>2</v>
      </c>
      <c r="C126" s="18" t="s">
        <v>98</v>
      </c>
      <c r="D126" s="14">
        <f>46+1</f>
        <v>47</v>
      </c>
      <c r="E126" s="14"/>
      <c r="F126" s="14">
        <v>85</v>
      </c>
      <c r="G126" s="14">
        <v>64</v>
      </c>
      <c r="H126" s="14">
        <f>112+54</f>
        <v>166</v>
      </c>
      <c r="I126" s="14">
        <v>18</v>
      </c>
      <c r="J126" s="14">
        <v>43</v>
      </c>
      <c r="K126" s="14"/>
      <c r="L126" s="14"/>
      <c r="M126" s="14"/>
      <c r="N126" s="14"/>
      <c r="O126" s="14"/>
      <c r="P126" s="14"/>
      <c r="Q126" s="14"/>
      <c r="R126" s="22">
        <f t="shared" si="22"/>
        <v>423</v>
      </c>
      <c r="S126" s="14"/>
      <c r="T126" s="31">
        <f>12+2+6</f>
        <v>20</v>
      </c>
      <c r="U126" s="23">
        <v>0.29166666666666669</v>
      </c>
      <c r="V126" s="23">
        <v>0.79166666666666663</v>
      </c>
      <c r="W126" s="23" cm="1">
        <f t="array" ref="W126">_xlfn.IFS($U126="","",$AD126&gt;=6,TIME(1,0,0),$AD126&lt;=5,"")</f>
        <v>4.1666666666666664E-2</v>
      </c>
      <c r="X126" s="23"/>
      <c r="Y126" s="23" cm="1">
        <f t="array" ref="Y126">_xlfn.IFS($U126="","",AND($AD126&lt;=12,$AD126&gt;10),TIME(0,35,0),AND($AD126&lt;=10,$AD126&gt;5),TIME(0,20,0),AND($AD126&gt;12,$X126&lt;&gt;""),TIME(0,20,0),AND($AD126&gt;12,$X126=""),TIME(0,35,0),AND($AD126&gt;3,$AD126&lt;=5),TIME(0,10,0),$AD126&lt;=3,"")</f>
        <v>2.4305555555555556E-2</v>
      </c>
      <c r="Z126" s="23">
        <f t="shared" si="28"/>
        <v>6.9444444444444441E-3</v>
      </c>
      <c r="AA126" s="23">
        <v>5.347222222222222E-2</v>
      </c>
      <c r="AB126" s="23"/>
      <c r="AC126" s="30"/>
      <c r="AD126" s="24">
        <f t="shared" si="23"/>
        <v>11.999999999999998</v>
      </c>
      <c r="AE126" s="23">
        <f t="shared" si="24"/>
        <v>7.2916666666666671E-2</v>
      </c>
      <c r="AF126" s="25">
        <f t="shared" si="25"/>
        <v>239.99999999999997</v>
      </c>
      <c r="AG126" s="25">
        <f t="shared" si="26"/>
        <v>179.33333333333331</v>
      </c>
      <c r="AH126" s="16">
        <f t="shared" si="27"/>
        <v>0.56737588652482263</v>
      </c>
      <c r="AI126" s="30"/>
      <c r="AJ126" s="14"/>
      <c r="AK126" s="30"/>
      <c r="AL126" s="30" t="s">
        <v>159</v>
      </c>
    </row>
    <row r="127" spans="1:38" ht="14.4" x14ac:dyDescent="0.3">
      <c r="A127" s="95">
        <v>46057</v>
      </c>
      <c r="B127" s="21">
        <f t="shared" si="21"/>
        <v>2</v>
      </c>
      <c r="C127" s="18" t="s">
        <v>99</v>
      </c>
      <c r="D127" s="14">
        <f>4+89</f>
        <v>93</v>
      </c>
      <c r="E127" s="14">
        <v>1</v>
      </c>
      <c r="F127" s="14">
        <f>37+34</f>
        <v>71</v>
      </c>
      <c r="G127" s="14">
        <v>100</v>
      </c>
      <c r="H127" s="14">
        <f>44+79</f>
        <v>123</v>
      </c>
      <c r="I127" s="14">
        <v>76</v>
      </c>
      <c r="J127" s="14">
        <v>22</v>
      </c>
      <c r="K127" s="14"/>
      <c r="L127" s="14"/>
      <c r="M127" s="14"/>
      <c r="N127" s="14"/>
      <c r="O127" s="14"/>
      <c r="P127" s="14"/>
      <c r="Q127" s="14"/>
      <c r="R127" s="22">
        <f t="shared" si="22"/>
        <v>486</v>
      </c>
      <c r="S127" s="14"/>
      <c r="T127" s="31">
        <f>8+3+4</f>
        <v>15</v>
      </c>
      <c r="U127" s="23">
        <v>0.29166666666666669</v>
      </c>
      <c r="V127" s="23">
        <v>0.875</v>
      </c>
      <c r="W127" s="23" cm="1">
        <f t="array" ref="W127">_xlfn.IFS($U127="","",$AD127&gt;=6,TIME(1,0,0),$AD127&lt;=5,"")</f>
        <v>4.1666666666666664E-2</v>
      </c>
      <c r="X127" s="23"/>
      <c r="Y127" s="23" cm="1">
        <f t="array" ref="Y127">_xlfn.IFS($U127="","",AND($AD127&lt;=12,$AD127&gt;10),TIME(0,35,0),AND($AD127&lt;=10,$AD127&gt;5),TIME(0,20,0),AND($AD127&gt;12,$X127&lt;&gt;""),TIME(0,20,0),AND($AD127&gt;12,$X127=""),TIME(0,35,0),AND($AD127&gt;3,$AD127&lt;=5),TIME(0,10,0),$AD127&lt;=3,"")</f>
        <v>2.4305555555555556E-2</v>
      </c>
      <c r="Z127" s="23">
        <f t="shared" si="28"/>
        <v>6.9444444444444441E-3</v>
      </c>
      <c r="AA127" s="23"/>
      <c r="AB127" s="23"/>
      <c r="AC127" s="30"/>
      <c r="AD127" s="24">
        <f t="shared" si="23"/>
        <v>13.999999999999998</v>
      </c>
      <c r="AE127" s="23">
        <f t="shared" si="24"/>
        <v>7.2916666666666671E-2</v>
      </c>
      <c r="AF127" s="25">
        <f t="shared" si="25"/>
        <v>209.99999999999997</v>
      </c>
      <c r="AG127" s="25">
        <f t="shared" si="26"/>
        <v>183.74999999999997</v>
      </c>
      <c r="AH127" s="16">
        <f t="shared" si="27"/>
        <v>0.43209876543209869</v>
      </c>
      <c r="AI127" s="16">
        <f>IF(COUNTIF(A124:A127,A124)=4,1/SUM(AH124:AH127),"")</f>
        <v>0.62533490027429195</v>
      </c>
      <c r="AJ127" s="14"/>
      <c r="AK127" s="30"/>
      <c r="AL127" s="30" t="s">
        <v>160</v>
      </c>
    </row>
    <row r="128" spans="1:38" ht="14.4" x14ac:dyDescent="0.3">
      <c r="A128" s="78">
        <v>46058</v>
      </c>
      <c r="B128" s="21">
        <f t="shared" si="21"/>
        <v>2</v>
      </c>
      <c r="C128" s="18" t="s">
        <v>96</v>
      </c>
      <c r="D128" s="14"/>
      <c r="E128" s="14"/>
      <c r="F128" s="14">
        <v>180</v>
      </c>
      <c r="G128" s="14">
        <v>100</v>
      </c>
      <c r="H128" s="14">
        <v>50</v>
      </c>
      <c r="I128" s="14"/>
      <c r="J128" s="14">
        <v>65</v>
      </c>
      <c r="K128" s="14"/>
      <c r="L128" s="14"/>
      <c r="M128" s="14"/>
      <c r="N128" s="14"/>
      <c r="O128" s="14"/>
      <c r="P128" s="14"/>
      <c r="Q128" s="14"/>
      <c r="R128" s="22">
        <f t="shared" si="22"/>
        <v>395</v>
      </c>
      <c r="S128" s="14"/>
      <c r="T128" s="31">
        <f>13+4+1</f>
        <v>18</v>
      </c>
      <c r="U128" s="23">
        <v>0.29166666666666669</v>
      </c>
      <c r="V128" s="23">
        <v>0.79166666666666663</v>
      </c>
      <c r="W128" s="23" cm="1">
        <f t="array" ref="W128">_xlfn.IFS($U128="","",$AD128&gt;=6,TIME(1,0,0),$AD128&lt;=5,"")</f>
        <v>4.1666666666666664E-2</v>
      </c>
      <c r="X128" s="23"/>
      <c r="Y128" s="23" cm="1">
        <f t="array" ref="Y128">_xlfn.IFS($U128="","",AND($AD128&lt;=12,$AD128&gt;10),TIME(0,35,0),AND($AD128&lt;=10,$AD128&gt;5),TIME(0,20,0),AND($AD128&gt;12,$X128&lt;&gt;""),TIME(0,20,0),AND($AD128&gt;12,$X128=""),TIME(0,35,0),AND($AD128&gt;3,$AD128&lt;=5),TIME(0,10,0),$AD128&lt;=3,"")</f>
        <v>2.4305555555555556E-2</v>
      </c>
      <c r="Z128" s="23">
        <f t="shared" si="28"/>
        <v>6.9444444444444441E-3</v>
      </c>
      <c r="AA128" s="23"/>
      <c r="AB128" s="23"/>
      <c r="AC128" s="30"/>
      <c r="AD128" s="24">
        <f t="shared" si="23"/>
        <v>11.999999999999998</v>
      </c>
      <c r="AE128" s="23">
        <f t="shared" si="24"/>
        <v>7.2916666666666671E-2</v>
      </c>
      <c r="AF128" s="25">
        <f t="shared" si="25"/>
        <v>215.99999999999997</v>
      </c>
      <c r="AG128" s="25">
        <f t="shared" si="26"/>
        <v>184.49999999999997</v>
      </c>
      <c r="AH128" s="16">
        <f t="shared" si="27"/>
        <v>0.5468354430379746</v>
      </c>
      <c r="AI128" s="30"/>
      <c r="AJ128" s="14"/>
      <c r="AK128" s="30"/>
      <c r="AL128" s="30" t="s">
        <v>158</v>
      </c>
    </row>
    <row r="129" spans="1:38" ht="14.4" x14ac:dyDescent="0.3">
      <c r="A129" s="78">
        <v>46058</v>
      </c>
      <c r="B129" s="21">
        <f t="shared" si="21"/>
        <v>2</v>
      </c>
      <c r="C129" s="18" t="s">
        <v>97</v>
      </c>
      <c r="D129" s="14"/>
      <c r="E129" s="14"/>
      <c r="F129" s="14">
        <v>200</v>
      </c>
      <c r="G129" s="14">
        <v>110</v>
      </c>
      <c r="H129" s="14">
        <v>102</v>
      </c>
      <c r="I129" s="14"/>
      <c r="J129" s="14">
        <v>30</v>
      </c>
      <c r="K129" s="14"/>
      <c r="L129" s="14"/>
      <c r="M129" s="14"/>
      <c r="N129" s="14"/>
      <c r="O129" s="14"/>
      <c r="P129" s="14"/>
      <c r="Q129" s="14"/>
      <c r="R129" s="22">
        <f t="shared" si="22"/>
        <v>442</v>
      </c>
      <c r="S129" s="14"/>
      <c r="T129" s="31">
        <f>1+4</f>
        <v>5</v>
      </c>
      <c r="U129" s="23">
        <v>0.29166666666666669</v>
      </c>
      <c r="V129" s="23">
        <v>0.79166666666666663</v>
      </c>
      <c r="W129" s="23" cm="1">
        <f t="array" ref="W129">_xlfn.IFS($U129="","",$AD129&gt;=6,TIME(1,0,0),$AD129&lt;=5,"")</f>
        <v>4.1666666666666664E-2</v>
      </c>
      <c r="X129" s="23"/>
      <c r="Y129" s="23" cm="1">
        <f t="array" ref="Y129">_xlfn.IFS($U129="","",AND($AD129&lt;=12,$AD129&gt;10),TIME(0,35,0),AND($AD129&lt;=10,$AD129&gt;5),TIME(0,20,0),AND($AD129&gt;12,$X129&lt;&gt;""),TIME(0,20,0),AND($AD129&gt;12,$X129=""),TIME(0,35,0),AND($AD129&gt;3,$AD129&lt;=5),TIME(0,10,0),$AD129&lt;=3,"")</f>
        <v>2.4305555555555556E-2</v>
      </c>
      <c r="Z129" s="23">
        <f t="shared" si="28"/>
        <v>6.9444444444444441E-3</v>
      </c>
      <c r="AA129" s="23"/>
      <c r="AB129" s="23"/>
      <c r="AC129" s="30"/>
      <c r="AD129" s="24">
        <f t="shared" si="23"/>
        <v>11.999999999999998</v>
      </c>
      <c r="AE129" s="23">
        <f t="shared" si="24"/>
        <v>7.2916666666666671E-2</v>
      </c>
      <c r="AF129" s="25">
        <f t="shared" si="25"/>
        <v>59.999999999999993</v>
      </c>
      <c r="AG129" s="25">
        <f t="shared" si="26"/>
        <v>51.249999999999993</v>
      </c>
      <c r="AH129" s="16">
        <f t="shared" si="27"/>
        <v>0.13574660633484162</v>
      </c>
      <c r="AI129" s="30"/>
      <c r="AJ129" s="14"/>
      <c r="AK129" s="30"/>
      <c r="AL129" s="30"/>
    </row>
    <row r="130" spans="1:38" ht="14.4" x14ac:dyDescent="0.3">
      <c r="A130" s="78">
        <v>46058</v>
      </c>
      <c r="B130" s="21">
        <f t="shared" si="21"/>
        <v>2</v>
      </c>
      <c r="C130" s="18" t="s">
        <v>98</v>
      </c>
      <c r="D130" s="14"/>
      <c r="E130" s="14"/>
      <c r="F130" s="14">
        <v>149</v>
      </c>
      <c r="G130" s="14">
        <v>97</v>
      </c>
      <c r="H130" s="14">
        <v>131</v>
      </c>
      <c r="I130" s="14"/>
      <c r="J130" s="14">
        <v>29</v>
      </c>
      <c r="K130" s="14"/>
      <c r="L130" s="14"/>
      <c r="M130" s="14"/>
      <c r="N130" s="14"/>
      <c r="O130" s="14"/>
      <c r="P130" s="14"/>
      <c r="Q130" s="14"/>
      <c r="R130" s="22">
        <f t="shared" si="22"/>
        <v>406</v>
      </c>
      <c r="S130" s="14"/>
      <c r="T130" s="31">
        <f>12+1+6+1</f>
        <v>20</v>
      </c>
      <c r="U130" s="23">
        <v>0.29166666666666669</v>
      </c>
      <c r="V130" s="23">
        <v>0.79166666666666663</v>
      </c>
      <c r="W130" s="23" cm="1">
        <f t="array" ref="W130">_xlfn.IFS($U130="","",$AD130&gt;=6,TIME(1,0,0),$AD130&lt;=5,"")</f>
        <v>4.1666666666666664E-2</v>
      </c>
      <c r="X130" s="23"/>
      <c r="Y130" s="23" cm="1">
        <f t="array" ref="Y130">_xlfn.IFS($U130="","",AND($AD130&lt;=12,$AD130&gt;10),TIME(0,35,0),AND($AD130&lt;=10,$AD130&gt;5),TIME(0,20,0),AND($AD130&gt;12,$X130&lt;&gt;""),TIME(0,20,0),AND($AD130&gt;12,$X130=""),TIME(0,35,0),AND($AD130&gt;3,$AD130&lt;=5),TIME(0,10,0),$AD130&lt;=3,"")</f>
        <v>2.4305555555555556E-2</v>
      </c>
      <c r="Z130" s="23">
        <f t="shared" si="28"/>
        <v>6.9444444444444441E-3</v>
      </c>
      <c r="AA130" s="23"/>
      <c r="AB130" s="23"/>
      <c r="AC130" s="30"/>
      <c r="AD130" s="24">
        <f t="shared" si="23"/>
        <v>11.999999999999998</v>
      </c>
      <c r="AE130" s="23">
        <f t="shared" si="24"/>
        <v>7.2916666666666671E-2</v>
      </c>
      <c r="AF130" s="25">
        <f t="shared" si="25"/>
        <v>239.99999999999997</v>
      </c>
      <c r="AG130" s="25">
        <f t="shared" si="26"/>
        <v>204.99999999999997</v>
      </c>
      <c r="AH130" s="16">
        <f t="shared" si="27"/>
        <v>0.59113300492610832</v>
      </c>
      <c r="AI130" s="30"/>
      <c r="AJ130" s="14"/>
      <c r="AK130" s="30"/>
      <c r="AL130" s="30"/>
    </row>
    <row r="131" spans="1:38" ht="14.4" x14ac:dyDescent="0.3">
      <c r="A131" s="83">
        <v>46058</v>
      </c>
      <c r="B131" s="84">
        <f t="shared" si="21"/>
        <v>2</v>
      </c>
      <c r="C131" s="85" t="s">
        <v>99</v>
      </c>
      <c r="D131" s="86">
        <v>10</v>
      </c>
      <c r="E131" s="86"/>
      <c r="F131" s="86">
        <f>11+2+45+21</f>
        <v>79</v>
      </c>
      <c r="G131" s="86">
        <v>97</v>
      </c>
      <c r="H131" s="86">
        <f>179+26</f>
        <v>205</v>
      </c>
      <c r="I131" s="86">
        <v>2</v>
      </c>
      <c r="J131" s="86">
        <f>22+2</f>
        <v>24</v>
      </c>
      <c r="K131" s="86"/>
      <c r="L131" s="86"/>
      <c r="M131" s="86"/>
      <c r="N131" s="86"/>
      <c r="O131" s="86"/>
      <c r="P131" s="86"/>
      <c r="Q131" s="86"/>
      <c r="R131" s="87">
        <f t="shared" si="22"/>
        <v>417</v>
      </c>
      <c r="S131" s="86"/>
      <c r="T131" s="88">
        <v>0</v>
      </c>
      <c r="U131" s="89">
        <v>0.29166666666666669</v>
      </c>
      <c r="V131" s="89">
        <v>0.875</v>
      </c>
      <c r="W131" s="89" cm="1">
        <f t="array" ref="W131">_xlfn.IFS($U131="","",$AD131&gt;=6,TIME(1,0,0),$AD131&lt;=5,"")</f>
        <v>4.1666666666666664E-2</v>
      </c>
      <c r="X131" s="89"/>
      <c r="Y131" s="89" cm="1">
        <f t="array" ref="Y131">_xlfn.IFS($U131="","",AND($AD131&lt;=12,$AD131&gt;10),TIME(0,35,0),AND($AD131&lt;=10,$AD131&gt;5),TIME(0,20,0),AND($AD131&gt;12,$X131&lt;&gt;""),TIME(0,20,0),AND($AD131&gt;12,$X131=""),TIME(0,35,0),AND($AD131&gt;3,$AD131&lt;=5),TIME(0,10,0),$AD131&lt;=3,"")</f>
        <v>2.4305555555555556E-2</v>
      </c>
      <c r="Z131" s="89">
        <f t="shared" si="28"/>
        <v>6.9444444444444441E-3</v>
      </c>
      <c r="AA131" s="89"/>
      <c r="AB131" s="89"/>
      <c r="AC131" s="93"/>
      <c r="AD131" s="90">
        <f t="shared" si="23"/>
        <v>13.999999999999998</v>
      </c>
      <c r="AE131" s="89">
        <f t="shared" si="24"/>
        <v>7.2916666666666671E-2</v>
      </c>
      <c r="AF131" s="91">
        <f t="shared" si="25"/>
        <v>0</v>
      </c>
      <c r="AG131" s="91">
        <f t="shared" si="26"/>
        <v>0</v>
      </c>
      <c r="AH131" s="92">
        <f t="shared" si="27"/>
        <v>0</v>
      </c>
      <c r="AI131" s="92">
        <f>IF(COUNTIF(A128:A131,A128)=4,1/SUM(AH128:AH131),"")</f>
        <v>0.78510495469523811</v>
      </c>
      <c r="AJ131" s="86"/>
      <c r="AK131" s="93"/>
      <c r="AL131" s="93" t="s">
        <v>161</v>
      </c>
    </row>
  </sheetData>
  <sheetProtection autoFilter="0"/>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65928-1232-4504-814F-4604107E6527}">
  <sheetPr>
    <tabColor rgb="FF00B050"/>
  </sheetPr>
  <dimension ref="B1:AU282"/>
  <sheetViews>
    <sheetView zoomScale="70" zoomScaleNormal="70" workbookViewId="0">
      <pane xSplit="4" ySplit="3" topLeftCell="E4" activePane="bottomRight" state="frozen"/>
      <selection activeCell="K18" sqref="K18"/>
      <selection pane="topRight" activeCell="K18" sqref="K18"/>
      <selection pane="bottomLeft" activeCell="K18" sqref="K18"/>
      <selection pane="bottomRight" activeCell="N15" sqref="N15"/>
    </sheetView>
  </sheetViews>
  <sheetFormatPr defaultColWidth="9.109375" defaultRowHeight="15" customHeight="1" x14ac:dyDescent="0.3"/>
  <cols>
    <col min="1" max="1" width="4.5546875" customWidth="1"/>
    <col min="2" max="2" width="9.33203125" customWidth="1"/>
    <col min="3" max="3" width="8.88671875" customWidth="1"/>
    <col min="4" max="4" width="9.109375" style="15" customWidth="1"/>
    <col min="5" max="17" width="9.109375" customWidth="1"/>
    <col min="18" max="19" width="8.5546875" customWidth="1"/>
    <col min="20" max="20" width="9.109375" customWidth="1"/>
    <col min="21" max="21" width="8.5546875" customWidth="1"/>
    <col min="22" max="23" width="9.109375" customWidth="1"/>
    <col min="24" max="25" width="8.88671875" customWidth="1"/>
    <col min="26" max="26" width="11.44140625" style="32" customWidth="1"/>
    <col min="27" max="27" width="13.21875" customWidth="1"/>
    <col min="28" max="28" width="11.44140625" customWidth="1"/>
    <col min="29" max="29" width="16.33203125" customWidth="1"/>
    <col min="30" max="30" width="17.6640625" customWidth="1"/>
    <col min="31" max="32" width="15" customWidth="1"/>
    <col min="33" max="33" width="16.21875" customWidth="1"/>
    <col min="34" max="34" width="14.6640625" customWidth="1"/>
    <col min="35" max="35" width="14.33203125" customWidth="1"/>
    <col min="36" max="36" width="16.109375" customWidth="1"/>
    <col min="37" max="37" width="15" customWidth="1"/>
    <col min="38" max="38" width="16.88671875" customWidth="1"/>
    <col min="39" max="39" width="15.44140625" customWidth="1"/>
    <col min="40" max="40" width="15" customWidth="1"/>
    <col min="41" max="41" width="8.44140625" customWidth="1"/>
    <col min="42" max="42" width="41" style="17" hidden="1" customWidth="1"/>
    <col min="43" max="43" width="18.33203125" style="33" hidden="1" customWidth="1"/>
    <col min="44" max="44" width="65.5546875" customWidth="1"/>
    <col min="45" max="45" width="13.88671875" bestFit="1" customWidth="1"/>
    <col min="46" max="46" width="11.33203125" bestFit="1" customWidth="1"/>
    <col min="47" max="47" width="11.33203125" customWidth="1"/>
    <col min="48" max="48" width="18.33203125" customWidth="1"/>
    <col min="49" max="49" width="9.6640625" customWidth="1"/>
    <col min="50" max="50" width="11.33203125" customWidth="1"/>
    <col min="51" max="51" width="17.6640625" customWidth="1"/>
    <col min="52" max="52" width="12.6640625" customWidth="1"/>
    <col min="53" max="53" width="11.109375" customWidth="1"/>
    <col min="54" max="54" width="11.44140625" customWidth="1"/>
    <col min="55" max="55" width="6.5546875" customWidth="1"/>
    <col min="56" max="56" width="8.33203125" customWidth="1"/>
    <col min="57" max="58" width="6.5546875" customWidth="1"/>
    <col min="59" max="60" width="9.6640625" customWidth="1"/>
    <col min="61" max="61" width="11.44140625" customWidth="1"/>
    <col min="62" max="74" width="12.6640625" customWidth="1"/>
    <col min="75" max="77" width="14.109375" customWidth="1"/>
    <col min="78" max="79" width="12.6640625" customWidth="1"/>
    <col min="80" max="80" width="13.44140625" customWidth="1"/>
    <col min="81" max="81" width="12.6640625" customWidth="1"/>
    <col min="82" max="82" width="13.44140625" customWidth="1"/>
    <col min="83" max="85" width="12.6640625" customWidth="1"/>
    <col min="86" max="89" width="14.109375" customWidth="1"/>
    <col min="90" max="90" width="5.5546875" customWidth="1"/>
    <col min="91" max="92" width="14.109375" bestFit="1" customWidth="1"/>
    <col min="93" max="101" width="11.6640625" bestFit="1" customWidth="1"/>
    <col min="102" max="102" width="21" bestFit="1" customWidth="1"/>
    <col min="103" max="103" width="27.44140625" bestFit="1" customWidth="1"/>
    <col min="104" max="104" width="11.33203125" bestFit="1" customWidth="1"/>
    <col min="105" max="105" width="17.6640625" bestFit="1" customWidth="1"/>
    <col min="106" max="106" width="11.33203125" bestFit="1" customWidth="1"/>
    <col min="107" max="107" width="17.6640625" bestFit="1" customWidth="1"/>
    <col min="108" max="108" width="11.33203125" bestFit="1" customWidth="1"/>
    <col min="109" max="109" width="17.6640625" bestFit="1" customWidth="1"/>
    <col min="110" max="110" width="11.33203125" bestFit="1" customWidth="1"/>
    <col min="111" max="111" width="17.6640625" bestFit="1" customWidth="1"/>
    <col min="112" max="112" width="11.33203125" bestFit="1" customWidth="1"/>
    <col min="113" max="113" width="17.6640625" bestFit="1" customWidth="1"/>
    <col min="114" max="114" width="11.33203125" bestFit="1" customWidth="1"/>
    <col min="115" max="115" width="17.6640625" bestFit="1" customWidth="1"/>
    <col min="116" max="116" width="11.33203125" bestFit="1" customWidth="1"/>
    <col min="117" max="117" width="17.6640625" bestFit="1" customWidth="1"/>
    <col min="118" max="118" width="11.33203125" bestFit="1" customWidth="1"/>
    <col min="119" max="119" width="17.6640625" bestFit="1" customWidth="1"/>
    <col min="120" max="120" width="11.33203125" bestFit="1" customWidth="1"/>
    <col min="121" max="121" width="17.6640625" bestFit="1" customWidth="1"/>
    <col min="122" max="122" width="11.33203125" bestFit="1" customWidth="1"/>
    <col min="123" max="123" width="17.6640625" bestFit="1" customWidth="1"/>
    <col min="124" max="124" width="11.33203125" bestFit="1" customWidth="1"/>
    <col min="125" max="125" width="17.6640625" bestFit="1" customWidth="1"/>
    <col min="126" max="126" width="11.33203125" bestFit="1" customWidth="1"/>
    <col min="127" max="127" width="17.6640625" bestFit="1" customWidth="1"/>
    <col min="128" max="128" width="11.33203125" bestFit="1" customWidth="1"/>
    <col min="129" max="129" width="17.6640625" bestFit="1" customWidth="1"/>
    <col min="130" max="130" width="11.33203125" bestFit="1" customWidth="1"/>
    <col min="131" max="131" width="17.6640625" bestFit="1" customWidth="1"/>
    <col min="132" max="132" width="11.33203125" bestFit="1" customWidth="1"/>
    <col min="133" max="133" width="17.6640625" bestFit="1" customWidth="1"/>
    <col min="134" max="134" width="11.33203125" bestFit="1" customWidth="1"/>
    <col min="135" max="135" width="17.6640625" bestFit="1" customWidth="1"/>
    <col min="136" max="136" width="11.33203125" bestFit="1" customWidth="1"/>
    <col min="137" max="137" width="17.6640625" bestFit="1" customWidth="1"/>
    <col min="138" max="138" width="11.33203125" bestFit="1" customWidth="1"/>
    <col min="139" max="139" width="17.6640625" bestFit="1" customWidth="1"/>
    <col min="140" max="140" width="11.33203125" bestFit="1" customWidth="1"/>
    <col min="141" max="141" width="17.6640625" bestFit="1" customWidth="1"/>
    <col min="142" max="142" width="11.33203125" bestFit="1" customWidth="1"/>
    <col min="143" max="143" width="17.6640625" bestFit="1" customWidth="1"/>
    <col min="144" max="144" width="11.33203125" bestFit="1" customWidth="1"/>
    <col min="145" max="145" width="17.6640625" bestFit="1" customWidth="1"/>
    <col min="146" max="146" width="11.33203125" bestFit="1" customWidth="1"/>
    <col min="147" max="147" width="27.44140625" bestFit="1" customWidth="1"/>
    <col min="148" max="148" width="21" bestFit="1" customWidth="1"/>
  </cols>
  <sheetData>
    <row r="1" spans="2:47" ht="15" customHeight="1" x14ac:dyDescent="0.3">
      <c r="Z1"/>
    </row>
    <row r="2" spans="2:47" ht="27.6" customHeight="1" x14ac:dyDescent="0.3">
      <c r="E2" s="26">
        <f t="shared" ref="E2:Y2" si="0">SUBTOTAL(9,E4:E2091)</f>
        <v>26354</v>
      </c>
      <c r="F2" s="26">
        <f t="shared" si="0"/>
        <v>6204</v>
      </c>
      <c r="G2" s="26">
        <f t="shared" si="0"/>
        <v>2161</v>
      </c>
      <c r="H2" s="26">
        <f t="shared" si="0"/>
        <v>353</v>
      </c>
      <c r="I2" s="26">
        <f t="shared" si="0"/>
        <v>3886</v>
      </c>
      <c r="J2" s="26">
        <f t="shared" si="0"/>
        <v>6866</v>
      </c>
      <c r="K2" s="26">
        <f t="shared" si="0"/>
        <v>6742</v>
      </c>
      <c r="L2" s="26">
        <f t="shared" si="0"/>
        <v>570</v>
      </c>
      <c r="M2" s="26">
        <f t="shared" si="0"/>
        <v>610</v>
      </c>
      <c r="N2" s="26">
        <f t="shared" si="0"/>
        <v>43</v>
      </c>
      <c r="O2" s="26">
        <f t="shared" si="0"/>
        <v>2039</v>
      </c>
      <c r="P2" s="26">
        <f t="shared" si="0"/>
        <v>10</v>
      </c>
      <c r="Q2" s="26">
        <f t="shared" si="0"/>
        <v>67011</v>
      </c>
      <c r="R2" s="26">
        <f t="shared" si="0"/>
        <v>37</v>
      </c>
      <c r="S2" s="26">
        <f t="shared" si="0"/>
        <v>357</v>
      </c>
      <c r="T2" s="26">
        <f t="shared" si="0"/>
        <v>2248</v>
      </c>
      <c r="U2" s="26">
        <f t="shared" si="0"/>
        <v>2910</v>
      </c>
      <c r="V2" s="26">
        <f t="shared" si="0"/>
        <v>3480</v>
      </c>
      <c r="W2" s="26">
        <f t="shared" si="0"/>
        <v>897</v>
      </c>
      <c r="X2" s="26">
        <f t="shared" si="0"/>
        <v>133073</v>
      </c>
      <c r="Y2" s="26">
        <f t="shared" si="0"/>
        <v>0</v>
      </c>
      <c r="Z2" s="26">
        <f>SUBTOTAL(1,Z4:Z2091)</f>
        <v>29.825925925925926</v>
      </c>
      <c r="AC2" s="17" t="s">
        <v>0</v>
      </c>
      <c r="AD2" s="17" t="s">
        <v>0</v>
      </c>
      <c r="AE2" s="17" t="s">
        <v>0</v>
      </c>
      <c r="AF2" s="17" t="s">
        <v>0</v>
      </c>
      <c r="AG2" s="28">
        <f>(SUBTOTAL(9,AG4:AG2091))*24</f>
        <v>164.25</v>
      </c>
      <c r="AH2" s="28">
        <f>(SUBTOTAL(9,AH4:AH2091))*24</f>
        <v>26.083333333333336</v>
      </c>
      <c r="AI2" s="28">
        <f>(SUBTOTAL(9,AI4:AI2091))*24</f>
        <v>299.4166666666668</v>
      </c>
      <c r="AJ2" s="28">
        <f>SUBTOTAL(9,AJ4:AJ2091)</f>
        <v>3213</v>
      </c>
      <c r="AK2" s="28">
        <f>(SUBTOTAL(9,AK4:AK2091))*24</f>
        <v>469.50000000000011</v>
      </c>
      <c r="AL2" s="28">
        <f>SUBTOTAL(9,AL4:AL2091)</f>
        <v>95897</v>
      </c>
      <c r="AM2" s="28">
        <f>SUBTOTAL(9,AM4:AM2091)</f>
        <v>77671.166666666657</v>
      </c>
      <c r="AN2" s="29">
        <f>SUBTOTAL(1,AN4:AN2091)</f>
        <v>0.74904438446291932</v>
      </c>
      <c r="AO2" s="29"/>
      <c r="AQ2" s="26">
        <f>SUBTOTAL(3,$AQ$4:$AQ$287)</f>
        <v>11</v>
      </c>
    </row>
    <row r="3" spans="2:47" ht="14.4" x14ac:dyDescent="0.3">
      <c r="B3" s="76" t="s">
        <v>1</v>
      </c>
      <c r="C3" s="20" t="s">
        <v>2</v>
      </c>
      <c r="D3" s="20" t="s">
        <v>3</v>
      </c>
      <c r="E3" s="20" t="s">
        <v>162</v>
      </c>
      <c r="F3" s="20" t="s">
        <v>163</v>
      </c>
      <c r="G3" s="20" t="s">
        <v>164</v>
      </c>
      <c r="H3" s="20" t="s">
        <v>165</v>
      </c>
      <c r="I3" s="20" t="s">
        <v>166</v>
      </c>
      <c r="J3" s="20" t="s">
        <v>167</v>
      </c>
      <c r="K3" s="20" t="s">
        <v>398</v>
      </c>
      <c r="L3" s="20" t="s">
        <v>168</v>
      </c>
      <c r="M3" s="20" t="s">
        <v>169</v>
      </c>
      <c r="N3" s="20" t="s">
        <v>170</v>
      </c>
      <c r="O3" s="20" t="s">
        <v>171</v>
      </c>
      <c r="P3" s="20" t="s">
        <v>172</v>
      </c>
      <c r="Q3" s="20" t="s">
        <v>36</v>
      </c>
      <c r="R3" s="20" t="s">
        <v>399</v>
      </c>
      <c r="S3" s="20" t="s">
        <v>173</v>
      </c>
      <c r="T3" s="20" t="s">
        <v>174</v>
      </c>
      <c r="U3" s="20" t="s">
        <v>6</v>
      </c>
      <c r="V3" s="20" t="s">
        <v>7</v>
      </c>
      <c r="W3" s="20" t="s">
        <v>37</v>
      </c>
      <c r="X3" s="20" t="s">
        <v>8</v>
      </c>
      <c r="Y3" s="20" t="s">
        <v>9</v>
      </c>
      <c r="Z3" s="20" t="s">
        <v>10</v>
      </c>
      <c r="AA3" s="20" t="s">
        <v>11</v>
      </c>
      <c r="AB3" s="20" t="s">
        <v>12</v>
      </c>
      <c r="AC3" s="20" t="s">
        <v>13</v>
      </c>
      <c r="AD3" s="20" t="s">
        <v>14</v>
      </c>
      <c r="AE3" s="20" t="s">
        <v>15</v>
      </c>
      <c r="AF3" s="20" t="s">
        <v>16</v>
      </c>
      <c r="AG3" s="20" t="s">
        <v>17</v>
      </c>
      <c r="AH3" s="20" t="s">
        <v>175</v>
      </c>
      <c r="AI3" s="20" t="s">
        <v>18</v>
      </c>
      <c r="AJ3" s="20" t="s">
        <v>19</v>
      </c>
      <c r="AK3" s="20" t="s">
        <v>20</v>
      </c>
      <c r="AL3" s="20" t="s">
        <v>21</v>
      </c>
      <c r="AM3" s="20" t="s">
        <v>22</v>
      </c>
      <c r="AN3" s="20" t="s">
        <v>23</v>
      </c>
      <c r="AO3" s="20" t="s">
        <v>24</v>
      </c>
      <c r="AP3" s="20" t="s">
        <v>25</v>
      </c>
      <c r="AQ3" s="20" t="s">
        <v>26</v>
      </c>
      <c r="AR3" s="20" t="s">
        <v>27</v>
      </c>
      <c r="AT3" s="1"/>
      <c r="AU3" s="1"/>
    </row>
    <row r="4" spans="2:47" ht="15" customHeight="1" x14ac:dyDescent="0.3">
      <c r="B4" s="97">
        <v>46023</v>
      </c>
      <c r="C4" s="21">
        <f t="shared" ref="C4:C199" si="1">IF($B4="","",MONTH(B4))</f>
        <v>1</v>
      </c>
      <c r="D4" s="36" t="s">
        <v>96</v>
      </c>
      <c r="E4" s="14">
        <v>332</v>
      </c>
      <c r="F4" s="14"/>
      <c r="G4" s="14"/>
      <c r="H4" s="14"/>
      <c r="I4" s="14"/>
      <c r="J4" s="14">
        <v>89</v>
      </c>
      <c r="K4" s="14">
        <v>125</v>
      </c>
      <c r="L4" s="14"/>
      <c r="M4" s="14"/>
      <c r="N4" s="14"/>
      <c r="O4" s="14"/>
      <c r="P4" s="14"/>
      <c r="Q4" s="14">
        <f>252+51</f>
        <v>303</v>
      </c>
      <c r="R4" s="14"/>
      <c r="S4" s="14"/>
      <c r="T4" s="14"/>
      <c r="U4" s="14"/>
      <c r="V4" s="14"/>
      <c r="W4" s="14"/>
      <c r="X4" s="22">
        <f t="shared" ref="X4:X11" si="2">SUM(E4:W4)</f>
        <v>849</v>
      </c>
      <c r="Y4" s="14"/>
      <c r="Z4" s="31">
        <f>18+12+21+9</f>
        <v>60</v>
      </c>
      <c r="AA4" s="23">
        <v>0.29166666666666669</v>
      </c>
      <c r="AB4" s="23">
        <v>0.79166666666666663</v>
      </c>
      <c r="AC4" s="23" cm="1">
        <f t="array" ref="AC4">_xlfn.IFS($AJ4="","",$AJ4&gt;=8,TIME(1,0,0),$AJ4&lt;=5,"")</f>
        <v>4.1666666666666664E-2</v>
      </c>
      <c r="AD4" s="23" t="str">
        <f t="shared" ref="AD4:AD34" si="3">IF(AND($AB4&gt;=TIME(21,0,0),$AJ4&gt;12),TIME(1,0,0),"")</f>
        <v/>
      </c>
      <c r="AE4" s="23" cm="1">
        <f t="array" ref="AE4">_xlfn.IFS($AA4="","",AND($AJ4&lt;=12,$AJ4&gt;10),TIME(0,35,0),AND($AJ4&lt;=10,$AJ4&gt;5),TIME(0,20,0),$AJ4&gt;12,TIME(0,20,0),AND(AJ4&gt;3,$AJ4&lt;=5),TIME(0,10,0),$AJ4&lt;3,"")</f>
        <v>2.4305555555555556E-2</v>
      </c>
      <c r="AF4" s="23">
        <f t="shared" ref="AF4:AF31" si="4">IF($AA4&lt;&gt;"",TIME(0,10,0),"")</f>
        <v>6.9444444444444441E-3</v>
      </c>
      <c r="AG4" s="23"/>
      <c r="AH4" s="30"/>
      <c r="AI4" s="30"/>
      <c r="AJ4" s="24">
        <f t="shared" ref="AJ4:AJ31" si="5">IF($AA4="","",MOD($AB4-$AA4,1)*24)</f>
        <v>11.999999999999998</v>
      </c>
      <c r="AK4" s="23">
        <f t="shared" ref="AK4:AK31" si="6">IF($AA4="","",SUM($AC4:$AF4))</f>
        <v>7.2916666666666671E-2</v>
      </c>
      <c r="AL4" s="25">
        <f t="shared" ref="AL4:AL31" si="7">IF(OR($Z4="",$AJ4=""),"",$AJ4*$Z4)</f>
        <v>719.99999999999989</v>
      </c>
      <c r="AM4" s="25">
        <f t="shared" ref="AM4:AM31" si="8">IF(OR($Z4="",$AJ4=""),"",($AJ4-($AK4+$AG4)*24)*$Z4)</f>
        <v>614.99999999999989</v>
      </c>
      <c r="AN4" s="16">
        <f t="shared" ref="AN4:AN31" si="9">IF(OR($X4=0,$Z4="",$AL4=""),"",$AL4/$X4)</f>
        <v>0.84805653710247342</v>
      </c>
      <c r="AO4" s="38"/>
      <c r="AP4" s="19"/>
      <c r="AQ4" s="34"/>
      <c r="AR4" s="30"/>
    </row>
    <row r="5" spans="2:47" ht="15" customHeight="1" x14ac:dyDescent="0.3">
      <c r="B5" s="97">
        <v>46023</v>
      </c>
      <c r="C5" s="21">
        <f t="shared" si="1"/>
        <v>1</v>
      </c>
      <c r="D5" s="36" t="s">
        <v>96</v>
      </c>
      <c r="E5" s="14">
        <v>70</v>
      </c>
      <c r="F5" s="14"/>
      <c r="G5" s="14"/>
      <c r="H5" s="14"/>
      <c r="I5" s="14"/>
      <c r="J5" s="14"/>
      <c r="K5" s="14">
        <v>50</v>
      </c>
      <c r="L5" s="14"/>
      <c r="M5" s="14"/>
      <c r="N5" s="14"/>
      <c r="O5" s="14"/>
      <c r="P5" s="14"/>
      <c r="Q5" s="14">
        <v>233</v>
      </c>
      <c r="R5" s="14"/>
      <c r="S5" s="14"/>
      <c r="T5" s="14"/>
      <c r="U5" s="14"/>
      <c r="V5" s="14"/>
      <c r="W5" s="14"/>
      <c r="X5" s="22">
        <f t="shared" si="2"/>
        <v>353</v>
      </c>
      <c r="Y5" s="14"/>
      <c r="Z5" s="31">
        <f>22+1+8</f>
        <v>31</v>
      </c>
      <c r="AA5" s="23">
        <v>0.79166666666666663</v>
      </c>
      <c r="AB5" s="23">
        <v>0.29166666666666669</v>
      </c>
      <c r="AC5" s="23" cm="1">
        <f t="array" ref="AC5">_xlfn.IFS($AJ5="","",$AJ5&gt;=8,TIME(1,0,0),$AJ5&lt;=5,"")</f>
        <v>4.1666666666666664E-2</v>
      </c>
      <c r="AD5" s="23" t="str">
        <f t="shared" si="3"/>
        <v/>
      </c>
      <c r="AE5" s="23" cm="1">
        <f t="array" ref="AE5">_xlfn.IFS($AA5="","",AND($AJ5&lt;=12,$AJ5&gt;10),TIME(0,35,0),AND($AJ5&lt;=10,$AJ5&gt;5),TIME(0,20,0),$AJ5&gt;12,TIME(0,20,0),AND(AJ5&gt;3,$AJ5&lt;=5),TIME(0,10,0),$AJ5&lt;3,"")</f>
        <v>2.4305555555555556E-2</v>
      </c>
      <c r="AF5" s="23">
        <f t="shared" si="4"/>
        <v>6.9444444444444441E-3</v>
      </c>
      <c r="AG5" s="23"/>
      <c r="AH5" s="30"/>
      <c r="AI5" s="30"/>
      <c r="AJ5" s="24">
        <f t="shared" si="5"/>
        <v>12</v>
      </c>
      <c r="AK5" s="23">
        <f t="shared" si="6"/>
        <v>7.2916666666666671E-2</v>
      </c>
      <c r="AL5" s="25">
        <f t="shared" si="7"/>
        <v>372</v>
      </c>
      <c r="AM5" s="25">
        <f t="shared" si="8"/>
        <v>317.75</v>
      </c>
      <c r="AN5" s="16">
        <f t="shared" si="9"/>
        <v>1.0538243626062322</v>
      </c>
      <c r="AO5" s="38"/>
      <c r="AP5" s="19"/>
      <c r="AQ5" s="34"/>
      <c r="AR5" s="30"/>
    </row>
    <row r="6" spans="2:47" ht="15" customHeight="1" x14ac:dyDescent="0.3">
      <c r="B6" s="97">
        <v>46023</v>
      </c>
      <c r="C6" s="21">
        <f t="shared" si="1"/>
        <v>1</v>
      </c>
      <c r="D6" s="18" t="s">
        <v>97</v>
      </c>
      <c r="E6" s="14">
        <v>172</v>
      </c>
      <c r="F6" s="14"/>
      <c r="G6" s="14"/>
      <c r="H6" s="14"/>
      <c r="I6" s="14"/>
      <c r="J6" s="14">
        <v>65</v>
      </c>
      <c r="K6" s="14">
        <v>42</v>
      </c>
      <c r="L6" s="14"/>
      <c r="M6" s="14"/>
      <c r="N6" s="14"/>
      <c r="O6" s="14"/>
      <c r="P6" s="14"/>
      <c r="Q6" s="14">
        <v>258</v>
      </c>
      <c r="R6" s="14"/>
      <c r="S6" s="14"/>
      <c r="T6" s="14"/>
      <c r="U6" s="14"/>
      <c r="V6" s="14"/>
      <c r="W6" s="14"/>
      <c r="X6" s="22">
        <f t="shared" si="2"/>
        <v>537</v>
      </c>
      <c r="Y6" s="14"/>
      <c r="Z6" s="31">
        <f>3+3</f>
        <v>6</v>
      </c>
      <c r="AA6" s="23">
        <v>0.29166666666666669</v>
      </c>
      <c r="AB6" s="23">
        <v>0.79166666666666663</v>
      </c>
      <c r="AC6" s="23" cm="1">
        <f t="array" ref="AC6">_xlfn.IFS($AJ6="","",$AJ6&gt;=8,TIME(1,0,0),$AJ6&lt;=5,"")</f>
        <v>4.1666666666666664E-2</v>
      </c>
      <c r="AD6" s="23" t="str">
        <f t="shared" si="3"/>
        <v/>
      </c>
      <c r="AE6" s="23" cm="1">
        <f t="array" ref="AE6">_xlfn.IFS($AA6="","",AND($AJ6&lt;=12,$AJ6&gt;10),TIME(0,35,0),AND($AJ6&lt;=10,$AJ6&gt;5),TIME(0,20,0),$AJ6&gt;12,TIME(0,20,0),AND(AJ6&gt;3,$AJ6&lt;=5),TIME(0,10,0),$AJ6&lt;3,"")</f>
        <v>2.4305555555555556E-2</v>
      </c>
      <c r="AF6" s="23">
        <f t="shared" si="4"/>
        <v>6.9444444444444441E-3</v>
      </c>
      <c r="AG6" s="23">
        <v>6.25E-2</v>
      </c>
      <c r="AH6" s="30"/>
      <c r="AI6" s="23">
        <v>0.16666666666666666</v>
      </c>
      <c r="AJ6" s="24">
        <f t="shared" si="5"/>
        <v>11.999999999999998</v>
      </c>
      <c r="AK6" s="23">
        <f t="shared" si="6"/>
        <v>7.2916666666666671E-2</v>
      </c>
      <c r="AL6" s="25">
        <f t="shared" si="7"/>
        <v>71.999999999999986</v>
      </c>
      <c r="AM6" s="25">
        <f t="shared" si="8"/>
        <v>52.499999999999986</v>
      </c>
      <c r="AN6" s="16">
        <f t="shared" si="9"/>
        <v>0.13407821229050276</v>
      </c>
      <c r="AO6" s="38"/>
      <c r="AP6" s="19"/>
      <c r="AQ6" s="34"/>
      <c r="AR6" s="30" t="s">
        <v>177</v>
      </c>
    </row>
    <row r="7" spans="2:47" ht="15" customHeight="1" x14ac:dyDescent="0.3">
      <c r="B7" s="97">
        <v>46023</v>
      </c>
      <c r="C7" s="21">
        <f t="shared" si="1"/>
        <v>1</v>
      </c>
      <c r="D7" s="18" t="s">
        <v>97</v>
      </c>
      <c r="E7" s="14">
        <v>149</v>
      </c>
      <c r="F7" s="14"/>
      <c r="G7" s="14"/>
      <c r="H7" s="14"/>
      <c r="I7" s="14">
        <v>5</v>
      </c>
      <c r="J7" s="14">
        <v>62</v>
      </c>
      <c r="K7" s="14">
        <v>71</v>
      </c>
      <c r="L7" s="14"/>
      <c r="M7" s="14"/>
      <c r="N7" s="14"/>
      <c r="O7" s="14"/>
      <c r="P7" s="14"/>
      <c r="Q7" s="14">
        <v>285</v>
      </c>
      <c r="R7" s="14"/>
      <c r="S7" s="14"/>
      <c r="T7" s="14"/>
      <c r="U7" s="14"/>
      <c r="V7" s="14"/>
      <c r="W7" s="14"/>
      <c r="X7" s="22">
        <f t="shared" si="2"/>
        <v>572</v>
      </c>
      <c r="Y7" s="14"/>
      <c r="Z7" s="31">
        <f>4+2</f>
        <v>6</v>
      </c>
      <c r="AA7" s="23">
        <v>0.79166666666666663</v>
      </c>
      <c r="AB7" s="23">
        <v>0.29166666666666669</v>
      </c>
      <c r="AC7" s="23" cm="1">
        <f t="array" ref="AC7">_xlfn.IFS($AJ7="","",$AJ7&gt;=8,TIME(1,0,0),$AJ7&lt;=5,"")</f>
        <v>4.1666666666666664E-2</v>
      </c>
      <c r="AD7" s="23" t="str">
        <f t="shared" si="3"/>
        <v/>
      </c>
      <c r="AE7" s="23" cm="1">
        <f t="array" ref="AE7">_xlfn.IFS($AA7="","",AND($AJ7&lt;=12,$AJ7&gt;10),TIME(0,35,0),AND($AJ7&lt;=10,$AJ7&gt;5),TIME(0,20,0),$AJ7&gt;12,TIME(0,20,0),AND(AJ7&gt;3,$AJ7&lt;=5),TIME(0,10,0),$AJ7&lt;3,"")</f>
        <v>2.4305555555555556E-2</v>
      </c>
      <c r="AF7" s="23">
        <f t="shared" si="4"/>
        <v>6.9444444444444441E-3</v>
      </c>
      <c r="AG7" s="23">
        <v>8.3333333333333329E-2</v>
      </c>
      <c r="AH7" s="30"/>
      <c r="AI7" s="30"/>
      <c r="AJ7" s="24">
        <f t="shared" si="5"/>
        <v>12</v>
      </c>
      <c r="AK7" s="23">
        <f t="shared" si="6"/>
        <v>7.2916666666666671E-2</v>
      </c>
      <c r="AL7" s="25">
        <f t="shared" si="7"/>
        <v>72</v>
      </c>
      <c r="AM7" s="25">
        <f t="shared" si="8"/>
        <v>49.5</v>
      </c>
      <c r="AN7" s="16">
        <f t="shared" si="9"/>
        <v>0.12587412587412589</v>
      </c>
      <c r="AO7" s="38"/>
      <c r="AP7" s="19"/>
      <c r="AQ7" s="34"/>
      <c r="AR7" s="30" t="s">
        <v>178</v>
      </c>
    </row>
    <row r="8" spans="2:47" ht="15" customHeight="1" x14ac:dyDescent="0.3">
      <c r="B8" s="97">
        <v>46023</v>
      </c>
      <c r="C8" s="21">
        <f t="shared" si="1"/>
        <v>1</v>
      </c>
      <c r="D8" s="18" t="s">
        <v>98</v>
      </c>
      <c r="E8" s="14">
        <v>160</v>
      </c>
      <c r="F8" s="14">
        <v>1</v>
      </c>
      <c r="G8" s="14"/>
      <c r="H8" s="14"/>
      <c r="I8" s="14"/>
      <c r="J8" s="14">
        <v>74</v>
      </c>
      <c r="K8" s="14">
        <v>18</v>
      </c>
      <c r="L8" s="14">
        <v>1</v>
      </c>
      <c r="M8" s="14"/>
      <c r="N8" s="14">
        <v>6</v>
      </c>
      <c r="O8" s="14"/>
      <c r="P8" s="14"/>
      <c r="Q8" s="14">
        <v>255</v>
      </c>
      <c r="R8" s="14"/>
      <c r="S8" s="14"/>
      <c r="T8" s="14"/>
      <c r="U8" s="14"/>
      <c r="V8" s="14"/>
      <c r="W8" s="14">
        <v>9</v>
      </c>
      <c r="X8" s="22">
        <f t="shared" si="2"/>
        <v>524</v>
      </c>
      <c r="Y8" s="14"/>
      <c r="Z8" s="31">
        <f>17+2+19</f>
        <v>38</v>
      </c>
      <c r="AA8" s="23">
        <v>0.29166666666666669</v>
      </c>
      <c r="AB8" s="23">
        <v>0.79166666666666663</v>
      </c>
      <c r="AC8" s="23" cm="1">
        <f t="array" ref="AC8">_xlfn.IFS($AJ8="","",$AJ8&gt;=8,TIME(1,0,0),$AJ8&lt;=5,"")</f>
        <v>4.1666666666666664E-2</v>
      </c>
      <c r="AD8" s="23" t="str">
        <f t="shared" si="3"/>
        <v/>
      </c>
      <c r="AE8" s="23" cm="1">
        <f t="array" ref="AE8">_xlfn.IFS($AA8="","",AND($AJ8&lt;=12,$AJ8&gt;10),TIME(0,35,0),AND($AJ8&lt;=10,$AJ8&gt;5),TIME(0,20,0),$AJ8&gt;12,TIME(0,20,0),AND(AJ8&gt;3,$AJ8&lt;=5),TIME(0,10,0),$AJ8&lt;3,"")</f>
        <v>2.4305555555555556E-2</v>
      </c>
      <c r="AF8" s="23">
        <f t="shared" si="4"/>
        <v>6.9444444444444441E-3</v>
      </c>
      <c r="AG8" s="23"/>
      <c r="AH8" s="30"/>
      <c r="AI8" s="30"/>
      <c r="AJ8" s="24">
        <f t="shared" si="5"/>
        <v>11.999999999999998</v>
      </c>
      <c r="AK8" s="23">
        <f t="shared" si="6"/>
        <v>7.2916666666666671E-2</v>
      </c>
      <c r="AL8" s="25">
        <f t="shared" si="7"/>
        <v>455.99999999999994</v>
      </c>
      <c r="AM8" s="25">
        <f t="shared" si="8"/>
        <v>389.49999999999994</v>
      </c>
      <c r="AN8" s="16">
        <f t="shared" si="9"/>
        <v>0.87022900763358768</v>
      </c>
      <c r="AO8" s="38"/>
      <c r="AP8" s="19"/>
      <c r="AQ8" s="34"/>
      <c r="AR8" s="19" t="s">
        <v>179</v>
      </c>
    </row>
    <row r="9" spans="2:47" ht="15" customHeight="1" x14ac:dyDescent="0.3">
      <c r="B9" s="97">
        <v>46023</v>
      </c>
      <c r="C9" s="21">
        <f t="shared" si="1"/>
        <v>1</v>
      </c>
      <c r="D9" s="18" t="s">
        <v>98</v>
      </c>
      <c r="E9" s="14">
        <v>173</v>
      </c>
      <c r="F9" s="14"/>
      <c r="G9" s="14"/>
      <c r="H9" s="14"/>
      <c r="I9" s="14"/>
      <c r="J9" s="14">
        <v>70</v>
      </c>
      <c r="K9" s="14">
        <v>69</v>
      </c>
      <c r="L9" s="14"/>
      <c r="M9" s="14"/>
      <c r="N9" s="14"/>
      <c r="O9" s="14"/>
      <c r="P9" s="14"/>
      <c r="Q9" s="14">
        <v>219</v>
      </c>
      <c r="R9" s="14"/>
      <c r="S9" s="14"/>
      <c r="T9" s="14"/>
      <c r="U9" s="14"/>
      <c r="V9" s="14"/>
      <c r="W9" s="14"/>
      <c r="X9" s="22">
        <f t="shared" si="2"/>
        <v>531</v>
      </c>
      <c r="Y9" s="14"/>
      <c r="Z9" s="31">
        <f>16+9+11</f>
        <v>36</v>
      </c>
      <c r="AA9" s="23">
        <v>0.79166666666666663</v>
      </c>
      <c r="AB9" s="23">
        <v>0.29166666666666669</v>
      </c>
      <c r="AC9" s="23" cm="1">
        <f t="array" ref="AC9">_xlfn.IFS($AJ9="","",$AJ9&gt;=8,TIME(1,0,0),$AJ9&lt;=5,"")</f>
        <v>4.1666666666666664E-2</v>
      </c>
      <c r="AD9" s="23" t="str">
        <f t="shared" si="3"/>
        <v/>
      </c>
      <c r="AE9" s="23" cm="1">
        <f t="array" ref="AE9">_xlfn.IFS($AA9="","",AND($AJ9&lt;=12,$AJ9&gt;10),TIME(0,35,0),AND($AJ9&lt;=10,$AJ9&gt;5),TIME(0,20,0),$AJ9&gt;12,TIME(0,20,0),AND(AJ9&gt;3,$AJ9&lt;=5),TIME(0,10,0),$AJ9&lt;3,"")</f>
        <v>2.4305555555555556E-2</v>
      </c>
      <c r="AF9" s="23">
        <f t="shared" si="4"/>
        <v>6.9444444444444441E-3</v>
      </c>
      <c r="AG9" s="23">
        <v>3.125E-2</v>
      </c>
      <c r="AH9" s="30"/>
      <c r="AI9" s="30"/>
      <c r="AJ9" s="24">
        <f t="shared" si="5"/>
        <v>12</v>
      </c>
      <c r="AK9" s="23">
        <f t="shared" si="6"/>
        <v>7.2916666666666671E-2</v>
      </c>
      <c r="AL9" s="25">
        <f t="shared" si="7"/>
        <v>432</v>
      </c>
      <c r="AM9" s="25">
        <f t="shared" si="8"/>
        <v>342</v>
      </c>
      <c r="AN9" s="16">
        <f t="shared" si="9"/>
        <v>0.81355932203389836</v>
      </c>
      <c r="AO9" s="38"/>
      <c r="AP9" s="19"/>
      <c r="AQ9" s="34"/>
      <c r="AR9" s="19" t="s">
        <v>180</v>
      </c>
    </row>
    <row r="10" spans="2:47" ht="15" customHeight="1" x14ac:dyDescent="0.3">
      <c r="B10" s="97">
        <v>46023</v>
      </c>
      <c r="C10" s="21">
        <f t="shared" si="1"/>
        <v>1</v>
      </c>
      <c r="D10" s="18" t="s">
        <v>99</v>
      </c>
      <c r="E10" s="14">
        <v>98</v>
      </c>
      <c r="F10" s="14"/>
      <c r="G10" s="14"/>
      <c r="H10" s="14"/>
      <c r="I10" s="14"/>
      <c r="J10" s="14">
        <v>51</v>
      </c>
      <c r="K10" s="14"/>
      <c r="L10" s="14"/>
      <c r="M10" s="14"/>
      <c r="N10" s="14"/>
      <c r="O10" s="14"/>
      <c r="P10" s="14"/>
      <c r="Q10" s="14">
        <f>211+2+4</f>
        <v>217</v>
      </c>
      <c r="R10" s="14"/>
      <c r="S10" s="14"/>
      <c r="T10" s="14">
        <v>1</v>
      </c>
      <c r="U10" s="14"/>
      <c r="V10" s="14"/>
      <c r="W10" s="14">
        <v>4</v>
      </c>
      <c r="X10" s="22">
        <f t="shared" si="2"/>
        <v>371</v>
      </c>
      <c r="Y10" s="14"/>
      <c r="Z10" s="31">
        <f>19+6+7</f>
        <v>32</v>
      </c>
      <c r="AA10" s="23">
        <v>0.29166666666666669</v>
      </c>
      <c r="AB10" s="23">
        <v>0.79166666666666663</v>
      </c>
      <c r="AC10" s="23" cm="1">
        <f t="array" ref="AC10">_xlfn.IFS($AJ10="","",$AJ10&gt;=8,TIME(1,0,0),$AJ10&lt;=5,"")</f>
        <v>4.1666666666666664E-2</v>
      </c>
      <c r="AD10" s="23" t="str">
        <f t="shared" si="3"/>
        <v/>
      </c>
      <c r="AE10" s="23" cm="1">
        <f t="array" ref="AE10">_xlfn.IFS($AA10="","",AND($AJ10&lt;=12,$AJ10&gt;10),TIME(0,35,0),AND($AJ10&lt;=10,$AJ10&gt;5),TIME(0,20,0),$AJ10&gt;12,TIME(0,20,0),AND(AJ10&gt;3,$AJ10&lt;=5),TIME(0,10,0),$AJ10&lt;3,"")</f>
        <v>2.4305555555555556E-2</v>
      </c>
      <c r="AF10" s="23">
        <f t="shared" si="4"/>
        <v>6.9444444444444441E-3</v>
      </c>
      <c r="AG10" s="23"/>
      <c r="AH10" s="30"/>
      <c r="AI10" s="30"/>
      <c r="AJ10" s="24">
        <f t="shared" si="5"/>
        <v>11.999999999999998</v>
      </c>
      <c r="AK10" s="23">
        <f t="shared" si="6"/>
        <v>7.2916666666666671E-2</v>
      </c>
      <c r="AL10" s="25">
        <f t="shared" si="7"/>
        <v>383.99999999999994</v>
      </c>
      <c r="AM10" s="25">
        <f t="shared" si="8"/>
        <v>327.99999999999994</v>
      </c>
      <c r="AN10" s="16">
        <f t="shared" si="9"/>
        <v>1.0350404312668462</v>
      </c>
      <c r="AO10" s="38"/>
      <c r="AP10" s="19"/>
      <c r="AQ10" s="34"/>
      <c r="AR10" s="30" t="s">
        <v>181</v>
      </c>
    </row>
    <row r="11" spans="2:47" ht="15" customHeight="1" x14ac:dyDescent="0.3">
      <c r="B11" s="97">
        <v>46023</v>
      </c>
      <c r="C11" s="21">
        <f t="shared" si="1"/>
        <v>1</v>
      </c>
      <c r="D11" s="18" t="s">
        <v>99</v>
      </c>
      <c r="E11" s="14">
        <v>186</v>
      </c>
      <c r="F11" s="14"/>
      <c r="G11" s="14"/>
      <c r="H11" s="14"/>
      <c r="I11" s="14"/>
      <c r="J11" s="14">
        <v>81</v>
      </c>
      <c r="K11" s="14">
        <v>58</v>
      </c>
      <c r="L11" s="14"/>
      <c r="M11" s="14"/>
      <c r="N11" s="14">
        <v>2</v>
      </c>
      <c r="O11" s="14"/>
      <c r="P11" s="14"/>
      <c r="Q11" s="14">
        <f>74+168+1</f>
        <v>243</v>
      </c>
      <c r="R11" s="14"/>
      <c r="S11" s="14"/>
      <c r="T11" s="14">
        <v>1</v>
      </c>
      <c r="U11" s="14"/>
      <c r="V11" s="14"/>
      <c r="W11" s="14">
        <v>5</v>
      </c>
      <c r="X11" s="22">
        <f t="shared" si="2"/>
        <v>576</v>
      </c>
      <c r="Y11" s="14"/>
      <c r="Z11" s="31">
        <v>35</v>
      </c>
      <c r="AA11" s="23">
        <v>0.79166666666666663</v>
      </c>
      <c r="AB11" s="23">
        <v>0.29166666666666669</v>
      </c>
      <c r="AC11" s="23" cm="1">
        <f t="array" ref="AC11">_xlfn.IFS($AJ11="","",$AJ11&gt;=8,TIME(1,0,0),$AJ11&lt;=5,"")</f>
        <v>4.1666666666666664E-2</v>
      </c>
      <c r="AD11" s="23" t="str">
        <f t="shared" si="3"/>
        <v/>
      </c>
      <c r="AE11" s="23" cm="1">
        <f t="array" ref="AE11">_xlfn.IFS($AA11="","",AND($AJ11&lt;=12,$AJ11&gt;10),TIME(0,35,0),AND($AJ11&lt;=10,$AJ11&gt;5),TIME(0,20,0),$AJ11&gt;12,TIME(0,20,0),AND(AJ11&gt;3,$AJ11&lt;=5),TIME(0,10,0),$AJ11&lt;3,"")</f>
        <v>2.4305555555555556E-2</v>
      </c>
      <c r="AF11" s="23">
        <f t="shared" si="4"/>
        <v>6.9444444444444441E-3</v>
      </c>
      <c r="AG11" s="23"/>
      <c r="AH11" s="30"/>
      <c r="AI11" s="30"/>
      <c r="AJ11" s="24">
        <f t="shared" si="5"/>
        <v>12</v>
      </c>
      <c r="AK11" s="23">
        <f t="shared" si="6"/>
        <v>7.2916666666666671E-2</v>
      </c>
      <c r="AL11" s="25">
        <f t="shared" si="7"/>
        <v>420</v>
      </c>
      <c r="AM11" s="25">
        <f t="shared" si="8"/>
        <v>358.75</v>
      </c>
      <c r="AN11" s="16">
        <f t="shared" si="9"/>
        <v>0.72916666666666663</v>
      </c>
      <c r="AO11" s="16">
        <f>IF(COUNTIF(B4:B11,B4)=8,1/SUM(AN4:AN11),"")</f>
        <v>0.17825856360899145</v>
      </c>
      <c r="AP11" s="19"/>
      <c r="AQ11" s="34"/>
      <c r="AR11" s="30"/>
    </row>
    <row r="12" spans="2:47" ht="15" customHeight="1" x14ac:dyDescent="0.3">
      <c r="B12" s="98">
        <v>46024</v>
      </c>
      <c r="C12" s="21">
        <f t="shared" si="1"/>
        <v>1</v>
      </c>
      <c r="D12" s="36" t="s">
        <v>96</v>
      </c>
      <c r="E12" s="14">
        <v>303</v>
      </c>
      <c r="F12" s="14"/>
      <c r="G12" s="14"/>
      <c r="H12" s="14"/>
      <c r="I12" s="14">
        <v>97</v>
      </c>
      <c r="J12" s="14"/>
      <c r="K12" s="14">
        <v>119</v>
      </c>
      <c r="L12" s="14"/>
      <c r="M12" s="14"/>
      <c r="N12" s="14"/>
      <c r="O12" s="14"/>
      <c r="P12" s="14"/>
      <c r="Q12" s="14">
        <f>122+97</f>
        <v>219</v>
      </c>
      <c r="R12" s="14"/>
      <c r="S12" s="14"/>
      <c r="T12" s="14"/>
      <c r="U12" s="14"/>
      <c r="V12" s="14"/>
      <c r="W12" s="14"/>
      <c r="X12" s="22">
        <f>SUM(E16:W16)</f>
        <v>465</v>
      </c>
      <c r="Y12" s="14"/>
      <c r="Z12" s="31">
        <f>15+9+6+18+9</f>
        <v>57</v>
      </c>
      <c r="AA12" s="23">
        <v>0.29166666666666669</v>
      </c>
      <c r="AB12" s="23">
        <v>0.79166666666666663</v>
      </c>
      <c r="AC12" s="23" cm="1">
        <f t="array" ref="AC12">_xlfn.IFS($AJ12="","",$AJ12&gt;=8,TIME(1,0,0),$AJ12&lt;=5,"")</f>
        <v>4.1666666666666664E-2</v>
      </c>
      <c r="AD12" s="23" t="str">
        <f t="shared" si="3"/>
        <v/>
      </c>
      <c r="AE12" s="23" cm="1">
        <f t="array" ref="AE12">_xlfn.IFS($AA12="","",AND($AJ12&lt;=12,$AJ12&gt;10),TIME(0,35,0),AND($AJ12&lt;=10,$AJ12&gt;5),TIME(0,20,0),$AJ12&gt;12,TIME(0,20,0),AND(AJ12&gt;3,$AJ12&lt;=5),TIME(0,10,0),$AJ12&lt;3,"")</f>
        <v>2.4305555555555556E-2</v>
      </c>
      <c r="AF12" s="23">
        <f t="shared" si="4"/>
        <v>6.9444444444444441E-3</v>
      </c>
      <c r="AG12" s="23"/>
      <c r="AH12" s="30"/>
      <c r="AI12" s="23">
        <v>2.0833333333333332E-2</v>
      </c>
      <c r="AJ12" s="24">
        <f t="shared" si="5"/>
        <v>11.999999999999998</v>
      </c>
      <c r="AK12" s="23">
        <f t="shared" si="6"/>
        <v>7.2916666666666671E-2</v>
      </c>
      <c r="AL12" s="25">
        <f t="shared" si="7"/>
        <v>683.99999999999989</v>
      </c>
      <c r="AM12" s="25">
        <f t="shared" si="8"/>
        <v>584.24999999999989</v>
      </c>
      <c r="AN12" s="16">
        <f t="shared" si="9"/>
        <v>1.4709677419354836</v>
      </c>
      <c r="AO12" s="38"/>
      <c r="AP12" s="19"/>
      <c r="AQ12" s="34"/>
      <c r="AR12" s="30" t="s">
        <v>182</v>
      </c>
    </row>
    <row r="13" spans="2:47" ht="15" customHeight="1" x14ac:dyDescent="0.3">
      <c r="B13" s="98">
        <v>46024</v>
      </c>
      <c r="C13" s="21">
        <f t="shared" si="1"/>
        <v>1</v>
      </c>
      <c r="D13" s="36" t="s">
        <v>96</v>
      </c>
      <c r="E13" s="14"/>
      <c r="F13" s="14"/>
      <c r="G13" s="14"/>
      <c r="H13" s="14"/>
      <c r="I13" s="14"/>
      <c r="J13" s="14"/>
      <c r="K13" s="14"/>
      <c r="L13" s="14"/>
      <c r="M13" s="14"/>
      <c r="N13" s="14"/>
      <c r="O13" s="14"/>
      <c r="P13" s="14"/>
      <c r="Q13" s="14"/>
      <c r="R13" s="14"/>
      <c r="S13" s="14"/>
      <c r="T13" s="14"/>
      <c r="U13" s="14"/>
      <c r="V13" s="14"/>
      <c r="W13" s="14"/>
      <c r="X13" s="22">
        <f>SUM(E17:W17)</f>
        <v>568</v>
      </c>
      <c r="Y13" s="14"/>
      <c r="Z13" s="31"/>
      <c r="AA13" s="23"/>
      <c r="AB13" s="23"/>
      <c r="AC13" s="23" t="str" cm="1">
        <f t="array" ref="AC13">_xlfn.IFS($AJ13="","",$AJ13&gt;=8,TIME(1,0,0),$AJ13&lt;=5,"")</f>
        <v/>
      </c>
      <c r="AD13" s="23" t="str">
        <f t="shared" si="3"/>
        <v/>
      </c>
      <c r="AE13" s="23" t="str" cm="1">
        <f t="array" ref="AE13">_xlfn.IFS($AA13="","",AND($AJ13&lt;=12,$AJ13&gt;10),TIME(0,35,0),AND($AJ13&lt;=10,$AJ13&gt;5),TIME(0,20,0),$AJ13&gt;12,TIME(0,20,0),AND(AJ13&gt;3,$AJ13&lt;=5),TIME(0,10,0),$AJ13&lt;3,"")</f>
        <v/>
      </c>
      <c r="AF13" s="23" t="str">
        <f t="shared" si="4"/>
        <v/>
      </c>
      <c r="AG13" s="23"/>
      <c r="AH13" s="30"/>
      <c r="AI13" s="30"/>
      <c r="AJ13" s="24" t="str">
        <f t="shared" si="5"/>
        <v/>
      </c>
      <c r="AK13" s="23" t="str">
        <f t="shared" si="6"/>
        <v/>
      </c>
      <c r="AL13" s="25" t="str">
        <f t="shared" si="7"/>
        <v/>
      </c>
      <c r="AM13" s="25" t="str">
        <f t="shared" si="8"/>
        <v/>
      </c>
      <c r="AN13" s="16" t="str">
        <f t="shared" si="9"/>
        <v/>
      </c>
      <c r="AO13" s="38"/>
      <c r="AP13" s="19"/>
      <c r="AQ13" s="34"/>
      <c r="AR13" s="30" t="s">
        <v>183</v>
      </c>
    </row>
    <row r="14" spans="2:47" ht="15" customHeight="1" x14ac:dyDescent="0.3">
      <c r="B14" s="98">
        <v>46024</v>
      </c>
      <c r="C14" s="21">
        <f t="shared" si="1"/>
        <v>1</v>
      </c>
      <c r="D14" s="18" t="s">
        <v>97</v>
      </c>
      <c r="E14" s="14">
        <v>118</v>
      </c>
      <c r="F14" s="14"/>
      <c r="G14" s="14"/>
      <c r="H14" s="14"/>
      <c r="I14" s="14">
        <v>59</v>
      </c>
      <c r="J14" s="14"/>
      <c r="K14" s="14">
        <v>52</v>
      </c>
      <c r="L14" s="14"/>
      <c r="M14" s="14"/>
      <c r="N14" s="14"/>
      <c r="O14" s="14"/>
      <c r="P14" s="14"/>
      <c r="Q14" s="14">
        <v>190</v>
      </c>
      <c r="R14" s="14"/>
      <c r="S14" s="14"/>
      <c r="T14" s="14"/>
      <c r="U14" s="14"/>
      <c r="V14" s="14"/>
      <c r="W14" s="14"/>
      <c r="X14" s="22">
        <f t="shared" ref="X14:X21" si="10">SUM(E14:W14)</f>
        <v>419</v>
      </c>
      <c r="Y14" s="14"/>
      <c r="Z14" s="31">
        <f>4+2</f>
        <v>6</v>
      </c>
      <c r="AA14" s="23">
        <v>0.29166666666666669</v>
      </c>
      <c r="AB14" s="23">
        <v>0.79166666666666663</v>
      </c>
      <c r="AC14" s="23" cm="1">
        <f t="array" ref="AC14">_xlfn.IFS($AJ14="","",$AJ14&gt;=8,TIME(1,0,0),$AJ14&lt;=5,"")</f>
        <v>4.1666666666666664E-2</v>
      </c>
      <c r="AD14" s="23" t="str">
        <f t="shared" si="3"/>
        <v/>
      </c>
      <c r="AE14" s="23" cm="1">
        <f t="array" ref="AE14">_xlfn.IFS($AA14="","",AND($AJ14&lt;=12,$AJ14&gt;10),TIME(0,35,0),AND($AJ14&lt;=10,$AJ14&gt;5),TIME(0,20,0),$AJ14&gt;12,TIME(0,20,0),AND(AJ14&gt;3,$AJ14&lt;=5),TIME(0,10,0),$AJ14&lt;3,"")</f>
        <v>2.4305555555555556E-2</v>
      </c>
      <c r="AF14" s="23">
        <f t="shared" si="4"/>
        <v>6.9444444444444441E-3</v>
      </c>
      <c r="AG14" s="23">
        <v>0.1388888888888889</v>
      </c>
      <c r="AH14" s="30"/>
      <c r="AI14" s="23">
        <v>9.0277777777777776E-2</v>
      </c>
      <c r="AJ14" s="24">
        <f t="shared" si="5"/>
        <v>11.999999999999998</v>
      </c>
      <c r="AK14" s="23">
        <f t="shared" si="6"/>
        <v>7.2916666666666671E-2</v>
      </c>
      <c r="AL14" s="25">
        <f t="shared" si="7"/>
        <v>71.999999999999986</v>
      </c>
      <c r="AM14" s="25">
        <f t="shared" si="8"/>
        <v>41.499999999999986</v>
      </c>
      <c r="AN14" s="16">
        <f t="shared" si="9"/>
        <v>0.17183770883054889</v>
      </c>
      <c r="AO14" s="38"/>
      <c r="AP14" s="19"/>
      <c r="AQ14" s="34"/>
      <c r="AR14" s="30" t="s">
        <v>184</v>
      </c>
    </row>
    <row r="15" spans="2:47" ht="15" customHeight="1" x14ac:dyDescent="0.3">
      <c r="B15" s="98">
        <v>46024</v>
      </c>
      <c r="C15" s="21">
        <f t="shared" si="1"/>
        <v>1</v>
      </c>
      <c r="D15" s="18" t="s">
        <v>97</v>
      </c>
      <c r="E15" s="14">
        <v>191</v>
      </c>
      <c r="F15" s="14"/>
      <c r="G15" s="14"/>
      <c r="H15" s="14"/>
      <c r="I15" s="14">
        <v>88</v>
      </c>
      <c r="J15" s="14"/>
      <c r="K15" s="14">
        <v>91</v>
      </c>
      <c r="L15" s="14"/>
      <c r="M15" s="14"/>
      <c r="N15" s="14"/>
      <c r="O15" s="14"/>
      <c r="P15" s="14"/>
      <c r="Q15" s="14">
        <v>92</v>
      </c>
      <c r="R15" s="14"/>
      <c r="S15" s="14"/>
      <c r="T15" s="14"/>
      <c r="U15" s="14"/>
      <c r="V15" s="14"/>
      <c r="W15" s="14"/>
      <c r="X15" s="22">
        <f t="shared" si="10"/>
        <v>462</v>
      </c>
      <c r="Y15" s="14"/>
      <c r="Z15" s="31">
        <f>4+2</f>
        <v>6</v>
      </c>
      <c r="AA15" s="23">
        <v>0.79166666666666663</v>
      </c>
      <c r="AB15" s="23">
        <v>0.29166666666666669</v>
      </c>
      <c r="AC15" s="23" cm="1">
        <f t="array" ref="AC15">_xlfn.IFS($AJ15="","",$AJ15&gt;=8,TIME(1,0,0),$AJ15&lt;=5,"")</f>
        <v>4.1666666666666664E-2</v>
      </c>
      <c r="AD15" s="23" t="str">
        <f t="shared" si="3"/>
        <v/>
      </c>
      <c r="AE15" s="23" cm="1">
        <f t="array" ref="AE15">_xlfn.IFS($AA15="","",AND($AJ15&lt;=12,$AJ15&gt;10),TIME(0,35,0),AND($AJ15&lt;=10,$AJ15&gt;5),TIME(0,20,0),$AJ15&gt;12,TIME(0,20,0),AND(AJ15&gt;3,$AJ15&lt;=5),TIME(0,10,0),$AJ15&lt;3,"")</f>
        <v>2.4305555555555556E-2</v>
      </c>
      <c r="AF15" s="23">
        <f t="shared" si="4"/>
        <v>6.9444444444444441E-3</v>
      </c>
      <c r="AG15" s="23"/>
      <c r="AH15" s="30"/>
      <c r="AI15" s="23">
        <v>0.25</v>
      </c>
      <c r="AJ15" s="24">
        <f t="shared" si="5"/>
        <v>12</v>
      </c>
      <c r="AK15" s="23">
        <f t="shared" si="6"/>
        <v>7.2916666666666671E-2</v>
      </c>
      <c r="AL15" s="25">
        <f t="shared" si="7"/>
        <v>72</v>
      </c>
      <c r="AM15" s="25">
        <f t="shared" si="8"/>
        <v>61.5</v>
      </c>
      <c r="AN15" s="16">
        <f t="shared" si="9"/>
        <v>0.15584415584415584</v>
      </c>
      <c r="AO15" s="38"/>
      <c r="AP15" s="19"/>
      <c r="AQ15" s="34"/>
      <c r="AR15" s="30" t="s">
        <v>185</v>
      </c>
    </row>
    <row r="16" spans="2:47" ht="15" customHeight="1" x14ac:dyDescent="0.3">
      <c r="B16" s="98">
        <v>46024</v>
      </c>
      <c r="C16" s="21">
        <f t="shared" si="1"/>
        <v>1</v>
      </c>
      <c r="D16" s="18" t="s">
        <v>98</v>
      </c>
      <c r="E16" s="14">
        <v>111</v>
      </c>
      <c r="F16" s="14"/>
      <c r="G16" s="14"/>
      <c r="H16" s="14"/>
      <c r="I16" s="14">
        <v>36</v>
      </c>
      <c r="J16" s="14">
        <v>10</v>
      </c>
      <c r="K16" s="14">
        <v>48</v>
      </c>
      <c r="L16" s="14"/>
      <c r="M16" s="14"/>
      <c r="N16" s="14"/>
      <c r="O16" s="14"/>
      <c r="P16" s="14"/>
      <c r="Q16" s="14">
        <v>257</v>
      </c>
      <c r="R16" s="14"/>
      <c r="S16" s="14"/>
      <c r="T16" s="14"/>
      <c r="U16" s="14"/>
      <c r="V16" s="14"/>
      <c r="W16" s="14">
        <v>3</v>
      </c>
      <c r="X16" s="22">
        <f t="shared" si="10"/>
        <v>465</v>
      </c>
      <c r="Y16" s="14"/>
      <c r="Z16" s="31">
        <f>18+2+18</f>
        <v>38</v>
      </c>
      <c r="AA16" s="23">
        <v>0.29166666666666669</v>
      </c>
      <c r="AB16" s="23">
        <v>0.79166666666666663</v>
      </c>
      <c r="AC16" s="23" cm="1">
        <f t="array" ref="AC16">_xlfn.IFS($AJ16="","",$AJ16&gt;=8,TIME(1,0,0),$AJ16&lt;=5,"")</f>
        <v>4.1666666666666664E-2</v>
      </c>
      <c r="AD16" s="23" t="str">
        <f t="shared" si="3"/>
        <v/>
      </c>
      <c r="AE16" s="23" cm="1">
        <f t="array" ref="AE16">_xlfn.IFS($AA16="","",AND($AJ16&lt;=12,$AJ16&gt;10),TIME(0,35,0),AND($AJ16&lt;=10,$AJ16&gt;5),TIME(0,20,0),$AJ16&gt;12,TIME(0,20,0),AND(AJ16&gt;3,$AJ16&lt;=5),TIME(0,10,0),$AJ16&lt;3,"")</f>
        <v>2.4305555555555556E-2</v>
      </c>
      <c r="AF16" s="23">
        <f t="shared" si="4"/>
        <v>6.9444444444444441E-3</v>
      </c>
      <c r="AG16" s="23">
        <v>0.11458333333333333</v>
      </c>
      <c r="AH16" s="30"/>
      <c r="AI16" s="30"/>
      <c r="AJ16" s="24">
        <f t="shared" si="5"/>
        <v>11.999999999999998</v>
      </c>
      <c r="AK16" s="23">
        <f t="shared" si="6"/>
        <v>7.2916666666666671E-2</v>
      </c>
      <c r="AL16" s="25">
        <f t="shared" si="7"/>
        <v>455.99999999999994</v>
      </c>
      <c r="AM16" s="25">
        <f t="shared" si="8"/>
        <v>284.99999999999994</v>
      </c>
      <c r="AN16" s="16">
        <f t="shared" si="9"/>
        <v>0.98064516129032242</v>
      </c>
      <c r="AO16" s="38"/>
      <c r="AP16" s="19"/>
      <c r="AQ16" s="34"/>
      <c r="AR16" s="30" t="s">
        <v>186</v>
      </c>
    </row>
    <row r="17" spans="2:44" ht="15" customHeight="1" x14ac:dyDescent="0.3">
      <c r="B17" s="98">
        <v>46024</v>
      </c>
      <c r="C17" s="21">
        <f t="shared" si="1"/>
        <v>1</v>
      </c>
      <c r="D17" s="18" t="s">
        <v>98</v>
      </c>
      <c r="E17" s="14">
        <v>195</v>
      </c>
      <c r="F17" s="14"/>
      <c r="G17" s="14"/>
      <c r="H17" s="14"/>
      <c r="I17" s="14">
        <v>68</v>
      </c>
      <c r="J17" s="14">
        <v>8</v>
      </c>
      <c r="K17" s="14">
        <v>76</v>
      </c>
      <c r="L17" s="14"/>
      <c r="M17" s="14"/>
      <c r="N17" s="14"/>
      <c r="O17" s="14"/>
      <c r="P17" s="14"/>
      <c r="Q17" s="14">
        <v>215</v>
      </c>
      <c r="R17" s="14"/>
      <c r="S17" s="14"/>
      <c r="T17" s="14"/>
      <c r="U17" s="14"/>
      <c r="V17" s="14"/>
      <c r="W17" s="14">
        <v>6</v>
      </c>
      <c r="X17" s="22">
        <f t="shared" si="10"/>
        <v>568</v>
      </c>
      <c r="Y17" s="14"/>
      <c r="Z17" s="31">
        <f>17+8+11</f>
        <v>36</v>
      </c>
      <c r="AA17" s="23">
        <v>0.79166666666666663</v>
      </c>
      <c r="AB17" s="23">
        <v>0.29166666666666669</v>
      </c>
      <c r="AC17" s="23" cm="1">
        <f t="array" ref="AC17">_xlfn.IFS($AJ17="","",$AJ17&gt;=8,TIME(1,0,0),$AJ17&lt;=5,"")</f>
        <v>4.1666666666666664E-2</v>
      </c>
      <c r="AD17" s="23" t="str">
        <f t="shared" si="3"/>
        <v/>
      </c>
      <c r="AE17" s="23" cm="1">
        <f t="array" ref="AE17">_xlfn.IFS($AA17="","",AND($AJ17&lt;=12,$AJ17&gt;10),TIME(0,35,0),AND($AJ17&lt;=10,$AJ17&gt;5),TIME(0,20,0),$AJ17&gt;12,TIME(0,20,0),AND(AJ17&gt;3,$AJ17&lt;=5),TIME(0,10,0),$AJ17&lt;3,"")</f>
        <v>2.4305555555555556E-2</v>
      </c>
      <c r="AF17" s="23">
        <f t="shared" si="4"/>
        <v>6.9444444444444441E-3</v>
      </c>
      <c r="AG17" s="23"/>
      <c r="AH17" s="30"/>
      <c r="AI17" s="30"/>
      <c r="AJ17" s="24">
        <f t="shared" si="5"/>
        <v>12</v>
      </c>
      <c r="AK17" s="23">
        <f t="shared" si="6"/>
        <v>7.2916666666666671E-2</v>
      </c>
      <c r="AL17" s="25">
        <f t="shared" si="7"/>
        <v>432</v>
      </c>
      <c r="AM17" s="25">
        <f t="shared" si="8"/>
        <v>369</v>
      </c>
      <c r="AN17" s="16">
        <f t="shared" si="9"/>
        <v>0.76056338028169013</v>
      </c>
      <c r="AO17" s="38"/>
      <c r="AP17" s="19"/>
      <c r="AQ17" s="34"/>
      <c r="AR17" s="30"/>
    </row>
    <row r="18" spans="2:44" ht="15" customHeight="1" x14ac:dyDescent="0.3">
      <c r="B18" s="98">
        <v>46024</v>
      </c>
      <c r="C18" s="21">
        <f t="shared" si="1"/>
        <v>1</v>
      </c>
      <c r="D18" s="18" t="s">
        <v>99</v>
      </c>
      <c r="E18" s="14">
        <v>140</v>
      </c>
      <c r="F18" s="14">
        <v>1</v>
      </c>
      <c r="G18" s="14"/>
      <c r="H18" s="14"/>
      <c r="I18" s="14">
        <v>13</v>
      </c>
      <c r="J18" s="14">
        <v>26</v>
      </c>
      <c r="K18" s="14">
        <v>55</v>
      </c>
      <c r="L18" s="14"/>
      <c r="M18" s="14">
        <v>1</v>
      </c>
      <c r="N18" s="14"/>
      <c r="O18" s="14"/>
      <c r="P18" s="14"/>
      <c r="Q18" s="14">
        <f>190+36+1</f>
        <v>227</v>
      </c>
      <c r="R18" s="14"/>
      <c r="S18" s="14"/>
      <c r="T18" s="14">
        <f>7+1</f>
        <v>8</v>
      </c>
      <c r="U18" s="14"/>
      <c r="V18" s="14"/>
      <c r="W18" s="14">
        <v>2</v>
      </c>
      <c r="X18" s="22">
        <f t="shared" si="10"/>
        <v>473</v>
      </c>
      <c r="Y18" s="14"/>
      <c r="Z18" s="31">
        <v>33</v>
      </c>
      <c r="AA18" s="23">
        <v>0.29166666666666669</v>
      </c>
      <c r="AB18" s="23">
        <v>0.79166666666666663</v>
      </c>
      <c r="AC18" s="23" cm="1">
        <f t="array" ref="AC18">_xlfn.IFS($AJ18="","",$AJ18&gt;=8,TIME(1,0,0),$AJ18&lt;=5,"")</f>
        <v>4.1666666666666664E-2</v>
      </c>
      <c r="AD18" s="23" t="str">
        <f t="shared" si="3"/>
        <v/>
      </c>
      <c r="AE18" s="23" cm="1">
        <f t="array" ref="AE18">_xlfn.IFS($AA18="","",AND($AJ18&lt;=12,$AJ18&gt;10),TIME(0,35,0),AND($AJ18&lt;=10,$AJ18&gt;5),TIME(0,20,0),$AJ18&gt;12,TIME(0,20,0),AND(AJ18&gt;3,$AJ18&lt;=5),TIME(0,10,0),$AJ18&lt;3,"")</f>
        <v>2.4305555555555556E-2</v>
      </c>
      <c r="AF18" s="23">
        <f t="shared" si="4"/>
        <v>6.9444444444444441E-3</v>
      </c>
      <c r="AG18" s="23">
        <v>0.12152777777777778</v>
      </c>
      <c r="AH18" s="30"/>
      <c r="AI18" s="30"/>
      <c r="AJ18" s="24">
        <f t="shared" si="5"/>
        <v>11.999999999999998</v>
      </c>
      <c r="AK18" s="23">
        <f t="shared" si="6"/>
        <v>7.2916666666666671E-2</v>
      </c>
      <c r="AL18" s="25">
        <f t="shared" si="7"/>
        <v>395.99999999999994</v>
      </c>
      <c r="AM18" s="25">
        <f t="shared" si="8"/>
        <v>241.99999999999994</v>
      </c>
      <c r="AN18" s="16">
        <f t="shared" si="9"/>
        <v>0.83720930232558133</v>
      </c>
      <c r="AO18" s="38"/>
      <c r="AP18" s="19"/>
      <c r="AQ18" s="34"/>
      <c r="AR18" s="30" t="s">
        <v>187</v>
      </c>
    </row>
    <row r="19" spans="2:44" ht="15" customHeight="1" x14ac:dyDescent="0.3">
      <c r="B19" s="98">
        <v>46024</v>
      </c>
      <c r="C19" s="21">
        <f t="shared" si="1"/>
        <v>1</v>
      </c>
      <c r="D19" s="18" t="s">
        <v>99</v>
      </c>
      <c r="E19" s="14">
        <v>125</v>
      </c>
      <c r="F19" s="14"/>
      <c r="G19" s="14"/>
      <c r="H19" s="14"/>
      <c r="I19" s="14">
        <v>63</v>
      </c>
      <c r="J19" s="14">
        <v>14</v>
      </c>
      <c r="K19" s="14">
        <v>65</v>
      </c>
      <c r="L19" s="14"/>
      <c r="M19" s="14"/>
      <c r="N19" s="14"/>
      <c r="O19" s="14">
        <v>1</v>
      </c>
      <c r="P19" s="14"/>
      <c r="Q19" s="14">
        <f>181+45+32</f>
        <v>258</v>
      </c>
      <c r="R19" s="14"/>
      <c r="S19" s="14"/>
      <c r="T19" s="14"/>
      <c r="U19" s="14"/>
      <c r="V19" s="14"/>
      <c r="W19" s="14">
        <v>3</v>
      </c>
      <c r="X19" s="22">
        <f t="shared" si="10"/>
        <v>529</v>
      </c>
      <c r="Y19" s="14"/>
      <c r="Z19" s="31">
        <f>34+5</f>
        <v>39</v>
      </c>
      <c r="AA19" s="23">
        <v>0.79166666666666663</v>
      </c>
      <c r="AB19" s="23">
        <v>0.29166666666666669</v>
      </c>
      <c r="AC19" s="23" cm="1">
        <f t="array" ref="AC19">_xlfn.IFS($AJ19="","",$AJ19&gt;=8,TIME(1,0,0),$AJ19&lt;=5,"")</f>
        <v>4.1666666666666664E-2</v>
      </c>
      <c r="AD19" s="23" t="str">
        <f t="shared" si="3"/>
        <v/>
      </c>
      <c r="AE19" s="23" cm="1">
        <f t="array" ref="AE19">_xlfn.IFS($AA19="","",AND($AJ19&lt;=12,$AJ19&gt;10),TIME(0,35,0),AND($AJ19&lt;=10,$AJ19&gt;5),TIME(0,20,0),$AJ19&gt;12,TIME(0,20,0),AND(AJ19&gt;3,$AJ19&lt;=5),TIME(0,10,0),$AJ19&lt;3,"")</f>
        <v>2.4305555555555556E-2</v>
      </c>
      <c r="AF19" s="23">
        <f t="shared" si="4"/>
        <v>6.9444444444444441E-3</v>
      </c>
      <c r="AG19" s="23"/>
      <c r="AH19" s="30"/>
      <c r="AI19" s="30"/>
      <c r="AJ19" s="24">
        <f t="shared" si="5"/>
        <v>12</v>
      </c>
      <c r="AK19" s="23">
        <f t="shared" si="6"/>
        <v>7.2916666666666671E-2</v>
      </c>
      <c r="AL19" s="25">
        <f t="shared" si="7"/>
        <v>468</v>
      </c>
      <c r="AM19" s="25">
        <f t="shared" si="8"/>
        <v>399.75</v>
      </c>
      <c r="AN19" s="16">
        <f t="shared" si="9"/>
        <v>0.88468809073724008</v>
      </c>
      <c r="AO19" s="16">
        <f>IF(COUNTIF(B12:B19,B12)=8,1/SUM(AN12:AN19),"")</f>
        <v>0.19005063845352699</v>
      </c>
      <c r="AP19" s="19"/>
      <c r="AQ19" s="34"/>
      <c r="AR19" s="30"/>
    </row>
    <row r="20" spans="2:44" ht="15" customHeight="1" x14ac:dyDescent="0.3">
      <c r="B20" s="97">
        <v>46025</v>
      </c>
      <c r="C20" s="21">
        <f t="shared" si="1"/>
        <v>1</v>
      </c>
      <c r="D20" s="36" t="s">
        <v>96</v>
      </c>
      <c r="E20" s="14">
        <v>222</v>
      </c>
      <c r="F20" s="14"/>
      <c r="G20" s="14"/>
      <c r="H20" s="14"/>
      <c r="I20" s="14">
        <v>113</v>
      </c>
      <c r="J20" s="14"/>
      <c r="K20" s="14">
        <v>117</v>
      </c>
      <c r="L20" s="14"/>
      <c r="M20" s="14"/>
      <c r="N20" s="14"/>
      <c r="O20" s="14"/>
      <c r="P20" s="14"/>
      <c r="Q20" s="14">
        <v>277</v>
      </c>
      <c r="R20" s="14"/>
      <c r="S20" s="14"/>
      <c r="T20" s="14"/>
      <c r="U20" s="14"/>
      <c r="V20" s="14"/>
      <c r="W20" s="14"/>
      <c r="X20" s="22">
        <f t="shared" si="10"/>
        <v>729</v>
      </c>
      <c r="Y20" s="14"/>
      <c r="Z20" s="31">
        <f>11+6+10+19+9</f>
        <v>55</v>
      </c>
      <c r="AA20" s="23">
        <v>0.29166666666666669</v>
      </c>
      <c r="AB20" s="23">
        <v>0.79166666666666663</v>
      </c>
      <c r="AC20" s="23" cm="1">
        <f t="array" ref="AC20">_xlfn.IFS($AJ20="","",$AJ20&gt;=8,TIME(1,0,0),$AJ20&lt;=5,"")</f>
        <v>4.1666666666666664E-2</v>
      </c>
      <c r="AD20" s="23" t="str">
        <f t="shared" si="3"/>
        <v/>
      </c>
      <c r="AE20" s="23" cm="1">
        <f t="array" ref="AE20">_xlfn.IFS($AA20="","",AND($AJ20&lt;=12,$AJ20&gt;10),TIME(0,35,0),AND($AJ20&lt;=10,$AJ20&gt;5),TIME(0,20,0),$AJ20&gt;12,TIME(0,20,0),AND(AJ20&gt;3,$AJ20&lt;=5),TIME(0,10,0),$AJ20&lt;3,"")</f>
        <v>2.4305555555555556E-2</v>
      </c>
      <c r="AF20" s="23">
        <f t="shared" si="4"/>
        <v>6.9444444444444441E-3</v>
      </c>
      <c r="AG20" s="23"/>
      <c r="AH20" s="30"/>
      <c r="AI20" s="30"/>
      <c r="AJ20" s="24">
        <f t="shared" si="5"/>
        <v>11.999999999999998</v>
      </c>
      <c r="AK20" s="23">
        <f t="shared" si="6"/>
        <v>7.2916666666666671E-2</v>
      </c>
      <c r="AL20" s="25">
        <f t="shared" si="7"/>
        <v>659.99999999999989</v>
      </c>
      <c r="AM20" s="25">
        <f t="shared" si="8"/>
        <v>563.74999999999989</v>
      </c>
      <c r="AN20" s="16">
        <f t="shared" si="9"/>
        <v>0.905349794238683</v>
      </c>
      <c r="AO20" s="38"/>
      <c r="AP20" s="19"/>
      <c r="AQ20" s="34"/>
      <c r="AR20" s="30" t="s">
        <v>188</v>
      </c>
    </row>
    <row r="21" spans="2:44" ht="15" customHeight="1" x14ac:dyDescent="0.3">
      <c r="B21" s="97">
        <v>46025</v>
      </c>
      <c r="C21" s="21">
        <f t="shared" si="1"/>
        <v>1</v>
      </c>
      <c r="D21" s="36" t="s">
        <v>96</v>
      </c>
      <c r="E21" s="14"/>
      <c r="F21" s="14"/>
      <c r="G21" s="14"/>
      <c r="H21" s="14"/>
      <c r="I21" s="14"/>
      <c r="J21" s="14"/>
      <c r="K21" s="14"/>
      <c r="L21" s="14"/>
      <c r="M21" s="14"/>
      <c r="N21" s="14"/>
      <c r="O21" s="14"/>
      <c r="P21" s="14"/>
      <c r="Q21" s="14">
        <v>286</v>
      </c>
      <c r="R21" s="14"/>
      <c r="S21" s="14"/>
      <c r="T21" s="14"/>
      <c r="U21" s="14"/>
      <c r="V21" s="14"/>
      <c r="W21" s="14"/>
      <c r="X21" s="22">
        <f t="shared" si="10"/>
        <v>286</v>
      </c>
      <c r="Y21" s="14"/>
      <c r="Z21" s="31">
        <f>22+6</f>
        <v>28</v>
      </c>
      <c r="AA21" s="23">
        <v>0.79166666666666663</v>
      </c>
      <c r="AB21" s="23">
        <v>0.29166666666666669</v>
      </c>
      <c r="AC21" s="23" cm="1">
        <f t="array" ref="AC21">_xlfn.IFS($AJ21="","",$AJ21&gt;=8,TIME(1,0,0),$AJ21&lt;=5,"")</f>
        <v>4.1666666666666664E-2</v>
      </c>
      <c r="AD21" s="23" t="str">
        <f t="shared" si="3"/>
        <v/>
      </c>
      <c r="AE21" s="23" cm="1">
        <f t="array" ref="AE21">_xlfn.IFS($AA21="","",AND($AJ21&lt;=12,$AJ21&gt;10),TIME(0,35,0),AND($AJ21&lt;=10,$AJ21&gt;5),TIME(0,20,0),$AJ21&gt;12,TIME(0,20,0),AND(AJ21&gt;3,$AJ21&lt;=5),TIME(0,10,0),$AJ21&lt;3,"")</f>
        <v>2.4305555555555556E-2</v>
      </c>
      <c r="AF21" s="23">
        <f t="shared" si="4"/>
        <v>6.9444444444444441E-3</v>
      </c>
      <c r="AG21" s="23"/>
      <c r="AH21" s="30"/>
      <c r="AI21" s="23">
        <v>1.3888888888888888E-2</v>
      </c>
      <c r="AJ21" s="24">
        <f t="shared" si="5"/>
        <v>12</v>
      </c>
      <c r="AK21" s="23">
        <f t="shared" si="6"/>
        <v>7.2916666666666671E-2</v>
      </c>
      <c r="AL21" s="25">
        <f t="shared" si="7"/>
        <v>336</v>
      </c>
      <c r="AM21" s="25">
        <f t="shared" si="8"/>
        <v>287</v>
      </c>
      <c r="AN21" s="16">
        <f t="shared" si="9"/>
        <v>1.1748251748251748</v>
      </c>
      <c r="AO21" s="38"/>
      <c r="AP21" s="19"/>
      <c r="AQ21" s="34"/>
      <c r="AR21" s="30" t="s">
        <v>189</v>
      </c>
    </row>
    <row r="22" spans="2:44" ht="15" customHeight="1" x14ac:dyDescent="0.3">
      <c r="B22" s="97">
        <v>46025</v>
      </c>
      <c r="C22" s="21">
        <f t="shared" si="1"/>
        <v>1</v>
      </c>
      <c r="D22" s="18" t="s">
        <v>97</v>
      </c>
      <c r="E22" s="14">
        <v>152</v>
      </c>
      <c r="F22" s="14"/>
      <c r="G22" s="14"/>
      <c r="H22" s="14"/>
      <c r="I22" s="14">
        <v>68</v>
      </c>
      <c r="J22" s="14"/>
      <c r="K22" s="14">
        <v>68</v>
      </c>
      <c r="L22" s="14"/>
      <c r="M22" s="14"/>
      <c r="N22" s="14"/>
      <c r="O22" s="14"/>
      <c r="P22" s="14"/>
      <c r="Q22" s="14">
        <v>251</v>
      </c>
      <c r="R22" s="14"/>
      <c r="S22" s="14"/>
      <c r="T22" s="14"/>
      <c r="U22" s="14"/>
      <c r="V22" s="14"/>
      <c r="W22" s="14"/>
      <c r="X22" s="22">
        <f t="shared" ref="X22:X53" si="11">SUM(E22:W22)</f>
        <v>539</v>
      </c>
      <c r="Y22" s="14"/>
      <c r="Z22" s="31">
        <f>3+3</f>
        <v>6</v>
      </c>
      <c r="AA22" s="23">
        <v>0.29166666666666669</v>
      </c>
      <c r="AB22" s="23">
        <v>0.79166666666666663</v>
      </c>
      <c r="AC22" s="23" cm="1">
        <f t="array" ref="AC22">_xlfn.IFS($AJ22="","",$AJ22&gt;=8,TIME(1,0,0),$AJ22&lt;=5,"")</f>
        <v>4.1666666666666664E-2</v>
      </c>
      <c r="AD22" s="23" t="str">
        <f t="shared" si="3"/>
        <v/>
      </c>
      <c r="AE22" s="23" cm="1">
        <f t="array" ref="AE22">_xlfn.IFS($AA22="","",AND($AJ22&lt;=12,$AJ22&gt;10),TIME(0,35,0),AND($AJ22&lt;=10,$AJ22&gt;5),TIME(0,20,0),$AJ22&gt;12,TIME(0,20,0),AND(AJ22&gt;3,$AJ22&lt;=5),TIME(0,10,0),$AJ22&lt;3,"")</f>
        <v>2.4305555555555556E-2</v>
      </c>
      <c r="AF22" s="23">
        <f t="shared" si="4"/>
        <v>6.9444444444444441E-3</v>
      </c>
      <c r="AG22" s="23"/>
      <c r="AH22" s="30"/>
      <c r="AI22" s="23">
        <v>4.1666666666666664E-2</v>
      </c>
      <c r="AJ22" s="24">
        <f t="shared" si="5"/>
        <v>11.999999999999998</v>
      </c>
      <c r="AK22" s="23">
        <f t="shared" si="6"/>
        <v>7.2916666666666671E-2</v>
      </c>
      <c r="AL22" s="25">
        <f t="shared" si="7"/>
        <v>71.999999999999986</v>
      </c>
      <c r="AM22" s="25">
        <f t="shared" si="8"/>
        <v>61.499999999999986</v>
      </c>
      <c r="AN22" s="16">
        <f t="shared" si="9"/>
        <v>0.13358070500927641</v>
      </c>
      <c r="AO22" s="38"/>
      <c r="AP22" s="19"/>
      <c r="AQ22" s="34"/>
      <c r="AR22" s="30" t="s">
        <v>190</v>
      </c>
    </row>
    <row r="23" spans="2:44" ht="15" customHeight="1" x14ac:dyDescent="0.3">
      <c r="B23" s="97">
        <v>46025</v>
      </c>
      <c r="C23" s="21">
        <f t="shared" si="1"/>
        <v>1</v>
      </c>
      <c r="D23" s="18" t="s">
        <v>97</v>
      </c>
      <c r="E23" s="14">
        <v>64</v>
      </c>
      <c r="F23" s="14"/>
      <c r="G23" s="14"/>
      <c r="H23" s="14"/>
      <c r="I23" s="14">
        <v>59</v>
      </c>
      <c r="J23" s="14"/>
      <c r="K23" s="14">
        <v>87</v>
      </c>
      <c r="L23" s="14"/>
      <c r="M23" s="14"/>
      <c r="N23" s="14"/>
      <c r="O23" s="14"/>
      <c r="P23" s="14"/>
      <c r="Q23" s="14">
        <v>291</v>
      </c>
      <c r="R23" s="14"/>
      <c r="S23" s="14"/>
      <c r="T23" s="14"/>
      <c r="U23" s="14"/>
      <c r="V23" s="14"/>
      <c r="W23" s="14"/>
      <c r="X23" s="22">
        <f t="shared" si="11"/>
        <v>501</v>
      </c>
      <c r="Y23" s="14"/>
      <c r="Z23" s="31">
        <f>3+2</f>
        <v>5</v>
      </c>
      <c r="AA23" s="23">
        <v>0.79166666666666663</v>
      </c>
      <c r="AB23" s="23">
        <v>0.29166666666666669</v>
      </c>
      <c r="AC23" s="23" cm="1">
        <f t="array" ref="AC23">_xlfn.IFS($AJ23="","",$AJ23&gt;=8,TIME(1,0,0),$AJ23&lt;=5,"")</f>
        <v>4.1666666666666664E-2</v>
      </c>
      <c r="AD23" s="23" t="str">
        <f t="shared" si="3"/>
        <v/>
      </c>
      <c r="AE23" s="23" cm="1">
        <f t="array" ref="AE23">_xlfn.IFS($AA23="","",AND($AJ23&lt;=12,$AJ23&gt;10),TIME(0,35,0),AND($AJ23&lt;=10,$AJ23&gt;5),TIME(0,20,0),$AJ23&gt;12,TIME(0,20,0),AND(AJ23&gt;3,$AJ23&lt;=5),TIME(0,10,0),$AJ23&lt;3,"")</f>
        <v>2.4305555555555556E-2</v>
      </c>
      <c r="AF23" s="23">
        <f t="shared" si="4"/>
        <v>6.9444444444444441E-3</v>
      </c>
      <c r="AG23" s="23"/>
      <c r="AH23" s="30"/>
      <c r="AI23" s="23">
        <v>0.25</v>
      </c>
      <c r="AJ23" s="24">
        <f t="shared" si="5"/>
        <v>12</v>
      </c>
      <c r="AK23" s="23">
        <f t="shared" si="6"/>
        <v>7.2916666666666671E-2</v>
      </c>
      <c r="AL23" s="25">
        <f t="shared" si="7"/>
        <v>60</v>
      </c>
      <c r="AM23" s="25">
        <f t="shared" si="8"/>
        <v>51.25</v>
      </c>
      <c r="AN23" s="16">
        <f t="shared" si="9"/>
        <v>0.11976047904191617</v>
      </c>
      <c r="AO23" s="38"/>
      <c r="AP23" s="19"/>
      <c r="AQ23" s="34"/>
      <c r="AR23" s="30" t="s">
        <v>191</v>
      </c>
    </row>
    <row r="24" spans="2:44" ht="15" customHeight="1" x14ac:dyDescent="0.3">
      <c r="B24" s="97">
        <v>46025</v>
      </c>
      <c r="C24" s="21">
        <f t="shared" si="1"/>
        <v>1</v>
      </c>
      <c r="D24" s="18" t="s">
        <v>98</v>
      </c>
      <c r="E24" s="14">
        <v>199</v>
      </c>
      <c r="F24" s="14"/>
      <c r="G24" s="14"/>
      <c r="H24" s="14"/>
      <c r="I24" s="14">
        <v>95</v>
      </c>
      <c r="J24" s="14">
        <v>17</v>
      </c>
      <c r="K24" s="14">
        <v>95</v>
      </c>
      <c r="L24" s="14"/>
      <c r="M24" s="14"/>
      <c r="N24" s="14"/>
      <c r="O24" s="14"/>
      <c r="P24" s="14"/>
      <c r="Q24" s="14">
        <v>178</v>
      </c>
      <c r="R24" s="14"/>
      <c r="S24" s="14">
        <v>1</v>
      </c>
      <c r="T24" s="14">
        <v>20</v>
      </c>
      <c r="U24" s="14"/>
      <c r="V24" s="14"/>
      <c r="W24" s="14">
        <v>3</v>
      </c>
      <c r="X24" s="22">
        <f t="shared" si="11"/>
        <v>608</v>
      </c>
      <c r="Y24" s="14"/>
      <c r="Z24" s="31">
        <f>18+2+18</f>
        <v>38</v>
      </c>
      <c r="AA24" s="23">
        <v>0.29166666666666669</v>
      </c>
      <c r="AB24" s="23">
        <v>0.79166666666666663</v>
      </c>
      <c r="AC24" s="23" cm="1">
        <f t="array" ref="AC24">_xlfn.IFS($AJ24="","",$AJ24&gt;=8,TIME(1,0,0),$AJ24&lt;=5,"")</f>
        <v>4.1666666666666664E-2</v>
      </c>
      <c r="AD24" s="23" t="str">
        <f t="shared" si="3"/>
        <v/>
      </c>
      <c r="AE24" s="23" cm="1">
        <f t="array" ref="AE24">_xlfn.IFS($AA24="","",AND($AJ24&lt;=12,$AJ24&gt;10),TIME(0,35,0),AND($AJ24&lt;=10,$AJ24&gt;5),TIME(0,20,0),$AJ24&gt;12,TIME(0,20,0),AND(AJ24&gt;3,$AJ24&lt;=5),TIME(0,10,0),$AJ24&lt;3,"")</f>
        <v>2.4305555555555556E-2</v>
      </c>
      <c r="AF24" s="23">
        <f t="shared" si="4"/>
        <v>6.9444444444444441E-3</v>
      </c>
      <c r="AG24" s="23"/>
      <c r="AH24" s="30"/>
      <c r="AI24" s="30"/>
      <c r="AJ24" s="24">
        <f t="shared" si="5"/>
        <v>11.999999999999998</v>
      </c>
      <c r="AK24" s="23">
        <f t="shared" si="6"/>
        <v>7.2916666666666671E-2</v>
      </c>
      <c r="AL24" s="25">
        <f t="shared" si="7"/>
        <v>455.99999999999994</v>
      </c>
      <c r="AM24" s="25">
        <f t="shared" si="8"/>
        <v>389.49999999999994</v>
      </c>
      <c r="AN24" s="16">
        <f t="shared" si="9"/>
        <v>0.74999999999999989</v>
      </c>
      <c r="AO24" s="38"/>
      <c r="AP24" s="19"/>
      <c r="AQ24" s="34"/>
      <c r="AR24" s="30" t="s">
        <v>192</v>
      </c>
    </row>
    <row r="25" spans="2:44" ht="15" customHeight="1" x14ac:dyDescent="0.3">
      <c r="B25" s="97">
        <v>46025</v>
      </c>
      <c r="C25" s="21">
        <f t="shared" si="1"/>
        <v>1</v>
      </c>
      <c r="D25" s="18" t="s">
        <v>98</v>
      </c>
      <c r="E25" s="14">
        <v>101</v>
      </c>
      <c r="F25" s="14"/>
      <c r="G25" s="14"/>
      <c r="H25" s="14"/>
      <c r="I25" s="14">
        <v>60</v>
      </c>
      <c r="J25" s="14"/>
      <c r="K25" s="14">
        <v>57</v>
      </c>
      <c r="L25" s="14"/>
      <c r="M25" s="14">
        <v>1</v>
      </c>
      <c r="N25" s="14">
        <v>1</v>
      </c>
      <c r="O25" s="14"/>
      <c r="P25" s="14"/>
      <c r="Q25" s="14">
        <v>314</v>
      </c>
      <c r="R25" s="14"/>
      <c r="S25" s="14"/>
      <c r="T25" s="14"/>
      <c r="U25" s="14"/>
      <c r="V25" s="14"/>
      <c r="W25" s="14"/>
      <c r="X25" s="22">
        <f t="shared" si="11"/>
        <v>534</v>
      </c>
      <c r="Y25" s="14"/>
      <c r="Z25" s="31">
        <f>18+7+11</f>
        <v>36</v>
      </c>
      <c r="AA25" s="23">
        <v>0.79166666666666663</v>
      </c>
      <c r="AB25" s="23">
        <v>0.29166666666666669</v>
      </c>
      <c r="AC25" s="23" cm="1">
        <f t="array" ref="AC25">_xlfn.IFS($AJ25="","",$AJ25&gt;=8,TIME(1,0,0),$AJ25&lt;=5,"")</f>
        <v>4.1666666666666664E-2</v>
      </c>
      <c r="AD25" s="23" t="str">
        <f t="shared" si="3"/>
        <v/>
      </c>
      <c r="AE25" s="23" cm="1">
        <f t="array" ref="AE25">_xlfn.IFS($AA25="","",AND($AJ25&lt;=12,$AJ25&gt;10),TIME(0,35,0),AND($AJ25&lt;=10,$AJ25&gt;5),TIME(0,20,0),$AJ25&gt;12,TIME(0,20,0),AND(AJ25&gt;3,$AJ25&lt;=5),TIME(0,10,0),$AJ25&lt;3,"")</f>
        <v>2.4305555555555556E-2</v>
      </c>
      <c r="AF25" s="23">
        <f t="shared" si="4"/>
        <v>6.9444444444444441E-3</v>
      </c>
      <c r="AG25" s="23"/>
      <c r="AH25" s="30"/>
      <c r="AI25" s="30"/>
      <c r="AJ25" s="24">
        <f t="shared" si="5"/>
        <v>12</v>
      </c>
      <c r="AK25" s="23">
        <f t="shared" si="6"/>
        <v>7.2916666666666671E-2</v>
      </c>
      <c r="AL25" s="25">
        <f t="shared" si="7"/>
        <v>432</v>
      </c>
      <c r="AM25" s="25">
        <f t="shared" si="8"/>
        <v>369</v>
      </c>
      <c r="AN25" s="16">
        <f t="shared" si="9"/>
        <v>0.8089887640449438</v>
      </c>
      <c r="AO25" s="38"/>
      <c r="AP25" s="19"/>
      <c r="AQ25" s="34"/>
      <c r="AR25" s="30"/>
    </row>
    <row r="26" spans="2:44" ht="15" customHeight="1" x14ac:dyDescent="0.3">
      <c r="B26" s="97">
        <v>46025</v>
      </c>
      <c r="C26" s="21">
        <f t="shared" si="1"/>
        <v>1</v>
      </c>
      <c r="D26" s="18" t="s">
        <v>99</v>
      </c>
      <c r="E26" s="14">
        <v>193</v>
      </c>
      <c r="F26" s="14"/>
      <c r="G26" s="14"/>
      <c r="H26" s="14"/>
      <c r="I26" s="14">
        <v>74</v>
      </c>
      <c r="J26" s="14">
        <v>23</v>
      </c>
      <c r="K26" s="14">
        <v>77</v>
      </c>
      <c r="L26" s="14"/>
      <c r="M26" s="14"/>
      <c r="N26" s="14"/>
      <c r="O26" s="14"/>
      <c r="P26" s="14"/>
      <c r="Q26" s="14">
        <f>57+23+117</f>
        <v>197</v>
      </c>
      <c r="R26" s="14"/>
      <c r="S26" s="14"/>
      <c r="T26" s="14"/>
      <c r="U26" s="14"/>
      <c r="V26" s="14"/>
      <c r="W26" s="14">
        <v>10</v>
      </c>
      <c r="X26" s="22">
        <f t="shared" si="11"/>
        <v>574</v>
      </c>
      <c r="Y26" s="14"/>
      <c r="Z26" s="31">
        <f>19+4+10+2</f>
        <v>35</v>
      </c>
      <c r="AA26" s="23">
        <v>0.29166666666666669</v>
      </c>
      <c r="AB26" s="23">
        <v>0.79166666666666663</v>
      </c>
      <c r="AC26" s="23" cm="1">
        <f t="array" ref="AC26">_xlfn.IFS($AJ26="","",$AJ26&gt;=8,TIME(1,0,0),$AJ26&lt;=5,"")</f>
        <v>4.1666666666666664E-2</v>
      </c>
      <c r="AD26" s="23" t="str">
        <f t="shared" si="3"/>
        <v/>
      </c>
      <c r="AE26" s="23" cm="1">
        <f t="array" ref="AE26">_xlfn.IFS($AA26="","",AND($AJ26&lt;=12,$AJ26&gt;10),TIME(0,35,0),AND($AJ26&lt;=10,$AJ26&gt;5),TIME(0,20,0),$AJ26&gt;12,TIME(0,20,0),AND(AJ26&gt;3,$AJ26&lt;=5),TIME(0,10,0),$AJ26&lt;3,"")</f>
        <v>2.4305555555555556E-2</v>
      </c>
      <c r="AF26" s="23">
        <f t="shared" si="4"/>
        <v>6.9444444444444441E-3</v>
      </c>
      <c r="AG26" s="23">
        <v>3.4722222222222224E-2</v>
      </c>
      <c r="AH26" s="30"/>
      <c r="AI26" s="30"/>
      <c r="AJ26" s="24">
        <f t="shared" si="5"/>
        <v>11.999999999999998</v>
      </c>
      <c r="AK26" s="23">
        <f t="shared" si="6"/>
        <v>7.2916666666666671E-2</v>
      </c>
      <c r="AL26" s="25">
        <f t="shared" si="7"/>
        <v>419.99999999999994</v>
      </c>
      <c r="AM26" s="25">
        <f t="shared" si="8"/>
        <v>329.58333333333326</v>
      </c>
      <c r="AN26" s="16">
        <f t="shared" si="9"/>
        <v>0.7317073170731706</v>
      </c>
      <c r="AO26" s="38"/>
      <c r="AP26" s="19"/>
      <c r="AQ26" s="34"/>
      <c r="AR26" s="30" t="s">
        <v>193</v>
      </c>
    </row>
    <row r="27" spans="2:44" ht="15" customHeight="1" x14ac:dyDescent="0.3">
      <c r="B27" s="97">
        <v>46025</v>
      </c>
      <c r="C27" s="21">
        <f t="shared" si="1"/>
        <v>1</v>
      </c>
      <c r="D27" s="18" t="s">
        <v>99</v>
      </c>
      <c r="E27" s="14">
        <v>176</v>
      </c>
      <c r="F27" s="14"/>
      <c r="G27" s="14"/>
      <c r="H27" s="14"/>
      <c r="I27" s="14">
        <v>78</v>
      </c>
      <c r="J27" s="14">
        <v>2</v>
      </c>
      <c r="K27" s="14">
        <v>78</v>
      </c>
      <c r="L27" s="14"/>
      <c r="M27" s="14"/>
      <c r="N27" s="14"/>
      <c r="O27" s="14"/>
      <c r="P27" s="14"/>
      <c r="Q27" s="14">
        <f>10+171</f>
        <v>181</v>
      </c>
      <c r="R27" s="14"/>
      <c r="S27" s="14">
        <v>1</v>
      </c>
      <c r="T27" s="14">
        <v>21</v>
      </c>
      <c r="U27" s="14"/>
      <c r="V27" s="14"/>
      <c r="W27" s="14">
        <v>1</v>
      </c>
      <c r="X27" s="22">
        <f t="shared" si="11"/>
        <v>538</v>
      </c>
      <c r="Y27" s="14"/>
      <c r="Z27" s="31">
        <f>15+6+12</f>
        <v>33</v>
      </c>
      <c r="AA27" s="23">
        <v>0.79166666666666663</v>
      </c>
      <c r="AB27" s="23">
        <v>0.29166666666666669</v>
      </c>
      <c r="AC27" s="23" cm="1">
        <f t="array" ref="AC27">_xlfn.IFS($AJ27="","",$AJ27&gt;=8,TIME(1,0,0),$AJ27&lt;=5,"")</f>
        <v>4.1666666666666664E-2</v>
      </c>
      <c r="AD27" s="23" t="str">
        <f t="shared" si="3"/>
        <v/>
      </c>
      <c r="AE27" s="23" cm="1">
        <f t="array" ref="AE27">_xlfn.IFS($AA27="","",AND($AJ27&lt;=12,$AJ27&gt;10),TIME(0,35,0),AND($AJ27&lt;=10,$AJ27&gt;5),TIME(0,20,0),$AJ27&gt;12,TIME(0,20,0),AND(AJ27&gt;3,$AJ27&lt;=5),TIME(0,10,0),$AJ27&lt;3,"")</f>
        <v>2.4305555555555556E-2</v>
      </c>
      <c r="AF27" s="23">
        <f t="shared" si="4"/>
        <v>6.9444444444444441E-3</v>
      </c>
      <c r="AG27" s="23">
        <v>6.25E-2</v>
      </c>
      <c r="AH27" s="30"/>
      <c r="AI27" s="30"/>
      <c r="AJ27" s="24">
        <f t="shared" si="5"/>
        <v>12</v>
      </c>
      <c r="AK27" s="23">
        <f t="shared" si="6"/>
        <v>7.2916666666666671E-2</v>
      </c>
      <c r="AL27" s="25">
        <f t="shared" si="7"/>
        <v>396</v>
      </c>
      <c r="AM27" s="25">
        <f t="shared" si="8"/>
        <v>288.75</v>
      </c>
      <c r="AN27" s="16">
        <f t="shared" si="9"/>
        <v>0.73605947955390338</v>
      </c>
      <c r="AO27" s="16">
        <f>IF(COUNTIF(B20:B27,B20)=8,1/SUM(AN20:AN27),"")</f>
        <v>0.18655770703337968</v>
      </c>
      <c r="AP27" s="19"/>
      <c r="AQ27" s="34"/>
      <c r="AR27" s="30" t="s">
        <v>194</v>
      </c>
    </row>
    <row r="28" spans="2:44" ht="15" customHeight="1" x14ac:dyDescent="0.3">
      <c r="B28" s="98">
        <v>46026</v>
      </c>
      <c r="C28" s="21">
        <f t="shared" si="1"/>
        <v>1</v>
      </c>
      <c r="D28" s="36" t="s">
        <v>96</v>
      </c>
      <c r="E28" s="14">
        <v>154</v>
      </c>
      <c r="F28" s="14"/>
      <c r="G28" s="14"/>
      <c r="H28" s="14"/>
      <c r="I28" s="14">
        <v>30</v>
      </c>
      <c r="J28" s="14"/>
      <c r="K28" s="14">
        <v>40</v>
      </c>
      <c r="L28" s="14"/>
      <c r="M28" s="14"/>
      <c r="N28" s="14"/>
      <c r="O28" s="14"/>
      <c r="P28" s="14"/>
      <c r="Q28" s="14">
        <v>180</v>
      </c>
      <c r="R28" s="14"/>
      <c r="S28" s="14"/>
      <c r="T28" s="14"/>
      <c r="U28" s="14"/>
      <c r="V28" s="14"/>
      <c r="W28" s="14"/>
      <c r="X28" s="22">
        <f t="shared" si="11"/>
        <v>404</v>
      </c>
      <c r="Y28" s="14"/>
      <c r="Z28" s="31">
        <f>28+2+4</f>
        <v>34</v>
      </c>
      <c r="AA28" s="23">
        <v>0.29166666666666669</v>
      </c>
      <c r="AB28" s="23">
        <v>0.79166666666666663</v>
      </c>
      <c r="AC28" s="23" cm="1">
        <f t="array" ref="AC28">_xlfn.IFS($AJ28="","",$AJ28&gt;=8,TIME(1,0,0),$AJ28&lt;=5,"")</f>
        <v>4.1666666666666664E-2</v>
      </c>
      <c r="AD28" s="23" t="str">
        <f t="shared" si="3"/>
        <v/>
      </c>
      <c r="AE28" s="23" cm="1">
        <f t="array" ref="AE28">_xlfn.IFS($AA28="","",AND($AJ28&lt;=12,$AJ28&gt;10),TIME(0,35,0),AND($AJ28&lt;=10,$AJ28&gt;5),TIME(0,20,0),$AJ28&gt;12,TIME(0,20,0),AND(AJ28&gt;3,$AJ28&lt;=5),TIME(0,10,0),$AJ28&lt;3,"")</f>
        <v>2.4305555555555556E-2</v>
      </c>
      <c r="AF28" s="23">
        <f t="shared" si="4"/>
        <v>6.9444444444444441E-3</v>
      </c>
      <c r="AG28" s="23"/>
      <c r="AH28" s="30"/>
      <c r="AI28" s="30"/>
      <c r="AJ28" s="24">
        <f t="shared" si="5"/>
        <v>11.999999999999998</v>
      </c>
      <c r="AK28" s="23">
        <f t="shared" si="6"/>
        <v>7.2916666666666671E-2</v>
      </c>
      <c r="AL28" s="25">
        <f t="shared" si="7"/>
        <v>407.99999999999994</v>
      </c>
      <c r="AM28" s="25">
        <f t="shared" si="8"/>
        <v>348.49999999999994</v>
      </c>
      <c r="AN28" s="16">
        <f t="shared" si="9"/>
        <v>1.0099009900990097</v>
      </c>
      <c r="AO28" s="38"/>
      <c r="AP28" s="19"/>
      <c r="AQ28" s="34"/>
      <c r="AR28" s="30"/>
    </row>
    <row r="29" spans="2:44" ht="15" customHeight="1" x14ac:dyDescent="0.3">
      <c r="B29" s="98">
        <v>46026</v>
      </c>
      <c r="C29" s="21">
        <f t="shared" si="1"/>
        <v>1</v>
      </c>
      <c r="D29" s="18" t="s">
        <v>97</v>
      </c>
      <c r="E29" s="14">
        <v>119</v>
      </c>
      <c r="F29" s="14"/>
      <c r="G29" s="14"/>
      <c r="H29" s="14"/>
      <c r="I29" s="14">
        <v>9</v>
      </c>
      <c r="J29" s="14"/>
      <c r="K29" s="14">
        <v>6</v>
      </c>
      <c r="L29" s="14"/>
      <c r="M29" s="14"/>
      <c r="N29" s="14"/>
      <c r="O29" s="14"/>
      <c r="P29" s="14"/>
      <c r="Q29" s="14">
        <v>201</v>
      </c>
      <c r="R29" s="14"/>
      <c r="S29" s="14"/>
      <c r="T29" s="14"/>
      <c r="U29" s="14"/>
      <c r="V29" s="14"/>
      <c r="W29" s="14"/>
      <c r="X29" s="22">
        <f t="shared" si="11"/>
        <v>335</v>
      </c>
      <c r="Y29" s="14"/>
      <c r="Z29" s="31">
        <f>4+2</f>
        <v>6</v>
      </c>
      <c r="AA29" s="23">
        <v>0.29166666666666669</v>
      </c>
      <c r="AB29" s="23">
        <v>0.79166666666666663</v>
      </c>
      <c r="AC29" s="23" cm="1">
        <f t="array" ref="AC29">_xlfn.IFS($AJ29="","",$AJ29&gt;=8,TIME(1,0,0),$AJ29&lt;=5,"")</f>
        <v>4.1666666666666664E-2</v>
      </c>
      <c r="AD29" s="23" t="str">
        <f t="shared" si="3"/>
        <v/>
      </c>
      <c r="AE29" s="23" cm="1">
        <f t="array" ref="AE29">_xlfn.IFS($AA29="","",AND($AJ29&lt;=12,$AJ29&gt;10),TIME(0,35,0),AND($AJ29&lt;=10,$AJ29&gt;5),TIME(0,20,0),$AJ29&gt;12,TIME(0,20,0),AND(AJ29&gt;3,$AJ29&lt;=5),TIME(0,10,0),$AJ29&lt;3,"")</f>
        <v>2.4305555555555556E-2</v>
      </c>
      <c r="AF29" s="23">
        <f t="shared" si="4"/>
        <v>6.9444444444444441E-3</v>
      </c>
      <c r="AG29" s="23"/>
      <c r="AH29" s="30"/>
      <c r="AI29" s="23">
        <v>0.1111111111111111</v>
      </c>
      <c r="AJ29" s="24">
        <f t="shared" si="5"/>
        <v>11.999999999999998</v>
      </c>
      <c r="AK29" s="23">
        <f t="shared" si="6"/>
        <v>7.2916666666666671E-2</v>
      </c>
      <c r="AL29" s="25">
        <f t="shared" si="7"/>
        <v>71.999999999999986</v>
      </c>
      <c r="AM29" s="25">
        <f t="shared" si="8"/>
        <v>61.499999999999986</v>
      </c>
      <c r="AN29" s="16">
        <f t="shared" si="9"/>
        <v>0.21492537313432833</v>
      </c>
      <c r="AO29" s="38"/>
      <c r="AP29" s="19"/>
      <c r="AQ29" s="34"/>
      <c r="AR29" s="30" t="s">
        <v>195</v>
      </c>
    </row>
    <row r="30" spans="2:44" ht="15" customHeight="1" x14ac:dyDescent="0.3">
      <c r="B30" s="98">
        <v>46026</v>
      </c>
      <c r="C30" s="21">
        <f t="shared" si="1"/>
        <v>1</v>
      </c>
      <c r="D30" s="18" t="s">
        <v>98</v>
      </c>
      <c r="E30" s="14">
        <v>45</v>
      </c>
      <c r="F30" s="14"/>
      <c r="G30" s="14"/>
      <c r="H30" s="14"/>
      <c r="I30" s="14">
        <v>10</v>
      </c>
      <c r="J30" s="14"/>
      <c r="K30" s="14">
        <v>40</v>
      </c>
      <c r="L30" s="14"/>
      <c r="M30" s="14">
        <v>8</v>
      </c>
      <c r="N30" s="14"/>
      <c r="O30" s="14"/>
      <c r="P30" s="14"/>
      <c r="Q30" s="14">
        <v>297</v>
      </c>
      <c r="R30" s="14"/>
      <c r="S30" s="14"/>
      <c r="T30" s="14">
        <v>10</v>
      </c>
      <c r="U30" s="14"/>
      <c r="V30" s="14"/>
      <c r="W30" s="14">
        <v>11</v>
      </c>
      <c r="X30" s="22">
        <f t="shared" si="11"/>
        <v>421</v>
      </c>
      <c r="Y30" s="14"/>
      <c r="Z30" s="31">
        <v>35</v>
      </c>
      <c r="AA30" s="23">
        <v>0.29166666666666669</v>
      </c>
      <c r="AB30" s="23">
        <v>0.79166666666666663</v>
      </c>
      <c r="AC30" s="23" cm="1">
        <f t="array" ref="AC30">_xlfn.IFS($AJ30="","",$AJ30&gt;=8,TIME(1,0,0),$AJ30&lt;=5,"")</f>
        <v>4.1666666666666664E-2</v>
      </c>
      <c r="AD30" s="23" t="str">
        <f t="shared" si="3"/>
        <v/>
      </c>
      <c r="AE30" s="23" cm="1">
        <f t="array" ref="AE30">_xlfn.IFS($AA30="","",AND($AJ30&lt;=12,$AJ30&gt;10),TIME(0,35,0),AND($AJ30&lt;=10,$AJ30&gt;5),TIME(0,20,0),$AJ30&gt;12,TIME(0,20,0),AND(AJ30&gt;3,$AJ30&lt;=5),TIME(0,10,0),$AJ30&lt;3,"")</f>
        <v>2.4305555555555556E-2</v>
      </c>
      <c r="AF30" s="23">
        <f t="shared" si="4"/>
        <v>6.9444444444444441E-3</v>
      </c>
      <c r="AG30" s="23">
        <v>7.2916666666666671E-2</v>
      </c>
      <c r="AH30" s="30"/>
      <c r="AI30" s="30"/>
      <c r="AJ30" s="24">
        <f t="shared" si="5"/>
        <v>11.999999999999998</v>
      </c>
      <c r="AK30" s="23">
        <f t="shared" si="6"/>
        <v>7.2916666666666671E-2</v>
      </c>
      <c r="AL30" s="25">
        <f t="shared" si="7"/>
        <v>419.99999999999994</v>
      </c>
      <c r="AM30" s="25">
        <f t="shared" si="8"/>
        <v>297.49999999999994</v>
      </c>
      <c r="AN30" s="16">
        <f t="shared" si="9"/>
        <v>0.99762470308788587</v>
      </c>
      <c r="AO30" s="38"/>
      <c r="AP30" s="19"/>
      <c r="AQ30" s="34"/>
      <c r="AR30" s="30" t="s">
        <v>196</v>
      </c>
    </row>
    <row r="31" spans="2:44" ht="15" customHeight="1" x14ac:dyDescent="0.3">
      <c r="B31" s="98">
        <v>46026</v>
      </c>
      <c r="C31" s="21">
        <f t="shared" si="1"/>
        <v>1</v>
      </c>
      <c r="D31" s="18" t="s">
        <v>99</v>
      </c>
      <c r="E31" s="14">
        <v>30</v>
      </c>
      <c r="F31" s="14"/>
      <c r="G31" s="14"/>
      <c r="H31" s="14"/>
      <c r="I31" s="14">
        <v>34</v>
      </c>
      <c r="J31" s="14"/>
      <c r="K31" s="14">
        <v>59</v>
      </c>
      <c r="L31" s="14"/>
      <c r="M31" s="14"/>
      <c r="N31" s="14"/>
      <c r="O31" s="14"/>
      <c r="P31" s="14"/>
      <c r="Q31" s="14">
        <f>200+2</f>
        <v>202</v>
      </c>
      <c r="R31" s="14"/>
      <c r="S31" s="14"/>
      <c r="T31" s="14"/>
      <c r="U31" s="14"/>
      <c r="V31" s="14"/>
      <c r="W31" s="14"/>
      <c r="X31" s="22">
        <f t="shared" si="11"/>
        <v>325</v>
      </c>
      <c r="Y31" s="14"/>
      <c r="Z31" s="31">
        <f>20+14</f>
        <v>34</v>
      </c>
      <c r="AA31" s="23">
        <v>0.29166666666666669</v>
      </c>
      <c r="AB31" s="23">
        <v>0.79166666666666663</v>
      </c>
      <c r="AC31" s="23" cm="1">
        <f t="array" ref="AC31">_xlfn.IFS($AJ31="","",$AJ31&gt;=8,TIME(1,0,0),$AJ31&lt;=5,"")</f>
        <v>4.1666666666666664E-2</v>
      </c>
      <c r="AD31" s="23" t="str">
        <f t="shared" si="3"/>
        <v/>
      </c>
      <c r="AE31" s="23" cm="1">
        <f t="array" ref="AE31">_xlfn.IFS($AA31="","",AND($AJ31&lt;=12,$AJ31&gt;10),TIME(0,35,0),AND($AJ31&lt;=10,$AJ31&gt;5),TIME(0,20,0),$AJ31&gt;12,TIME(0,20,0),AND(AJ31&gt;3,$AJ31&lt;=5),TIME(0,10,0),$AJ31&lt;3,"")</f>
        <v>2.4305555555555556E-2</v>
      </c>
      <c r="AF31" s="23">
        <f t="shared" si="4"/>
        <v>6.9444444444444441E-3</v>
      </c>
      <c r="AG31" s="23"/>
      <c r="AH31" s="30"/>
      <c r="AI31" s="30"/>
      <c r="AJ31" s="24">
        <f t="shared" si="5"/>
        <v>11.999999999999998</v>
      </c>
      <c r="AK31" s="23">
        <f t="shared" si="6"/>
        <v>7.2916666666666671E-2</v>
      </c>
      <c r="AL31" s="25">
        <f t="shared" si="7"/>
        <v>407.99999999999994</v>
      </c>
      <c r="AM31" s="25">
        <f t="shared" si="8"/>
        <v>348.49999999999994</v>
      </c>
      <c r="AN31" s="16">
        <f t="shared" si="9"/>
        <v>1.2553846153846151</v>
      </c>
      <c r="AO31" s="16">
        <f>IF(COUNTIF(B28:B31,B28)=4,1/SUM(AN28:AN31),"")</f>
        <v>0.28753514873063563</v>
      </c>
      <c r="AP31" s="19"/>
      <c r="AQ31" s="34"/>
      <c r="AR31" s="30"/>
    </row>
    <row r="32" spans="2:44" ht="15" customHeight="1" x14ac:dyDescent="0.3">
      <c r="B32" s="97">
        <v>46027</v>
      </c>
      <c r="C32" s="21">
        <f t="shared" si="1"/>
        <v>1</v>
      </c>
      <c r="D32" s="36" t="s">
        <v>96</v>
      </c>
      <c r="E32" s="14">
        <v>290</v>
      </c>
      <c r="F32" s="14"/>
      <c r="G32" s="14"/>
      <c r="H32" s="14"/>
      <c r="I32" s="14">
        <v>50</v>
      </c>
      <c r="J32" s="14">
        <v>80</v>
      </c>
      <c r="K32" s="14">
        <v>115</v>
      </c>
      <c r="L32" s="14"/>
      <c r="M32" s="14"/>
      <c r="N32" s="14"/>
      <c r="O32" s="14"/>
      <c r="P32" s="14"/>
      <c r="Q32" s="14">
        <f>187+8+97</f>
        <v>292</v>
      </c>
      <c r="R32" s="14"/>
      <c r="S32" s="14"/>
      <c r="T32" s="14"/>
      <c r="U32" s="14"/>
      <c r="V32" s="14"/>
      <c r="W32" s="14"/>
      <c r="X32" s="22">
        <f t="shared" si="11"/>
        <v>827</v>
      </c>
      <c r="Y32" s="14"/>
      <c r="Z32" s="31">
        <f>17+12+19+12</f>
        <v>60</v>
      </c>
      <c r="AA32" s="23">
        <v>0.29166666666666669</v>
      </c>
      <c r="AB32" s="23">
        <v>0.79166666666666663</v>
      </c>
      <c r="AC32" s="23" cm="1">
        <f t="array" ref="AC32">_xlfn.IFS($AJ32="","",$AJ32&gt;=8,TIME(1,0,0),$AJ32&lt;=5,"")</f>
        <v>4.1666666666666664E-2</v>
      </c>
      <c r="AD32" s="23" t="str">
        <f t="shared" si="3"/>
        <v/>
      </c>
      <c r="AE32" s="23" cm="1">
        <f t="array" ref="AE32">_xlfn.IFS($AA32="","",AND($AJ32&lt;=12,$AJ32&gt;10),TIME(0,35,0),AND($AJ32&lt;=10,$AJ32&gt;5),TIME(0,20,0),$AJ32&gt;12,TIME(0,20,0),AND(AJ32&gt;3,$AJ32&lt;=5),TIME(0,10,0),$AJ32&lt;3,"")</f>
        <v>2.4305555555555556E-2</v>
      </c>
      <c r="AF32" s="23">
        <f t="shared" ref="AF32:AF63" si="12">IF($AA32&lt;&gt;"",TIME(0,10,0),"")</f>
        <v>6.9444444444444441E-3</v>
      </c>
      <c r="AG32" s="23"/>
      <c r="AH32" s="30"/>
      <c r="AI32" s="30"/>
      <c r="AJ32" s="24">
        <f t="shared" ref="AJ32:AJ63" si="13">IF($AA32="","",MOD($AB32-$AA32,1)*24)</f>
        <v>11.999999999999998</v>
      </c>
      <c r="AK32" s="23">
        <f t="shared" ref="AK32:AK63" si="14">IF($AA32="","",SUM($AC32:$AF32))</f>
        <v>7.2916666666666671E-2</v>
      </c>
      <c r="AL32" s="25">
        <f t="shared" ref="AL32:AL63" si="15">IF(OR($Z32="",$AJ32=""),"",$AJ32*$Z32)</f>
        <v>719.99999999999989</v>
      </c>
      <c r="AM32" s="25">
        <f t="shared" ref="AM32:AM63" si="16">IF(OR($Z32="",$AJ32=""),"",($AJ32-($AK32+$AG32)*24)*$Z32)</f>
        <v>614.99999999999989</v>
      </c>
      <c r="AN32" s="16">
        <f t="shared" ref="AN32:AN63" si="17">IF(OR($X32=0,$Z32="",$AL32=""),"",$AL32/$X32)</f>
        <v>0.87061668681983062</v>
      </c>
      <c r="AO32" s="38"/>
      <c r="AP32" s="19"/>
      <c r="AQ32" s="34"/>
      <c r="AR32" s="30"/>
    </row>
    <row r="33" spans="2:44" ht="15" customHeight="1" x14ac:dyDescent="0.3">
      <c r="B33" s="97">
        <v>46027</v>
      </c>
      <c r="C33" s="21">
        <f t="shared" si="1"/>
        <v>1</v>
      </c>
      <c r="D33" s="36" t="s">
        <v>96</v>
      </c>
      <c r="E33" s="14"/>
      <c r="F33" s="14"/>
      <c r="G33" s="14"/>
      <c r="H33" s="14"/>
      <c r="I33" s="14"/>
      <c r="J33" s="14"/>
      <c r="K33" s="14"/>
      <c r="L33" s="14"/>
      <c r="M33" s="14"/>
      <c r="N33" s="14"/>
      <c r="O33" s="14"/>
      <c r="P33" s="14"/>
      <c r="Q33" s="14">
        <v>310</v>
      </c>
      <c r="R33" s="14"/>
      <c r="S33" s="14"/>
      <c r="T33" s="14"/>
      <c r="U33" s="14"/>
      <c r="V33" s="14"/>
      <c r="W33" s="14"/>
      <c r="X33" s="22">
        <f t="shared" si="11"/>
        <v>310</v>
      </c>
      <c r="Y33" s="14"/>
      <c r="Z33" s="31">
        <f>23+1+10</f>
        <v>34</v>
      </c>
      <c r="AA33" s="23">
        <v>0.79166666666666663</v>
      </c>
      <c r="AB33" s="23">
        <v>0.29166666666666669</v>
      </c>
      <c r="AC33" s="23" cm="1">
        <f t="array" ref="AC33">_xlfn.IFS($AJ33="","",$AJ33&gt;=8,TIME(1,0,0),$AJ33&lt;=5,"")</f>
        <v>4.1666666666666664E-2</v>
      </c>
      <c r="AD33" s="23" t="str">
        <f t="shared" si="3"/>
        <v/>
      </c>
      <c r="AE33" s="23" cm="1">
        <f t="array" ref="AE33">_xlfn.IFS($AA33="","",AND($AJ33&lt;=12,$AJ33&gt;10),TIME(0,35,0),AND($AJ33&lt;=10,$AJ33&gt;5),TIME(0,20,0),$AJ33&gt;12,TIME(0,20,0),AND(AJ33&gt;3,$AJ33&lt;=5),TIME(0,10,0),$AJ33&lt;3,"")</f>
        <v>2.4305555555555556E-2</v>
      </c>
      <c r="AF33" s="23">
        <f t="shared" si="12"/>
        <v>6.9444444444444441E-3</v>
      </c>
      <c r="AG33" s="23"/>
      <c r="AH33" s="30"/>
      <c r="AI33" s="30"/>
      <c r="AJ33" s="24">
        <f t="shared" si="13"/>
        <v>12</v>
      </c>
      <c r="AK33" s="23">
        <f t="shared" si="14"/>
        <v>7.2916666666666671E-2</v>
      </c>
      <c r="AL33" s="25">
        <f t="shared" si="15"/>
        <v>408</v>
      </c>
      <c r="AM33" s="25">
        <f t="shared" si="16"/>
        <v>348.5</v>
      </c>
      <c r="AN33" s="16">
        <f t="shared" si="17"/>
        <v>1.3161290322580645</v>
      </c>
      <c r="AO33" s="38"/>
      <c r="AP33" s="19"/>
      <c r="AQ33" s="34"/>
      <c r="AR33" s="30"/>
    </row>
    <row r="34" spans="2:44" ht="15" customHeight="1" x14ac:dyDescent="0.3">
      <c r="B34" s="97">
        <v>46027</v>
      </c>
      <c r="C34" s="21">
        <f t="shared" si="1"/>
        <v>1</v>
      </c>
      <c r="D34" s="18" t="s">
        <v>97</v>
      </c>
      <c r="E34" s="14">
        <v>228</v>
      </c>
      <c r="F34" s="14"/>
      <c r="G34" s="14"/>
      <c r="H34" s="14"/>
      <c r="I34" s="14">
        <v>77</v>
      </c>
      <c r="J34" s="14">
        <v>5</v>
      </c>
      <c r="K34" s="14">
        <v>80</v>
      </c>
      <c r="L34" s="14"/>
      <c r="M34" s="14"/>
      <c r="N34" s="14"/>
      <c r="O34" s="14"/>
      <c r="P34" s="14"/>
      <c r="Q34" s="14">
        <v>268</v>
      </c>
      <c r="R34" s="14"/>
      <c r="S34" s="14"/>
      <c r="T34" s="14"/>
      <c r="U34" s="14"/>
      <c r="V34" s="14"/>
      <c r="W34" s="14"/>
      <c r="X34" s="22">
        <f t="shared" si="11"/>
        <v>658</v>
      </c>
      <c r="Y34" s="14"/>
      <c r="Z34" s="31">
        <f>4+2</f>
        <v>6</v>
      </c>
      <c r="AA34" s="23">
        <v>0.29166666666666669</v>
      </c>
      <c r="AB34" s="23">
        <v>0.79166666666666663</v>
      </c>
      <c r="AC34" s="23" cm="1">
        <f t="array" ref="AC34">_xlfn.IFS($AJ34="","",$AJ34&gt;=8,TIME(1,0,0),$AJ34&lt;=5,"")</f>
        <v>4.1666666666666664E-2</v>
      </c>
      <c r="AD34" s="23" t="str">
        <f t="shared" si="3"/>
        <v/>
      </c>
      <c r="AE34" s="23" cm="1">
        <f t="array" ref="AE34">_xlfn.IFS($AA34="","",AND($AJ34&lt;=12,$AJ34&gt;10),TIME(0,35,0),AND($AJ34&lt;=10,$AJ34&gt;5),TIME(0,20,0),$AJ34&gt;12,TIME(0,20,0),AND(AJ34&gt;3,$AJ34&lt;=5),TIME(0,10,0),$AJ34&lt;3,"")</f>
        <v>2.4305555555555556E-2</v>
      </c>
      <c r="AF34" s="23">
        <f t="shared" si="12"/>
        <v>6.9444444444444441E-3</v>
      </c>
      <c r="AG34" s="23"/>
      <c r="AH34" s="30"/>
      <c r="AI34" s="30"/>
      <c r="AJ34" s="24">
        <f t="shared" si="13"/>
        <v>11.999999999999998</v>
      </c>
      <c r="AK34" s="23">
        <f t="shared" si="14"/>
        <v>7.2916666666666671E-2</v>
      </c>
      <c r="AL34" s="25">
        <f t="shared" si="15"/>
        <v>71.999999999999986</v>
      </c>
      <c r="AM34" s="25">
        <f t="shared" si="16"/>
        <v>61.499999999999986</v>
      </c>
      <c r="AN34" s="16">
        <f t="shared" si="17"/>
        <v>0.10942249240121578</v>
      </c>
      <c r="AO34" s="38"/>
      <c r="AP34" s="19"/>
      <c r="AQ34" s="34"/>
      <c r="AR34" s="30"/>
    </row>
    <row r="35" spans="2:44" ht="15" customHeight="1" x14ac:dyDescent="0.3">
      <c r="B35" s="97">
        <v>46027</v>
      </c>
      <c r="C35" s="21">
        <f t="shared" si="1"/>
        <v>1</v>
      </c>
      <c r="D35" s="18" t="s">
        <v>97</v>
      </c>
      <c r="E35" s="14">
        <v>127</v>
      </c>
      <c r="F35" s="14"/>
      <c r="G35" s="14"/>
      <c r="H35" s="14"/>
      <c r="I35" s="14"/>
      <c r="J35" s="14">
        <v>47</v>
      </c>
      <c r="K35" s="14">
        <v>65</v>
      </c>
      <c r="L35" s="14"/>
      <c r="M35" s="14"/>
      <c r="N35" s="14"/>
      <c r="O35" s="14"/>
      <c r="P35" s="14"/>
      <c r="Q35" s="14">
        <v>315</v>
      </c>
      <c r="R35" s="14"/>
      <c r="S35" s="14"/>
      <c r="T35" s="14"/>
      <c r="U35" s="14"/>
      <c r="V35" s="14"/>
      <c r="W35" s="14"/>
      <c r="X35" s="22">
        <f t="shared" si="11"/>
        <v>554</v>
      </c>
      <c r="Y35" s="14"/>
      <c r="Z35" s="31">
        <f>1+4</f>
        <v>5</v>
      </c>
      <c r="AA35" s="23">
        <v>0.79166666666666663</v>
      </c>
      <c r="AB35" s="23">
        <v>0.29166666666666669</v>
      </c>
      <c r="AC35" s="23" cm="1">
        <f t="array" ref="AC35">_xlfn.IFS($AJ35="","",$AJ35&gt;=8,TIME(1,0,0),$AJ35&lt;=5,"")</f>
        <v>4.1666666666666664E-2</v>
      </c>
      <c r="AD35" s="23" t="str">
        <f t="shared" ref="AD35:AD93" si="18">IF(AND($AB35&gt;=TIME(21,0,0),$AJ35&gt;12),TIME(1,0,0),"")</f>
        <v/>
      </c>
      <c r="AE35" s="23" cm="1">
        <f t="array" ref="AE35">_xlfn.IFS($AA35="","",AND($AJ35&lt;=12,$AJ35&gt;10),TIME(0,35,0),AND($AJ35&lt;=10,$AJ35&gt;5),TIME(0,20,0),$AJ35&gt;12,TIME(0,20,0),AND(AJ35&gt;3,$AJ35&lt;=5),TIME(0,10,0),$AJ35&lt;3,"")</f>
        <v>2.4305555555555556E-2</v>
      </c>
      <c r="AF35" s="23">
        <f t="shared" si="12"/>
        <v>6.9444444444444441E-3</v>
      </c>
      <c r="AG35" s="23"/>
      <c r="AH35" s="30"/>
      <c r="AI35" s="30"/>
      <c r="AJ35" s="24">
        <f t="shared" si="13"/>
        <v>12</v>
      </c>
      <c r="AK35" s="23">
        <f t="shared" si="14"/>
        <v>7.2916666666666671E-2</v>
      </c>
      <c r="AL35" s="25">
        <f t="shared" si="15"/>
        <v>60</v>
      </c>
      <c r="AM35" s="25">
        <f t="shared" si="16"/>
        <v>51.25</v>
      </c>
      <c r="AN35" s="16">
        <f t="shared" si="17"/>
        <v>0.10830324909747292</v>
      </c>
      <c r="AO35" s="38"/>
      <c r="AP35" s="19"/>
      <c r="AQ35" s="34"/>
      <c r="AR35" s="30"/>
    </row>
    <row r="36" spans="2:44" ht="15" customHeight="1" x14ac:dyDescent="0.3">
      <c r="B36" s="97">
        <v>46027</v>
      </c>
      <c r="C36" s="21">
        <f t="shared" si="1"/>
        <v>1</v>
      </c>
      <c r="D36" s="18" t="s">
        <v>98</v>
      </c>
      <c r="E36" s="14">
        <v>214</v>
      </c>
      <c r="F36" s="14"/>
      <c r="G36" s="14"/>
      <c r="H36" s="14"/>
      <c r="I36" s="14">
        <v>49</v>
      </c>
      <c r="J36" s="14">
        <v>7</v>
      </c>
      <c r="K36" s="14">
        <v>59</v>
      </c>
      <c r="L36" s="14"/>
      <c r="M36" s="14"/>
      <c r="N36" s="14"/>
      <c r="O36" s="14"/>
      <c r="P36" s="14"/>
      <c r="Q36" s="14">
        <v>146</v>
      </c>
      <c r="R36" s="14"/>
      <c r="S36" s="14"/>
      <c r="T36" s="14"/>
      <c r="U36" s="14"/>
      <c r="V36" s="14"/>
      <c r="W36" s="14"/>
      <c r="X36" s="22">
        <f t="shared" si="11"/>
        <v>475</v>
      </c>
      <c r="Y36" s="14"/>
      <c r="Z36" s="31">
        <f>17+7+11</f>
        <v>35</v>
      </c>
      <c r="AA36" s="23">
        <v>0.29166666666666669</v>
      </c>
      <c r="AB36" s="23">
        <v>0.79166666666666663</v>
      </c>
      <c r="AC36" s="23" cm="1">
        <f t="array" ref="AC36">_xlfn.IFS($AJ36="","",$AJ36&gt;=8,TIME(1,0,0),$AJ36&lt;=5,"")</f>
        <v>4.1666666666666664E-2</v>
      </c>
      <c r="AD36" s="23" t="str">
        <f t="shared" si="18"/>
        <v/>
      </c>
      <c r="AE36" s="23" cm="1">
        <f t="array" ref="AE36">_xlfn.IFS($AA36="","",AND($AJ36&lt;=12,$AJ36&gt;10),TIME(0,35,0),AND($AJ36&lt;=10,$AJ36&gt;5),TIME(0,20,0),$AJ36&gt;12,TIME(0,20,0),AND(AJ36&gt;3,$AJ36&lt;=5),TIME(0,10,0),$AJ36&lt;3,"")</f>
        <v>2.4305555555555556E-2</v>
      </c>
      <c r="AF36" s="23">
        <f t="shared" si="12"/>
        <v>6.9444444444444441E-3</v>
      </c>
      <c r="AG36" s="23">
        <v>0.125</v>
      </c>
      <c r="AH36" s="30"/>
      <c r="AI36" s="30"/>
      <c r="AJ36" s="24">
        <f t="shared" si="13"/>
        <v>11.999999999999998</v>
      </c>
      <c r="AK36" s="23">
        <f t="shared" si="14"/>
        <v>7.2916666666666671E-2</v>
      </c>
      <c r="AL36" s="25">
        <f t="shared" si="15"/>
        <v>419.99999999999994</v>
      </c>
      <c r="AM36" s="25">
        <f t="shared" si="16"/>
        <v>253.74999999999994</v>
      </c>
      <c r="AN36" s="16">
        <f t="shared" si="17"/>
        <v>0.88421052631578934</v>
      </c>
      <c r="AO36" s="38"/>
      <c r="AP36" s="19"/>
      <c r="AQ36" s="34"/>
      <c r="AR36" s="30" t="s">
        <v>197</v>
      </c>
    </row>
    <row r="37" spans="2:44" ht="15" customHeight="1" x14ac:dyDescent="0.3">
      <c r="B37" s="97">
        <v>46027</v>
      </c>
      <c r="C37" s="21">
        <f t="shared" si="1"/>
        <v>1</v>
      </c>
      <c r="D37" s="18" t="s">
        <v>98</v>
      </c>
      <c r="E37" s="14">
        <v>165</v>
      </c>
      <c r="F37" s="14"/>
      <c r="G37" s="14"/>
      <c r="H37" s="14"/>
      <c r="I37" s="14">
        <v>25</v>
      </c>
      <c r="J37" s="14">
        <v>40</v>
      </c>
      <c r="K37" s="14">
        <v>66</v>
      </c>
      <c r="L37" s="14"/>
      <c r="M37" s="14"/>
      <c r="N37" s="14"/>
      <c r="O37" s="14"/>
      <c r="P37" s="14"/>
      <c r="Q37" s="14">
        <v>245</v>
      </c>
      <c r="R37" s="14"/>
      <c r="S37" s="14"/>
      <c r="T37" s="14"/>
      <c r="U37" s="14"/>
      <c r="V37" s="14"/>
      <c r="W37" s="14"/>
      <c r="X37" s="22">
        <f t="shared" si="11"/>
        <v>541</v>
      </c>
      <c r="Y37" s="14"/>
      <c r="Z37" s="31">
        <f>18+4+19</f>
        <v>41</v>
      </c>
      <c r="AA37" s="23">
        <v>0.79166666666666663</v>
      </c>
      <c r="AB37" s="23">
        <v>0.29166666666666669</v>
      </c>
      <c r="AC37" s="23" cm="1">
        <f t="array" ref="AC37">_xlfn.IFS($AJ37="","",$AJ37&gt;=8,TIME(1,0,0),$AJ37&lt;=5,"")</f>
        <v>4.1666666666666664E-2</v>
      </c>
      <c r="AD37" s="23" t="str">
        <f t="shared" si="18"/>
        <v/>
      </c>
      <c r="AE37" s="23" cm="1">
        <f t="array" ref="AE37">_xlfn.IFS($AA37="","",AND($AJ37&lt;=12,$AJ37&gt;10),TIME(0,35,0),AND($AJ37&lt;=10,$AJ37&gt;5),TIME(0,20,0),$AJ37&gt;12,TIME(0,20,0),AND(AJ37&gt;3,$AJ37&lt;=5),TIME(0,10,0),$AJ37&lt;3,"")</f>
        <v>2.4305555555555556E-2</v>
      </c>
      <c r="AF37" s="23">
        <f t="shared" si="12"/>
        <v>6.9444444444444441E-3</v>
      </c>
      <c r="AG37" s="23">
        <v>5.5555555555555552E-2</v>
      </c>
      <c r="AH37" s="30"/>
      <c r="AI37" s="30"/>
      <c r="AJ37" s="24">
        <f t="shared" si="13"/>
        <v>12</v>
      </c>
      <c r="AK37" s="23">
        <f t="shared" si="14"/>
        <v>7.2916666666666671E-2</v>
      </c>
      <c r="AL37" s="25">
        <f t="shared" si="15"/>
        <v>492</v>
      </c>
      <c r="AM37" s="25">
        <f t="shared" si="16"/>
        <v>365.58333333333337</v>
      </c>
      <c r="AN37" s="16">
        <f t="shared" si="17"/>
        <v>0.90942698706099812</v>
      </c>
      <c r="AO37" s="38"/>
      <c r="AP37" s="19"/>
      <c r="AQ37" s="34"/>
      <c r="AR37" s="30" t="s">
        <v>198</v>
      </c>
    </row>
    <row r="38" spans="2:44" ht="15" customHeight="1" x14ac:dyDescent="0.3">
      <c r="B38" s="97">
        <v>46027</v>
      </c>
      <c r="C38" s="21">
        <f t="shared" si="1"/>
        <v>1</v>
      </c>
      <c r="D38" s="18" t="s">
        <v>99</v>
      </c>
      <c r="E38" s="14">
        <v>132</v>
      </c>
      <c r="F38" s="14">
        <v>1</v>
      </c>
      <c r="G38" s="14">
        <v>1</v>
      </c>
      <c r="H38" s="14"/>
      <c r="I38" s="14">
        <v>24</v>
      </c>
      <c r="J38" s="14">
        <v>2</v>
      </c>
      <c r="K38" s="14">
        <v>24</v>
      </c>
      <c r="L38" s="14"/>
      <c r="M38" s="14">
        <f>15+7</f>
        <v>22</v>
      </c>
      <c r="N38" s="14">
        <f>1+3</f>
        <v>4</v>
      </c>
      <c r="O38" s="14"/>
      <c r="P38" s="14"/>
      <c r="Q38" s="14">
        <f>21+226+1</f>
        <v>248</v>
      </c>
      <c r="R38" s="14"/>
      <c r="S38" s="14"/>
      <c r="T38" s="14">
        <v>10</v>
      </c>
      <c r="U38" s="14"/>
      <c r="V38" s="14"/>
      <c r="W38" s="14">
        <v>15</v>
      </c>
      <c r="X38" s="22">
        <f t="shared" si="11"/>
        <v>483</v>
      </c>
      <c r="Y38" s="14"/>
      <c r="Z38" s="31">
        <v>35</v>
      </c>
      <c r="AA38" s="23">
        <v>0.29166666666666669</v>
      </c>
      <c r="AB38" s="23">
        <v>0.79166666666666663</v>
      </c>
      <c r="AC38" s="23" cm="1">
        <f t="array" ref="AC38">_xlfn.IFS($AJ38="","",$AJ38&gt;=8,TIME(1,0,0),$AJ38&lt;=5,"")</f>
        <v>4.1666666666666664E-2</v>
      </c>
      <c r="AD38" s="23" t="str">
        <f t="shared" si="18"/>
        <v/>
      </c>
      <c r="AE38" s="23" cm="1">
        <f t="array" ref="AE38">_xlfn.IFS($AA38="","",AND($AJ38&lt;=12,$AJ38&gt;10),TIME(0,35,0),AND($AJ38&lt;=10,$AJ38&gt;5),TIME(0,20,0),$AJ38&gt;12,TIME(0,20,0),AND(AJ38&gt;3,$AJ38&lt;=5),TIME(0,10,0),$AJ38&lt;3,"")</f>
        <v>2.4305555555555556E-2</v>
      </c>
      <c r="AF38" s="23">
        <f t="shared" si="12"/>
        <v>6.9444444444444441E-3</v>
      </c>
      <c r="AG38" s="23"/>
      <c r="AH38" s="30"/>
      <c r="AI38" s="30"/>
      <c r="AJ38" s="24">
        <f t="shared" si="13"/>
        <v>11.999999999999998</v>
      </c>
      <c r="AK38" s="23">
        <f t="shared" si="14"/>
        <v>7.2916666666666671E-2</v>
      </c>
      <c r="AL38" s="25">
        <f t="shared" si="15"/>
        <v>419.99999999999994</v>
      </c>
      <c r="AM38" s="25">
        <f t="shared" si="16"/>
        <v>358.74999999999994</v>
      </c>
      <c r="AN38" s="16">
        <f t="shared" si="17"/>
        <v>0.86956521739130421</v>
      </c>
      <c r="AO38" s="38"/>
      <c r="AP38" s="19"/>
      <c r="AQ38" s="34"/>
      <c r="AR38" s="30"/>
    </row>
    <row r="39" spans="2:44" ht="15" customHeight="1" x14ac:dyDescent="0.3">
      <c r="B39" s="97">
        <v>46027</v>
      </c>
      <c r="C39" s="21">
        <f t="shared" si="1"/>
        <v>1</v>
      </c>
      <c r="D39" s="18" t="s">
        <v>99</v>
      </c>
      <c r="E39" s="14">
        <v>227</v>
      </c>
      <c r="F39" s="14"/>
      <c r="G39" s="14"/>
      <c r="H39" s="14"/>
      <c r="I39" s="14">
        <v>43</v>
      </c>
      <c r="J39" s="14">
        <v>29</v>
      </c>
      <c r="K39" s="14">
        <v>73</v>
      </c>
      <c r="L39" s="14"/>
      <c r="M39" s="14"/>
      <c r="N39" s="14"/>
      <c r="O39" s="14"/>
      <c r="P39" s="14"/>
      <c r="Q39" s="14">
        <f>36+107+49</f>
        <v>192</v>
      </c>
      <c r="R39" s="14"/>
      <c r="S39" s="14"/>
      <c r="T39" s="14"/>
      <c r="U39" s="14"/>
      <c r="V39" s="14"/>
      <c r="W39" s="14"/>
      <c r="X39" s="22">
        <f t="shared" si="11"/>
        <v>564</v>
      </c>
      <c r="Y39" s="14"/>
      <c r="Z39" s="31">
        <f>19+11+9</f>
        <v>39</v>
      </c>
      <c r="AA39" s="23">
        <v>0.79166666666666663</v>
      </c>
      <c r="AB39" s="23">
        <v>0.29166666666666669</v>
      </c>
      <c r="AC39" s="23" cm="1">
        <f t="array" ref="AC39">_xlfn.IFS($AJ39="","",$AJ39&gt;=8,TIME(1,0,0),$AJ39&lt;=5,"")</f>
        <v>4.1666666666666664E-2</v>
      </c>
      <c r="AD39" s="23" t="str">
        <f t="shared" si="18"/>
        <v/>
      </c>
      <c r="AE39" s="23" cm="1">
        <f t="array" ref="AE39">_xlfn.IFS($AA39="","",AND($AJ39&lt;=12,$AJ39&gt;10),TIME(0,35,0),AND($AJ39&lt;=10,$AJ39&gt;5),TIME(0,20,0),$AJ39&gt;12,TIME(0,20,0),AND(AJ39&gt;3,$AJ39&lt;=5),TIME(0,10,0),$AJ39&lt;3,"")</f>
        <v>2.4305555555555556E-2</v>
      </c>
      <c r="AF39" s="23">
        <f t="shared" si="12"/>
        <v>6.9444444444444441E-3</v>
      </c>
      <c r="AG39" s="23"/>
      <c r="AH39" s="30"/>
      <c r="AI39" s="30"/>
      <c r="AJ39" s="24">
        <f t="shared" si="13"/>
        <v>12</v>
      </c>
      <c r="AK39" s="23">
        <f t="shared" si="14"/>
        <v>7.2916666666666671E-2</v>
      </c>
      <c r="AL39" s="25">
        <f t="shared" si="15"/>
        <v>468</v>
      </c>
      <c r="AM39" s="25">
        <f t="shared" si="16"/>
        <v>399.75</v>
      </c>
      <c r="AN39" s="16">
        <f t="shared" si="17"/>
        <v>0.82978723404255317</v>
      </c>
      <c r="AO39" s="16">
        <f>IF(COUNTIF(B32:B39,B32)=8,1/SUM(AN32:AN39),"")</f>
        <v>0.16956448340555952</v>
      </c>
      <c r="AP39" s="19"/>
      <c r="AQ39" s="34"/>
      <c r="AR39" s="30"/>
    </row>
    <row r="40" spans="2:44" ht="15" customHeight="1" x14ac:dyDescent="0.3">
      <c r="B40" s="98">
        <v>46028</v>
      </c>
      <c r="C40" s="21">
        <f t="shared" si="1"/>
        <v>1</v>
      </c>
      <c r="D40" s="36" t="s">
        <v>96</v>
      </c>
      <c r="E40" s="14">
        <v>271</v>
      </c>
      <c r="F40" s="14"/>
      <c r="G40" s="14"/>
      <c r="H40" s="14"/>
      <c r="I40" s="14"/>
      <c r="J40" s="14">
        <v>140</v>
      </c>
      <c r="K40" s="14">
        <v>120</v>
      </c>
      <c r="L40" s="14"/>
      <c r="M40" s="14"/>
      <c r="N40" s="14"/>
      <c r="O40" s="14"/>
      <c r="P40" s="14"/>
      <c r="Q40" s="14">
        <v>305</v>
      </c>
      <c r="R40" s="14"/>
      <c r="S40" s="14"/>
      <c r="T40" s="14"/>
      <c r="U40" s="14"/>
      <c r="V40" s="14"/>
      <c r="W40" s="14"/>
      <c r="X40" s="22">
        <f t="shared" si="11"/>
        <v>836</v>
      </c>
      <c r="Y40" s="14"/>
      <c r="Z40" s="31">
        <f>17+2+11+15+3+12</f>
        <v>60</v>
      </c>
      <c r="AA40" s="23">
        <v>0.29166666666666669</v>
      </c>
      <c r="AB40" s="23">
        <v>0.79166666666666663</v>
      </c>
      <c r="AC40" s="23" cm="1">
        <f t="array" ref="AC40">_xlfn.IFS($AJ40="","",$AJ40&gt;=8,TIME(1,0,0),$AJ40&lt;=5,"")</f>
        <v>4.1666666666666664E-2</v>
      </c>
      <c r="AD40" s="23" t="str">
        <f t="shared" si="18"/>
        <v/>
      </c>
      <c r="AE40" s="23" cm="1">
        <f t="array" ref="AE40">_xlfn.IFS($AA40="","",AND($AJ40&lt;=12,$AJ40&gt;10),TIME(0,35,0),AND($AJ40&lt;=10,$AJ40&gt;5),TIME(0,20,0),$AJ40&gt;12,TIME(0,20,0),AND(AJ40&gt;3,$AJ40&lt;=5),TIME(0,10,0),$AJ40&lt;3,"")</f>
        <v>2.4305555555555556E-2</v>
      </c>
      <c r="AF40" s="23">
        <f t="shared" si="12"/>
        <v>6.9444444444444441E-3</v>
      </c>
      <c r="AG40" s="23"/>
      <c r="AH40" s="30"/>
      <c r="AI40" s="30"/>
      <c r="AJ40" s="24">
        <f t="shared" si="13"/>
        <v>11.999999999999998</v>
      </c>
      <c r="AK40" s="23">
        <f t="shared" si="14"/>
        <v>7.2916666666666671E-2</v>
      </c>
      <c r="AL40" s="25">
        <f t="shared" si="15"/>
        <v>719.99999999999989</v>
      </c>
      <c r="AM40" s="25">
        <f t="shared" si="16"/>
        <v>614.99999999999989</v>
      </c>
      <c r="AN40" s="16">
        <f t="shared" si="17"/>
        <v>0.86124401913875581</v>
      </c>
      <c r="AO40" s="38"/>
      <c r="AP40" s="19"/>
      <c r="AQ40" s="34"/>
      <c r="AR40" s="30"/>
    </row>
    <row r="41" spans="2:44" ht="15" customHeight="1" x14ac:dyDescent="0.3">
      <c r="B41" s="98">
        <v>46028</v>
      </c>
      <c r="C41" s="21">
        <f t="shared" si="1"/>
        <v>1</v>
      </c>
      <c r="D41" s="36" t="s">
        <v>96</v>
      </c>
      <c r="E41" s="14"/>
      <c r="F41" s="14"/>
      <c r="G41" s="14"/>
      <c r="H41" s="14"/>
      <c r="I41" s="14"/>
      <c r="J41" s="14"/>
      <c r="K41" s="14"/>
      <c r="L41" s="14"/>
      <c r="M41" s="14"/>
      <c r="N41" s="14"/>
      <c r="O41" s="14"/>
      <c r="P41" s="14"/>
      <c r="Q41" s="14">
        <v>303</v>
      </c>
      <c r="R41" s="14"/>
      <c r="S41" s="14"/>
      <c r="T41" s="14"/>
      <c r="U41" s="14"/>
      <c r="V41" s="14"/>
      <c r="W41" s="14"/>
      <c r="X41" s="22">
        <f t="shared" si="11"/>
        <v>303</v>
      </c>
      <c r="Y41" s="14"/>
      <c r="Z41" s="31">
        <f>23+10</f>
        <v>33</v>
      </c>
      <c r="AA41" s="23">
        <v>0.79166666666666663</v>
      </c>
      <c r="AB41" s="23">
        <v>0.29166666666666669</v>
      </c>
      <c r="AC41" s="23" cm="1">
        <f t="array" ref="AC41">_xlfn.IFS($AJ41="","",$AJ41&gt;=8,TIME(1,0,0),$AJ41&lt;=5,"")</f>
        <v>4.1666666666666664E-2</v>
      </c>
      <c r="AD41" s="23" t="str">
        <f t="shared" si="18"/>
        <v/>
      </c>
      <c r="AE41" s="23" cm="1">
        <f t="array" ref="AE41">_xlfn.IFS($AA41="","",AND($AJ41&lt;=12,$AJ41&gt;10),TIME(0,35,0),AND($AJ41&lt;=10,$AJ41&gt;5),TIME(0,20,0),$AJ41&gt;12,TIME(0,20,0),AND(AJ41&gt;3,$AJ41&lt;=5),TIME(0,10,0),$AJ41&lt;3,"")</f>
        <v>2.4305555555555556E-2</v>
      </c>
      <c r="AF41" s="23">
        <f t="shared" si="12"/>
        <v>6.9444444444444441E-3</v>
      </c>
      <c r="AG41" s="23"/>
      <c r="AH41" s="30"/>
      <c r="AI41" s="30"/>
      <c r="AJ41" s="24">
        <f t="shared" si="13"/>
        <v>12</v>
      </c>
      <c r="AK41" s="23">
        <f t="shared" si="14"/>
        <v>7.2916666666666671E-2</v>
      </c>
      <c r="AL41" s="25">
        <f t="shared" si="15"/>
        <v>396</v>
      </c>
      <c r="AM41" s="25">
        <f t="shared" si="16"/>
        <v>338.25</v>
      </c>
      <c r="AN41" s="16">
        <f t="shared" si="17"/>
        <v>1.306930693069307</v>
      </c>
      <c r="AO41" s="38"/>
      <c r="AP41" s="19"/>
      <c r="AQ41" s="34"/>
      <c r="AR41" s="30"/>
    </row>
    <row r="42" spans="2:44" ht="15" customHeight="1" x14ac:dyDescent="0.3">
      <c r="B42" s="98">
        <v>46028</v>
      </c>
      <c r="C42" s="21">
        <f t="shared" si="1"/>
        <v>1</v>
      </c>
      <c r="D42" s="18" t="s">
        <v>97</v>
      </c>
      <c r="E42" s="14">
        <v>161</v>
      </c>
      <c r="F42" s="14"/>
      <c r="G42" s="14"/>
      <c r="H42" s="14"/>
      <c r="I42" s="14"/>
      <c r="J42" s="14">
        <v>77</v>
      </c>
      <c r="K42" s="14">
        <v>50</v>
      </c>
      <c r="L42" s="14"/>
      <c r="M42" s="14"/>
      <c r="N42" s="14"/>
      <c r="O42" s="14"/>
      <c r="P42" s="14"/>
      <c r="Q42" s="14">
        <v>305</v>
      </c>
      <c r="R42" s="14"/>
      <c r="S42" s="14"/>
      <c r="T42" s="14"/>
      <c r="U42" s="14"/>
      <c r="V42" s="14"/>
      <c r="W42" s="14"/>
      <c r="X42" s="22">
        <f t="shared" si="11"/>
        <v>593</v>
      </c>
      <c r="Y42" s="14"/>
      <c r="Z42" s="31">
        <f>4+2</f>
        <v>6</v>
      </c>
      <c r="AA42" s="23">
        <v>0.29166666666666669</v>
      </c>
      <c r="AB42" s="23">
        <v>0.79166666666666663</v>
      </c>
      <c r="AC42" s="23" cm="1">
        <f t="array" ref="AC42">_xlfn.IFS($AJ42="","",$AJ42&gt;=8,TIME(1,0,0),$AJ42&lt;=5,"")</f>
        <v>4.1666666666666664E-2</v>
      </c>
      <c r="AD42" s="23" t="str">
        <f t="shared" si="18"/>
        <v/>
      </c>
      <c r="AE42" s="23" cm="1">
        <f t="array" ref="AE42">_xlfn.IFS($AA42="","",AND($AJ42&lt;=12,$AJ42&gt;10),TIME(0,35,0),AND($AJ42&lt;=10,$AJ42&gt;5),TIME(0,20,0),$AJ42&gt;12,TIME(0,20,0),AND(AJ42&gt;3,$AJ42&lt;=5),TIME(0,10,0),$AJ42&lt;3,"")</f>
        <v>2.4305555555555556E-2</v>
      </c>
      <c r="AF42" s="23">
        <f t="shared" si="12"/>
        <v>6.9444444444444441E-3</v>
      </c>
      <c r="AG42" s="23">
        <v>4.1666666666666664E-2</v>
      </c>
      <c r="AH42" s="30"/>
      <c r="AI42" s="30"/>
      <c r="AJ42" s="24">
        <f t="shared" si="13"/>
        <v>11.999999999999998</v>
      </c>
      <c r="AK42" s="23">
        <f t="shared" si="14"/>
        <v>7.2916666666666671E-2</v>
      </c>
      <c r="AL42" s="25">
        <f t="shared" si="15"/>
        <v>71.999999999999986</v>
      </c>
      <c r="AM42" s="25">
        <f t="shared" si="16"/>
        <v>55.499999999999986</v>
      </c>
      <c r="AN42" s="16">
        <f t="shared" si="17"/>
        <v>0.12141652613827991</v>
      </c>
      <c r="AO42" s="38"/>
      <c r="AP42" s="19"/>
      <c r="AQ42" s="34"/>
      <c r="AR42" s="30" t="s">
        <v>199</v>
      </c>
    </row>
    <row r="43" spans="2:44" ht="15" customHeight="1" x14ac:dyDescent="0.3">
      <c r="B43" s="98">
        <v>46028</v>
      </c>
      <c r="C43" s="21">
        <f t="shared" si="1"/>
        <v>1</v>
      </c>
      <c r="D43" s="18" t="s">
        <v>97</v>
      </c>
      <c r="E43" s="14">
        <v>102</v>
      </c>
      <c r="F43" s="14"/>
      <c r="G43" s="14"/>
      <c r="H43" s="14"/>
      <c r="I43" s="14"/>
      <c r="J43" s="14">
        <v>65</v>
      </c>
      <c r="K43" s="14">
        <v>69</v>
      </c>
      <c r="L43" s="14"/>
      <c r="M43" s="14"/>
      <c r="N43" s="14"/>
      <c r="O43" s="14"/>
      <c r="P43" s="14"/>
      <c r="Q43" s="14">
        <v>303</v>
      </c>
      <c r="R43" s="14"/>
      <c r="S43" s="14"/>
      <c r="T43" s="14"/>
      <c r="U43" s="14"/>
      <c r="V43" s="14"/>
      <c r="W43" s="14"/>
      <c r="X43" s="22">
        <f t="shared" si="11"/>
        <v>539</v>
      </c>
      <c r="Y43" s="14"/>
      <c r="Z43" s="31">
        <f>4+2</f>
        <v>6</v>
      </c>
      <c r="AA43" s="23">
        <v>0.79166666666666663</v>
      </c>
      <c r="AB43" s="23">
        <v>0.29166666666666669</v>
      </c>
      <c r="AC43" s="23" cm="1">
        <f t="array" ref="AC43">_xlfn.IFS($AJ43="","",$AJ43&gt;=8,TIME(1,0,0),$AJ43&lt;=5,"")</f>
        <v>4.1666666666666664E-2</v>
      </c>
      <c r="AD43" s="23" t="str">
        <f t="shared" si="18"/>
        <v/>
      </c>
      <c r="AE43" s="23" cm="1">
        <f t="array" ref="AE43">_xlfn.IFS($AA43="","",AND($AJ43&lt;=12,$AJ43&gt;10),TIME(0,35,0),AND($AJ43&lt;=10,$AJ43&gt;5),TIME(0,20,0),$AJ43&gt;12,TIME(0,20,0),AND(AJ43&gt;3,$AJ43&lt;=5),TIME(0,10,0),$AJ43&lt;3,"")</f>
        <v>2.4305555555555556E-2</v>
      </c>
      <c r="AF43" s="23">
        <f t="shared" si="12"/>
        <v>6.9444444444444441E-3</v>
      </c>
      <c r="AG43" s="23"/>
      <c r="AH43" s="30"/>
      <c r="AI43" s="30"/>
      <c r="AJ43" s="24">
        <f t="shared" si="13"/>
        <v>12</v>
      </c>
      <c r="AK43" s="23">
        <f t="shared" si="14"/>
        <v>7.2916666666666671E-2</v>
      </c>
      <c r="AL43" s="25">
        <f t="shared" si="15"/>
        <v>72</v>
      </c>
      <c r="AM43" s="25">
        <f t="shared" si="16"/>
        <v>61.5</v>
      </c>
      <c r="AN43" s="16">
        <f t="shared" si="17"/>
        <v>0.13358070500927643</v>
      </c>
      <c r="AO43" s="38"/>
      <c r="AP43" s="19"/>
      <c r="AQ43" s="34"/>
      <c r="AR43" s="30"/>
    </row>
    <row r="44" spans="2:44" ht="15" customHeight="1" x14ac:dyDescent="0.3">
      <c r="B44" s="98">
        <v>46028</v>
      </c>
      <c r="C44" s="21">
        <f t="shared" si="1"/>
        <v>1</v>
      </c>
      <c r="D44" s="18" t="s">
        <v>98</v>
      </c>
      <c r="E44" s="14">
        <v>127</v>
      </c>
      <c r="F44" s="14"/>
      <c r="G44" s="14"/>
      <c r="H44" s="14"/>
      <c r="I44" s="14">
        <v>5</v>
      </c>
      <c r="J44" s="14">
        <v>50</v>
      </c>
      <c r="K44" s="14">
        <v>53</v>
      </c>
      <c r="L44" s="14"/>
      <c r="M44" s="14"/>
      <c r="N44" s="14"/>
      <c r="O44" s="14"/>
      <c r="P44" s="14"/>
      <c r="Q44" s="14">
        <v>298</v>
      </c>
      <c r="R44" s="14"/>
      <c r="S44" s="14"/>
      <c r="T44" s="14"/>
      <c r="U44" s="14"/>
      <c r="V44" s="14"/>
      <c r="W44" s="14"/>
      <c r="X44" s="22">
        <f t="shared" si="11"/>
        <v>533</v>
      </c>
      <c r="Y44" s="14"/>
      <c r="Z44" s="31">
        <f>18+9+12</f>
        <v>39</v>
      </c>
      <c r="AA44" s="23">
        <v>0.29166666666666669</v>
      </c>
      <c r="AB44" s="23">
        <v>0.79166666666666663</v>
      </c>
      <c r="AC44" s="23" cm="1">
        <f t="array" ref="AC44">_xlfn.IFS($AJ44="","",$AJ44&gt;=8,TIME(1,0,0),$AJ44&lt;=5,"")</f>
        <v>4.1666666666666664E-2</v>
      </c>
      <c r="AD44" s="23" t="str">
        <f t="shared" si="18"/>
        <v/>
      </c>
      <c r="AE44" s="23" cm="1">
        <f t="array" ref="AE44">_xlfn.IFS($AA44="","",AND($AJ44&lt;=12,$AJ44&gt;10),TIME(0,35,0),AND($AJ44&lt;=10,$AJ44&gt;5),TIME(0,20,0),$AJ44&gt;12,TIME(0,20,0),AND(AJ44&gt;3,$AJ44&lt;=5),TIME(0,10,0),$AJ44&lt;3,"")</f>
        <v>2.4305555555555556E-2</v>
      </c>
      <c r="AF44" s="23">
        <f t="shared" si="12"/>
        <v>6.9444444444444441E-3</v>
      </c>
      <c r="AG44" s="23">
        <v>4.1666666666666664E-2</v>
      </c>
      <c r="AH44" s="30"/>
      <c r="AI44" s="30"/>
      <c r="AJ44" s="24">
        <f t="shared" si="13"/>
        <v>11.999999999999998</v>
      </c>
      <c r="AK44" s="23">
        <f t="shared" si="14"/>
        <v>7.2916666666666671E-2</v>
      </c>
      <c r="AL44" s="25">
        <f t="shared" si="15"/>
        <v>467.99999999999994</v>
      </c>
      <c r="AM44" s="25">
        <f t="shared" si="16"/>
        <v>360.74999999999994</v>
      </c>
      <c r="AN44" s="16">
        <f t="shared" si="17"/>
        <v>0.87804878048780477</v>
      </c>
      <c r="AO44" s="38"/>
      <c r="AP44" s="19"/>
      <c r="AQ44" s="34"/>
      <c r="AR44" s="30" t="s">
        <v>200</v>
      </c>
    </row>
    <row r="45" spans="2:44" ht="15" customHeight="1" x14ac:dyDescent="0.3">
      <c r="B45" s="98">
        <v>46028</v>
      </c>
      <c r="C45" s="21">
        <f t="shared" si="1"/>
        <v>1</v>
      </c>
      <c r="D45" s="18" t="s">
        <v>98</v>
      </c>
      <c r="E45" s="14">
        <v>136</v>
      </c>
      <c r="F45" s="14"/>
      <c r="G45" s="14"/>
      <c r="H45" s="14"/>
      <c r="I45" s="14"/>
      <c r="J45" s="14">
        <v>72</v>
      </c>
      <c r="K45" s="14">
        <v>65</v>
      </c>
      <c r="L45" s="14"/>
      <c r="M45" s="14"/>
      <c r="N45" s="14"/>
      <c r="O45" s="14"/>
      <c r="P45" s="14"/>
      <c r="Q45" s="14">
        <v>311</v>
      </c>
      <c r="R45" s="14"/>
      <c r="S45" s="14"/>
      <c r="T45" s="14"/>
      <c r="U45" s="14"/>
      <c r="V45" s="14"/>
      <c r="W45" s="14"/>
      <c r="X45" s="22">
        <f t="shared" si="11"/>
        <v>584</v>
      </c>
      <c r="Y45" s="14"/>
      <c r="Z45" s="31">
        <f>18+3+19</f>
        <v>40</v>
      </c>
      <c r="AA45" s="23">
        <v>0.79166666666666663</v>
      </c>
      <c r="AB45" s="23">
        <v>0.29166666666666669</v>
      </c>
      <c r="AC45" s="23" cm="1">
        <f t="array" ref="AC45">_xlfn.IFS($AJ45="","",$AJ45&gt;=8,TIME(1,0,0),$AJ45&lt;=5,"")</f>
        <v>4.1666666666666664E-2</v>
      </c>
      <c r="AD45" s="23" t="str">
        <f t="shared" si="18"/>
        <v/>
      </c>
      <c r="AE45" s="23" cm="1">
        <f t="array" ref="AE45">_xlfn.IFS($AA45="","",AND($AJ45&lt;=12,$AJ45&gt;10),TIME(0,35,0),AND($AJ45&lt;=10,$AJ45&gt;5),TIME(0,20,0),$AJ45&gt;12,TIME(0,20,0),AND(AJ45&gt;3,$AJ45&lt;=5),TIME(0,10,0),$AJ45&lt;3,"")</f>
        <v>2.4305555555555556E-2</v>
      </c>
      <c r="AF45" s="23">
        <f t="shared" si="12"/>
        <v>6.9444444444444441E-3</v>
      </c>
      <c r="AG45" s="23">
        <v>2.7777777777777776E-2</v>
      </c>
      <c r="AH45" s="30"/>
      <c r="AI45" s="30"/>
      <c r="AJ45" s="24">
        <f t="shared" si="13"/>
        <v>12</v>
      </c>
      <c r="AK45" s="23">
        <f t="shared" si="14"/>
        <v>7.2916666666666671E-2</v>
      </c>
      <c r="AL45" s="25">
        <f t="shared" si="15"/>
        <v>480</v>
      </c>
      <c r="AM45" s="25">
        <f t="shared" si="16"/>
        <v>383.33333333333326</v>
      </c>
      <c r="AN45" s="16">
        <f t="shared" si="17"/>
        <v>0.82191780821917804</v>
      </c>
      <c r="AO45" s="38"/>
      <c r="AP45" s="19"/>
      <c r="AQ45" s="34"/>
      <c r="AR45" s="30" t="s">
        <v>201</v>
      </c>
    </row>
    <row r="46" spans="2:44" ht="15" customHeight="1" x14ac:dyDescent="0.3">
      <c r="B46" s="98">
        <v>46028</v>
      </c>
      <c r="C46" s="21">
        <f t="shared" si="1"/>
        <v>1</v>
      </c>
      <c r="D46" s="18" t="s">
        <v>99</v>
      </c>
      <c r="E46" s="14">
        <v>125</v>
      </c>
      <c r="F46" s="14">
        <v>2</v>
      </c>
      <c r="G46" s="14"/>
      <c r="H46" s="14"/>
      <c r="I46" s="14">
        <v>19</v>
      </c>
      <c r="J46" s="14">
        <v>40</v>
      </c>
      <c r="K46" s="14">
        <v>63</v>
      </c>
      <c r="L46" s="14">
        <v>1</v>
      </c>
      <c r="M46" s="14">
        <v>4</v>
      </c>
      <c r="N46" s="14">
        <f>1+3</f>
        <v>4</v>
      </c>
      <c r="O46" s="14"/>
      <c r="P46" s="14"/>
      <c r="Q46" s="14">
        <f>263+35+33+3</f>
        <v>334</v>
      </c>
      <c r="R46" s="14"/>
      <c r="S46" s="14"/>
      <c r="T46" s="14"/>
      <c r="U46" s="14"/>
      <c r="V46" s="14"/>
      <c r="W46" s="14">
        <v>1</v>
      </c>
      <c r="X46" s="22">
        <f t="shared" si="11"/>
        <v>593</v>
      </c>
      <c r="Y46" s="14"/>
      <c r="Z46" s="31">
        <f>16+6+14+6</f>
        <v>42</v>
      </c>
      <c r="AA46" s="23">
        <v>0.29166666666666669</v>
      </c>
      <c r="AB46" s="23">
        <v>0.79166666666666663</v>
      </c>
      <c r="AC46" s="23" cm="1">
        <f t="array" ref="AC46">_xlfn.IFS($AJ46="","",$AJ46&gt;=8,TIME(1,0,0),$AJ46&lt;=5,"")</f>
        <v>4.1666666666666664E-2</v>
      </c>
      <c r="AD46" s="23" t="str">
        <f t="shared" si="18"/>
        <v/>
      </c>
      <c r="AE46" s="23" cm="1">
        <f t="array" ref="AE46">_xlfn.IFS($AA46="","",AND($AJ46&lt;=12,$AJ46&gt;10),TIME(0,35,0),AND($AJ46&lt;=10,$AJ46&gt;5),TIME(0,20,0),$AJ46&gt;12,TIME(0,20,0),AND(AJ46&gt;3,$AJ46&lt;=5),TIME(0,10,0),$AJ46&lt;3,"")</f>
        <v>2.4305555555555556E-2</v>
      </c>
      <c r="AF46" s="23">
        <f t="shared" si="12"/>
        <v>6.9444444444444441E-3</v>
      </c>
      <c r="AG46" s="23"/>
      <c r="AH46" s="30"/>
      <c r="AI46" s="30"/>
      <c r="AJ46" s="24">
        <f t="shared" si="13"/>
        <v>11.999999999999998</v>
      </c>
      <c r="AK46" s="23">
        <f t="shared" si="14"/>
        <v>7.2916666666666671E-2</v>
      </c>
      <c r="AL46" s="25">
        <f t="shared" si="15"/>
        <v>503.99999999999994</v>
      </c>
      <c r="AM46" s="25">
        <f t="shared" si="16"/>
        <v>430.49999999999994</v>
      </c>
      <c r="AN46" s="16">
        <f t="shared" si="17"/>
        <v>0.84991568296795938</v>
      </c>
      <c r="AO46" s="38"/>
      <c r="AP46" s="19"/>
      <c r="AQ46" s="34"/>
      <c r="AR46" s="30"/>
    </row>
    <row r="47" spans="2:44" ht="15" customHeight="1" x14ac:dyDescent="0.3">
      <c r="B47" s="98">
        <v>46028</v>
      </c>
      <c r="C47" s="21">
        <f t="shared" si="1"/>
        <v>1</v>
      </c>
      <c r="D47" s="18" t="s">
        <v>99</v>
      </c>
      <c r="E47" s="14">
        <v>136</v>
      </c>
      <c r="F47" s="14"/>
      <c r="G47" s="14"/>
      <c r="H47" s="14"/>
      <c r="I47" s="14"/>
      <c r="J47" s="14">
        <v>50</v>
      </c>
      <c r="K47" s="14">
        <v>40</v>
      </c>
      <c r="L47" s="14"/>
      <c r="M47" s="14">
        <v>1</v>
      </c>
      <c r="N47" s="14">
        <v>1</v>
      </c>
      <c r="O47" s="14"/>
      <c r="P47" s="14"/>
      <c r="Q47" s="14">
        <f>296+6+7</f>
        <v>309</v>
      </c>
      <c r="R47" s="14"/>
      <c r="S47" s="14"/>
      <c r="T47" s="14">
        <v>1</v>
      </c>
      <c r="U47" s="14"/>
      <c r="V47" s="14"/>
      <c r="W47" s="14"/>
      <c r="X47" s="22">
        <f t="shared" si="11"/>
        <v>538</v>
      </c>
      <c r="Y47" s="14"/>
      <c r="Z47" s="31">
        <f>20+10+10</f>
        <v>40</v>
      </c>
      <c r="AA47" s="23">
        <v>0.79166666666666663</v>
      </c>
      <c r="AB47" s="23">
        <v>0.29166666666666669</v>
      </c>
      <c r="AC47" s="23" cm="1">
        <f t="array" ref="AC47">_xlfn.IFS($AJ47="","",$AJ47&gt;=8,TIME(1,0,0),$AJ47&lt;=5,"")</f>
        <v>4.1666666666666664E-2</v>
      </c>
      <c r="AD47" s="23" t="str">
        <f t="shared" si="18"/>
        <v/>
      </c>
      <c r="AE47" s="23" cm="1">
        <f t="array" ref="AE47">_xlfn.IFS($AA47="","",AND($AJ47&lt;=12,$AJ47&gt;10),TIME(0,35,0),AND($AJ47&lt;=10,$AJ47&gt;5),TIME(0,20,0),$AJ47&gt;12,TIME(0,20,0),AND(AJ47&gt;3,$AJ47&lt;=5),TIME(0,10,0),$AJ47&lt;3,"")</f>
        <v>2.4305555555555556E-2</v>
      </c>
      <c r="AF47" s="23">
        <f t="shared" si="12"/>
        <v>6.9444444444444441E-3</v>
      </c>
      <c r="AG47" s="23"/>
      <c r="AH47" s="30"/>
      <c r="AI47" s="23">
        <v>5.5555555555555552E-2</v>
      </c>
      <c r="AJ47" s="24">
        <f t="shared" si="13"/>
        <v>12</v>
      </c>
      <c r="AK47" s="23">
        <f t="shared" si="14"/>
        <v>7.2916666666666671E-2</v>
      </c>
      <c r="AL47" s="25">
        <f t="shared" si="15"/>
        <v>480</v>
      </c>
      <c r="AM47" s="25">
        <f t="shared" si="16"/>
        <v>410</v>
      </c>
      <c r="AN47" s="16">
        <f t="shared" si="17"/>
        <v>0.89219330855018586</v>
      </c>
      <c r="AO47" s="16">
        <f>IF(COUNTIF(B40:B47,B40)=8,1/SUM(AN40:AN47),"")</f>
        <v>0.17049578828166789</v>
      </c>
      <c r="AP47" s="19"/>
      <c r="AQ47" s="34"/>
      <c r="AR47" s="30" t="s">
        <v>202</v>
      </c>
    </row>
    <row r="48" spans="2:44" ht="15" customHeight="1" x14ac:dyDescent="0.3">
      <c r="B48" s="97">
        <v>46029</v>
      </c>
      <c r="C48" s="21">
        <f t="shared" si="1"/>
        <v>1</v>
      </c>
      <c r="D48" s="36" t="s">
        <v>96</v>
      </c>
      <c r="E48" s="14">
        <v>69</v>
      </c>
      <c r="F48" s="14">
        <v>180</v>
      </c>
      <c r="G48" s="14"/>
      <c r="H48" s="14"/>
      <c r="I48" s="14"/>
      <c r="J48" s="14">
        <v>135</v>
      </c>
      <c r="K48" s="14">
        <v>145</v>
      </c>
      <c r="L48" s="14"/>
      <c r="M48" s="14"/>
      <c r="N48" s="14"/>
      <c r="O48" s="14"/>
      <c r="P48" s="14"/>
      <c r="Q48" s="14">
        <f>51+253</f>
        <v>304</v>
      </c>
      <c r="R48" s="14"/>
      <c r="S48" s="14"/>
      <c r="T48" s="14"/>
      <c r="U48" s="14"/>
      <c r="V48" s="14"/>
      <c r="W48" s="14"/>
      <c r="X48" s="22">
        <f t="shared" si="11"/>
        <v>833</v>
      </c>
      <c r="Y48" s="14"/>
      <c r="Z48" s="31">
        <f>14+2+12+16+3+12</f>
        <v>59</v>
      </c>
      <c r="AA48" s="23">
        <v>0.29166666666666669</v>
      </c>
      <c r="AB48" s="23">
        <v>0.79166666666666663</v>
      </c>
      <c r="AC48" s="23" cm="1">
        <f t="array" ref="AC48">_xlfn.IFS($AJ48="","",$AJ48&gt;=8,TIME(1,0,0),$AJ48&lt;=5,"")</f>
        <v>4.1666666666666664E-2</v>
      </c>
      <c r="AD48" s="23" t="str">
        <f t="shared" si="18"/>
        <v/>
      </c>
      <c r="AE48" s="23" cm="1">
        <f t="array" ref="AE48">_xlfn.IFS($AA48="","",AND($AJ48&lt;=12,$AJ48&gt;10),TIME(0,35,0),AND($AJ48&lt;=10,$AJ48&gt;5),TIME(0,20,0),$AJ48&gt;12,TIME(0,20,0),AND(AJ48&gt;3,$AJ48&lt;=5),TIME(0,10,0),$AJ48&lt;3,"")</f>
        <v>2.4305555555555556E-2</v>
      </c>
      <c r="AF48" s="23">
        <f t="shared" si="12"/>
        <v>6.9444444444444441E-3</v>
      </c>
      <c r="AG48" s="23"/>
      <c r="AH48" s="30"/>
      <c r="AI48" s="30"/>
      <c r="AJ48" s="24">
        <f t="shared" si="13"/>
        <v>11.999999999999998</v>
      </c>
      <c r="AK48" s="23">
        <f t="shared" si="14"/>
        <v>7.2916666666666671E-2</v>
      </c>
      <c r="AL48" s="25">
        <f t="shared" si="15"/>
        <v>707.99999999999989</v>
      </c>
      <c r="AM48" s="25">
        <f t="shared" si="16"/>
        <v>604.74999999999989</v>
      </c>
      <c r="AN48" s="16">
        <f t="shared" si="17"/>
        <v>0.84993997599039606</v>
      </c>
      <c r="AO48" s="38"/>
      <c r="AP48" s="19"/>
      <c r="AQ48" s="34"/>
      <c r="AR48" s="30"/>
    </row>
    <row r="49" spans="2:44" ht="15" customHeight="1" x14ac:dyDescent="0.3">
      <c r="B49" s="97">
        <v>46029</v>
      </c>
      <c r="C49" s="21">
        <f t="shared" si="1"/>
        <v>1</v>
      </c>
      <c r="D49" s="36" t="s">
        <v>96</v>
      </c>
      <c r="E49" s="14"/>
      <c r="F49" s="14"/>
      <c r="G49" s="14"/>
      <c r="H49" s="14"/>
      <c r="I49" s="14"/>
      <c r="J49" s="14"/>
      <c r="K49" s="14"/>
      <c r="L49" s="14"/>
      <c r="M49" s="14"/>
      <c r="N49" s="14"/>
      <c r="O49" s="14"/>
      <c r="P49" s="14"/>
      <c r="Q49" s="14">
        <v>305</v>
      </c>
      <c r="R49" s="14"/>
      <c r="S49" s="14"/>
      <c r="T49" s="14"/>
      <c r="U49" s="14"/>
      <c r="V49" s="14"/>
      <c r="W49" s="14"/>
      <c r="X49" s="22">
        <f t="shared" si="11"/>
        <v>305</v>
      </c>
      <c r="Y49" s="14"/>
      <c r="Z49" s="31">
        <f>23+10</f>
        <v>33</v>
      </c>
      <c r="AA49" s="23">
        <v>0.79166666666666663</v>
      </c>
      <c r="AB49" s="23">
        <v>0.29166666666666669</v>
      </c>
      <c r="AC49" s="23" cm="1">
        <f t="array" ref="AC49">_xlfn.IFS($AJ49="","",$AJ49&gt;=8,TIME(1,0,0),$AJ49&lt;=5,"")</f>
        <v>4.1666666666666664E-2</v>
      </c>
      <c r="AD49" s="23" t="str">
        <f t="shared" si="18"/>
        <v/>
      </c>
      <c r="AE49" s="23" cm="1">
        <f t="array" ref="AE49">_xlfn.IFS($AA49="","",AND($AJ49&lt;=12,$AJ49&gt;10),TIME(0,35,0),AND($AJ49&lt;=10,$AJ49&gt;5),TIME(0,20,0),$AJ49&gt;12,TIME(0,20,0),AND(AJ49&gt;3,$AJ49&lt;=5),TIME(0,10,0),$AJ49&lt;3,"")</f>
        <v>2.4305555555555556E-2</v>
      </c>
      <c r="AF49" s="23">
        <f t="shared" si="12"/>
        <v>6.9444444444444441E-3</v>
      </c>
      <c r="AG49" s="23"/>
      <c r="AH49" s="30"/>
      <c r="AI49" s="30"/>
      <c r="AJ49" s="24">
        <f t="shared" si="13"/>
        <v>12</v>
      </c>
      <c r="AK49" s="23">
        <f t="shared" si="14"/>
        <v>7.2916666666666671E-2</v>
      </c>
      <c r="AL49" s="25">
        <f t="shared" si="15"/>
        <v>396</v>
      </c>
      <c r="AM49" s="25">
        <f t="shared" si="16"/>
        <v>338.25</v>
      </c>
      <c r="AN49" s="16">
        <f t="shared" si="17"/>
        <v>1.298360655737705</v>
      </c>
      <c r="AO49" s="38"/>
      <c r="AP49" s="19"/>
      <c r="AQ49" s="34"/>
      <c r="AR49" s="30"/>
    </row>
    <row r="50" spans="2:44" ht="15" customHeight="1" x14ac:dyDescent="0.3">
      <c r="B50" s="97">
        <v>46029</v>
      </c>
      <c r="C50" s="21">
        <f t="shared" si="1"/>
        <v>1</v>
      </c>
      <c r="D50" s="18" t="s">
        <v>97</v>
      </c>
      <c r="E50" s="14">
        <v>68</v>
      </c>
      <c r="F50" s="14">
        <v>97</v>
      </c>
      <c r="G50" s="14"/>
      <c r="H50" s="14"/>
      <c r="I50" s="14"/>
      <c r="J50" s="14">
        <v>76</v>
      </c>
      <c r="K50" s="14">
        <v>43</v>
      </c>
      <c r="L50" s="14"/>
      <c r="M50" s="14"/>
      <c r="N50" s="14"/>
      <c r="O50" s="14"/>
      <c r="P50" s="14"/>
      <c r="Q50" s="14">
        <v>301</v>
      </c>
      <c r="R50" s="14"/>
      <c r="S50" s="14"/>
      <c r="T50" s="14"/>
      <c r="U50" s="14"/>
      <c r="V50" s="14"/>
      <c r="W50" s="14"/>
      <c r="X50" s="22">
        <f t="shared" si="11"/>
        <v>585</v>
      </c>
      <c r="Y50" s="14"/>
      <c r="Z50" s="31">
        <f>4+2</f>
        <v>6</v>
      </c>
      <c r="AA50" s="23">
        <v>0.29166666666666669</v>
      </c>
      <c r="AB50" s="23">
        <v>0.79166666666666663</v>
      </c>
      <c r="AC50" s="23" cm="1">
        <f t="array" ref="AC50">_xlfn.IFS($AJ50="","",$AJ50&gt;=8,TIME(1,0,0),$AJ50&lt;=5,"")</f>
        <v>4.1666666666666664E-2</v>
      </c>
      <c r="AD50" s="23" t="str">
        <f t="shared" si="18"/>
        <v/>
      </c>
      <c r="AE50" s="23" cm="1">
        <f t="array" ref="AE50">_xlfn.IFS($AA50="","",AND($AJ50&lt;=12,$AJ50&gt;10),TIME(0,35,0),AND($AJ50&lt;=10,$AJ50&gt;5),TIME(0,20,0),$AJ50&gt;12,TIME(0,20,0),AND(AJ50&gt;3,$AJ50&lt;=5),TIME(0,10,0),$AJ50&lt;3,"")</f>
        <v>2.4305555555555556E-2</v>
      </c>
      <c r="AF50" s="23">
        <f t="shared" si="12"/>
        <v>6.9444444444444441E-3</v>
      </c>
      <c r="AG50" s="23">
        <v>4.8611111111111112E-2</v>
      </c>
      <c r="AH50" s="30"/>
      <c r="AI50" s="30"/>
      <c r="AJ50" s="24">
        <f t="shared" si="13"/>
        <v>11.999999999999998</v>
      </c>
      <c r="AK50" s="23">
        <f t="shared" si="14"/>
        <v>7.2916666666666671E-2</v>
      </c>
      <c r="AL50" s="25">
        <f t="shared" si="15"/>
        <v>71.999999999999986</v>
      </c>
      <c r="AM50" s="25">
        <f t="shared" si="16"/>
        <v>54.499999999999993</v>
      </c>
      <c r="AN50" s="16">
        <f t="shared" si="17"/>
        <v>0.12307692307692306</v>
      </c>
      <c r="AO50" s="38"/>
      <c r="AP50" s="19"/>
      <c r="AQ50" s="34"/>
      <c r="AR50" s="30" t="s">
        <v>203</v>
      </c>
    </row>
    <row r="51" spans="2:44" ht="15" customHeight="1" x14ac:dyDescent="0.3">
      <c r="B51" s="97">
        <v>46029</v>
      </c>
      <c r="C51" s="21">
        <f t="shared" si="1"/>
        <v>1</v>
      </c>
      <c r="D51" s="18" t="s">
        <v>97</v>
      </c>
      <c r="E51" s="14"/>
      <c r="F51" s="14">
        <v>85</v>
      </c>
      <c r="G51" s="14"/>
      <c r="H51" s="14"/>
      <c r="I51" s="14"/>
      <c r="J51" s="14">
        <v>67</v>
      </c>
      <c r="K51" s="14">
        <v>90</v>
      </c>
      <c r="L51" s="14"/>
      <c r="M51" s="14"/>
      <c r="N51" s="14"/>
      <c r="O51" s="14"/>
      <c r="P51" s="14"/>
      <c r="Q51" s="14">
        <v>305</v>
      </c>
      <c r="R51" s="14"/>
      <c r="S51" s="14"/>
      <c r="T51" s="14"/>
      <c r="U51" s="14"/>
      <c r="V51" s="14"/>
      <c r="W51" s="14"/>
      <c r="X51" s="22">
        <f t="shared" si="11"/>
        <v>547</v>
      </c>
      <c r="Y51" s="14"/>
      <c r="Z51" s="31">
        <f>1+4</f>
        <v>5</v>
      </c>
      <c r="AA51" s="23">
        <v>0.79166666666666663</v>
      </c>
      <c r="AB51" s="23">
        <v>0.29166666666666669</v>
      </c>
      <c r="AC51" s="23" cm="1">
        <f t="array" ref="AC51">_xlfn.IFS($AJ51="","",$AJ51&gt;=8,TIME(1,0,0),$AJ51&lt;=5,"")</f>
        <v>4.1666666666666664E-2</v>
      </c>
      <c r="AD51" s="23" t="str">
        <f t="shared" si="18"/>
        <v/>
      </c>
      <c r="AE51" s="23" cm="1">
        <f t="array" ref="AE51">_xlfn.IFS($AA51="","",AND($AJ51&lt;=12,$AJ51&gt;10),TIME(0,35,0),AND($AJ51&lt;=10,$AJ51&gt;5),TIME(0,20,0),$AJ51&gt;12,TIME(0,20,0),AND(AJ51&gt;3,$AJ51&lt;=5),TIME(0,10,0),$AJ51&lt;3,"")</f>
        <v>2.4305555555555556E-2</v>
      </c>
      <c r="AF51" s="23">
        <f t="shared" si="12"/>
        <v>6.9444444444444441E-3</v>
      </c>
      <c r="AG51" s="23"/>
      <c r="AH51" s="30"/>
      <c r="AI51" s="30"/>
      <c r="AJ51" s="24">
        <f t="shared" si="13"/>
        <v>12</v>
      </c>
      <c r="AK51" s="23">
        <f t="shared" si="14"/>
        <v>7.2916666666666671E-2</v>
      </c>
      <c r="AL51" s="25">
        <f t="shared" si="15"/>
        <v>60</v>
      </c>
      <c r="AM51" s="25">
        <f t="shared" si="16"/>
        <v>51.25</v>
      </c>
      <c r="AN51" s="16">
        <f t="shared" si="17"/>
        <v>0.10968921389396709</v>
      </c>
      <c r="AO51" s="38"/>
      <c r="AP51" s="19"/>
      <c r="AQ51" s="34"/>
      <c r="AR51" s="30"/>
    </row>
    <row r="52" spans="2:44" ht="15" customHeight="1" x14ac:dyDescent="0.3">
      <c r="B52" s="97">
        <v>46029</v>
      </c>
      <c r="C52" s="21">
        <f t="shared" si="1"/>
        <v>1</v>
      </c>
      <c r="D52" s="18" t="s">
        <v>98</v>
      </c>
      <c r="E52" s="14">
        <v>80</v>
      </c>
      <c r="F52" s="14">
        <v>28</v>
      </c>
      <c r="G52" s="14"/>
      <c r="H52" s="14"/>
      <c r="I52" s="14"/>
      <c r="J52" s="14">
        <v>63</v>
      </c>
      <c r="K52" s="14">
        <v>35</v>
      </c>
      <c r="L52" s="14"/>
      <c r="M52" s="14"/>
      <c r="N52" s="14"/>
      <c r="O52" s="14"/>
      <c r="P52" s="14"/>
      <c r="Q52" s="14">
        <v>302</v>
      </c>
      <c r="R52" s="14"/>
      <c r="S52" s="14"/>
      <c r="T52" s="14"/>
      <c r="U52" s="14"/>
      <c r="V52" s="14"/>
      <c r="W52" s="14"/>
      <c r="X52" s="22">
        <f t="shared" si="11"/>
        <v>508</v>
      </c>
      <c r="Y52" s="14"/>
      <c r="Z52" s="31">
        <f>18+10+12</f>
        <v>40</v>
      </c>
      <c r="AA52" s="23">
        <v>0.29166666666666669</v>
      </c>
      <c r="AB52" s="23">
        <v>0.79166666666666663</v>
      </c>
      <c r="AC52" s="23" cm="1">
        <f t="array" ref="AC52">_xlfn.IFS($AJ52="","",$AJ52&gt;=8,TIME(1,0,0),$AJ52&lt;=5,"")</f>
        <v>4.1666666666666664E-2</v>
      </c>
      <c r="AD52" s="23" t="str">
        <f t="shared" si="18"/>
        <v/>
      </c>
      <c r="AE52" s="23" cm="1">
        <f t="array" ref="AE52">_xlfn.IFS($AA52="","",AND($AJ52&lt;=12,$AJ52&gt;10),TIME(0,35,0),AND($AJ52&lt;=10,$AJ52&gt;5),TIME(0,20,0),$AJ52&gt;12,TIME(0,20,0),AND(AJ52&gt;3,$AJ52&lt;=5),TIME(0,10,0),$AJ52&lt;3,"")</f>
        <v>2.4305555555555556E-2</v>
      </c>
      <c r="AF52" s="23">
        <f t="shared" si="12"/>
        <v>6.9444444444444441E-3</v>
      </c>
      <c r="AG52" s="23">
        <v>4.1666666666666664E-2</v>
      </c>
      <c r="AH52" s="30"/>
      <c r="AI52" s="30"/>
      <c r="AJ52" s="24">
        <f t="shared" si="13"/>
        <v>11.999999999999998</v>
      </c>
      <c r="AK52" s="23">
        <f t="shared" si="14"/>
        <v>7.2916666666666671E-2</v>
      </c>
      <c r="AL52" s="25">
        <f t="shared" si="15"/>
        <v>479.99999999999994</v>
      </c>
      <c r="AM52" s="25">
        <f t="shared" si="16"/>
        <v>369.99999999999994</v>
      </c>
      <c r="AN52" s="16">
        <f t="shared" si="17"/>
        <v>0.9448818897637794</v>
      </c>
      <c r="AO52" s="38"/>
      <c r="AP52" s="19"/>
      <c r="AQ52" s="34"/>
      <c r="AR52" s="30" t="s">
        <v>204</v>
      </c>
    </row>
    <row r="53" spans="2:44" ht="15" customHeight="1" x14ac:dyDescent="0.3">
      <c r="B53" s="97">
        <v>46029</v>
      </c>
      <c r="C53" s="21">
        <f t="shared" si="1"/>
        <v>1</v>
      </c>
      <c r="D53" s="18" t="s">
        <v>98</v>
      </c>
      <c r="E53" s="14">
        <v>26</v>
      </c>
      <c r="F53" s="14">
        <v>132</v>
      </c>
      <c r="G53" s="14"/>
      <c r="H53" s="14"/>
      <c r="I53" s="14">
        <v>2</v>
      </c>
      <c r="J53" s="14">
        <v>83</v>
      </c>
      <c r="K53" s="14">
        <v>85</v>
      </c>
      <c r="L53" s="14"/>
      <c r="M53" s="14"/>
      <c r="N53" s="14"/>
      <c r="O53" s="14"/>
      <c r="P53" s="14"/>
      <c r="Q53" s="14">
        <v>290</v>
      </c>
      <c r="R53" s="14"/>
      <c r="S53" s="14"/>
      <c r="T53" s="14"/>
      <c r="U53" s="14"/>
      <c r="V53" s="14"/>
      <c r="W53" s="14"/>
      <c r="X53" s="22">
        <f t="shared" si="11"/>
        <v>618</v>
      </c>
      <c r="Y53" s="14"/>
      <c r="Z53" s="31">
        <f>18+3+18</f>
        <v>39</v>
      </c>
      <c r="AA53" s="23">
        <v>0.79166666666666663</v>
      </c>
      <c r="AB53" s="23">
        <v>0.29166666666666669</v>
      </c>
      <c r="AC53" s="23" cm="1">
        <f t="array" ref="AC53">_xlfn.IFS($AJ53="","",$AJ53&gt;=8,TIME(1,0,0),$AJ53&lt;=5,"")</f>
        <v>4.1666666666666664E-2</v>
      </c>
      <c r="AD53" s="23" t="str">
        <f t="shared" si="18"/>
        <v/>
      </c>
      <c r="AE53" s="23" cm="1">
        <f t="array" ref="AE53">_xlfn.IFS($AA53="","",AND($AJ53&lt;=12,$AJ53&gt;10),TIME(0,35,0),AND($AJ53&lt;=10,$AJ53&gt;5),TIME(0,20,0),$AJ53&gt;12,TIME(0,20,0),AND(AJ53&gt;3,$AJ53&lt;=5),TIME(0,10,0),$AJ53&lt;3,"")</f>
        <v>2.4305555555555556E-2</v>
      </c>
      <c r="AF53" s="23">
        <f t="shared" si="12"/>
        <v>6.9444444444444441E-3</v>
      </c>
      <c r="AG53" s="23"/>
      <c r="AH53" s="30"/>
      <c r="AI53" s="30"/>
      <c r="AJ53" s="24">
        <f t="shared" si="13"/>
        <v>12</v>
      </c>
      <c r="AK53" s="23">
        <f t="shared" si="14"/>
        <v>7.2916666666666671E-2</v>
      </c>
      <c r="AL53" s="25">
        <f t="shared" si="15"/>
        <v>468</v>
      </c>
      <c r="AM53" s="25">
        <f t="shared" si="16"/>
        <v>399.75</v>
      </c>
      <c r="AN53" s="16">
        <f t="shared" si="17"/>
        <v>0.75728155339805825</v>
      </c>
      <c r="AO53" s="38"/>
      <c r="AP53" s="19"/>
      <c r="AQ53" s="34"/>
      <c r="AR53" s="30"/>
    </row>
    <row r="54" spans="2:44" ht="15" customHeight="1" x14ac:dyDescent="0.3">
      <c r="B54" s="97">
        <v>46029</v>
      </c>
      <c r="C54" s="21">
        <f t="shared" si="1"/>
        <v>1</v>
      </c>
      <c r="D54" s="18" t="s">
        <v>99</v>
      </c>
      <c r="E54" s="14">
        <v>101</v>
      </c>
      <c r="F54" s="14"/>
      <c r="G54" s="14"/>
      <c r="H54" s="14"/>
      <c r="I54" s="14">
        <v>2</v>
      </c>
      <c r="J54" s="14">
        <v>81</v>
      </c>
      <c r="K54" s="14">
        <v>62</v>
      </c>
      <c r="L54" s="14"/>
      <c r="M54" s="14">
        <v>4</v>
      </c>
      <c r="N54" s="14">
        <v>1</v>
      </c>
      <c r="O54" s="14"/>
      <c r="P54" s="14"/>
      <c r="Q54" s="14">
        <f>325+32+1+2</f>
        <v>360</v>
      </c>
      <c r="R54" s="14"/>
      <c r="S54" s="14"/>
      <c r="T54" s="14">
        <v>1</v>
      </c>
      <c r="U54" s="14"/>
      <c r="V54" s="14"/>
      <c r="W54" s="14"/>
      <c r="X54" s="22">
        <f t="shared" ref="X54:X85" si="19">SUM(E54:W54)</f>
        <v>612</v>
      </c>
      <c r="Y54" s="14"/>
      <c r="Z54" s="31">
        <f>16+6+14</f>
        <v>36</v>
      </c>
      <c r="AA54" s="23">
        <v>0.29166666666666669</v>
      </c>
      <c r="AB54" s="23">
        <v>0.79166666666666663</v>
      </c>
      <c r="AC54" s="23" cm="1">
        <f t="array" ref="AC54">_xlfn.IFS($AJ54="","",$AJ54&gt;=8,TIME(1,0,0),$AJ54&lt;=5,"")</f>
        <v>4.1666666666666664E-2</v>
      </c>
      <c r="AD54" s="23" t="str">
        <f t="shared" si="18"/>
        <v/>
      </c>
      <c r="AE54" s="23" cm="1">
        <f t="array" ref="AE54">_xlfn.IFS($AA54="","",AND($AJ54&lt;=12,$AJ54&gt;10),TIME(0,35,0),AND($AJ54&lt;=10,$AJ54&gt;5),TIME(0,20,0),$AJ54&gt;12,TIME(0,20,0),AND(AJ54&gt;3,$AJ54&lt;=5),TIME(0,10,0),$AJ54&lt;3,"")</f>
        <v>2.4305555555555556E-2</v>
      </c>
      <c r="AF54" s="23">
        <f t="shared" si="12"/>
        <v>6.9444444444444441E-3</v>
      </c>
      <c r="AG54" s="23"/>
      <c r="AH54" s="30"/>
      <c r="AI54" s="30"/>
      <c r="AJ54" s="24">
        <f t="shared" si="13"/>
        <v>11.999999999999998</v>
      </c>
      <c r="AK54" s="23">
        <f t="shared" si="14"/>
        <v>7.2916666666666671E-2</v>
      </c>
      <c r="AL54" s="25">
        <f t="shared" si="15"/>
        <v>431.99999999999994</v>
      </c>
      <c r="AM54" s="25">
        <f t="shared" si="16"/>
        <v>368.99999999999994</v>
      </c>
      <c r="AN54" s="16">
        <f t="shared" si="17"/>
        <v>0.70588235294117641</v>
      </c>
      <c r="AO54" s="38"/>
      <c r="AP54" s="19"/>
      <c r="AQ54" s="34"/>
      <c r="AR54" s="30"/>
    </row>
    <row r="55" spans="2:44" ht="15" customHeight="1" x14ac:dyDescent="0.3">
      <c r="B55" s="97">
        <v>46029</v>
      </c>
      <c r="C55" s="21">
        <f t="shared" si="1"/>
        <v>1</v>
      </c>
      <c r="D55" s="18" t="s">
        <v>99</v>
      </c>
      <c r="E55" s="14">
        <v>80</v>
      </c>
      <c r="F55" s="14">
        <v>79</v>
      </c>
      <c r="G55" s="14"/>
      <c r="H55" s="14"/>
      <c r="I55" s="14"/>
      <c r="J55" s="14">
        <v>56</v>
      </c>
      <c r="K55" s="14">
        <v>46</v>
      </c>
      <c r="L55" s="14"/>
      <c r="M55" s="14"/>
      <c r="N55" s="14"/>
      <c r="O55" s="14"/>
      <c r="P55" s="14"/>
      <c r="Q55" s="14">
        <f>314+26+1</f>
        <v>341</v>
      </c>
      <c r="R55" s="14"/>
      <c r="S55" s="14"/>
      <c r="T55" s="14"/>
      <c r="U55" s="14"/>
      <c r="V55" s="14"/>
      <c r="W55" s="14"/>
      <c r="X55" s="22">
        <f t="shared" si="19"/>
        <v>602</v>
      </c>
      <c r="Y55" s="14"/>
      <c r="Z55" s="31">
        <f>20+10+9</f>
        <v>39</v>
      </c>
      <c r="AA55" s="23">
        <v>0.79166666666666663</v>
      </c>
      <c r="AB55" s="23">
        <v>0.29166666666666669</v>
      </c>
      <c r="AC55" s="23" cm="1">
        <f t="array" ref="AC55">_xlfn.IFS($AJ55="","",$AJ55&gt;=8,TIME(1,0,0),$AJ55&lt;=5,"")</f>
        <v>4.1666666666666664E-2</v>
      </c>
      <c r="AD55" s="23" t="str">
        <f t="shared" si="18"/>
        <v/>
      </c>
      <c r="AE55" s="23" cm="1">
        <f t="array" ref="AE55">_xlfn.IFS($AA55="","",AND($AJ55&lt;=12,$AJ55&gt;10),TIME(0,35,0),AND($AJ55&lt;=10,$AJ55&gt;5),TIME(0,20,0),$AJ55&gt;12,TIME(0,20,0),AND(AJ55&gt;3,$AJ55&lt;=5),TIME(0,10,0),$AJ55&lt;3,"")</f>
        <v>2.4305555555555556E-2</v>
      </c>
      <c r="AF55" s="23">
        <f t="shared" si="12"/>
        <v>6.9444444444444441E-3</v>
      </c>
      <c r="AG55" s="23"/>
      <c r="AH55" s="30"/>
      <c r="AI55" s="30"/>
      <c r="AJ55" s="24">
        <f t="shared" si="13"/>
        <v>12</v>
      </c>
      <c r="AK55" s="23">
        <f t="shared" si="14"/>
        <v>7.2916666666666671E-2</v>
      </c>
      <c r="AL55" s="25">
        <f t="shared" si="15"/>
        <v>468</v>
      </c>
      <c r="AM55" s="25">
        <f t="shared" si="16"/>
        <v>399.75</v>
      </c>
      <c r="AN55" s="16">
        <f t="shared" si="17"/>
        <v>0.77740863787375414</v>
      </c>
      <c r="AO55" s="16">
        <f>IF(COUNTIF(B48:B55,B48)=8,1/SUM(AN48:AN55),"")</f>
        <v>0.17964541292312194</v>
      </c>
      <c r="AP55" s="19"/>
      <c r="AQ55" s="34"/>
      <c r="AR55" s="30"/>
    </row>
    <row r="56" spans="2:44" ht="15" customHeight="1" x14ac:dyDescent="0.3">
      <c r="B56" s="98">
        <v>46030</v>
      </c>
      <c r="C56" s="21">
        <f t="shared" si="1"/>
        <v>1</v>
      </c>
      <c r="D56" s="36" t="s">
        <v>96</v>
      </c>
      <c r="E56" s="14"/>
      <c r="F56" s="14">
        <v>270</v>
      </c>
      <c r="G56" s="14"/>
      <c r="H56" s="14"/>
      <c r="I56" s="14"/>
      <c r="J56" s="14">
        <v>72</v>
      </c>
      <c r="K56" s="14">
        <v>138</v>
      </c>
      <c r="L56" s="14"/>
      <c r="M56" s="14"/>
      <c r="N56" s="14"/>
      <c r="O56" s="14"/>
      <c r="P56" s="14"/>
      <c r="Q56" s="14">
        <f>225+48</f>
        <v>273</v>
      </c>
      <c r="R56" s="14"/>
      <c r="S56" s="14"/>
      <c r="T56" s="14"/>
      <c r="U56" s="14"/>
      <c r="V56" s="14"/>
      <c r="W56" s="14"/>
      <c r="X56" s="22">
        <f t="shared" si="19"/>
        <v>753</v>
      </c>
      <c r="Y56" s="14"/>
      <c r="Z56" s="31">
        <f>16+2+11+16+3+12</f>
        <v>60</v>
      </c>
      <c r="AA56" s="23">
        <v>0.29166666666666669</v>
      </c>
      <c r="AB56" s="23">
        <v>0.75</v>
      </c>
      <c r="AC56" s="23" cm="1">
        <f t="array" ref="AC56">_xlfn.IFS($AJ56="","",$AJ56&gt;=8,TIME(1,0,0),$AJ56&lt;=5,"")</f>
        <v>4.1666666666666664E-2</v>
      </c>
      <c r="AD56" s="23" t="str">
        <f t="shared" si="18"/>
        <v/>
      </c>
      <c r="AE56" s="23" cm="1">
        <f t="array" ref="AE56">_xlfn.IFS($AA56="","",AND($AJ56&lt;=12,$AJ56&gt;10),TIME(0,35,0),AND($AJ56&lt;=10,$AJ56&gt;5),TIME(0,20,0),$AJ56&gt;12,TIME(0,20,0),AND(AJ56&gt;3,$AJ56&lt;=5),TIME(0,10,0),$AJ56&lt;3,"")</f>
        <v>2.4305555555555556E-2</v>
      </c>
      <c r="AF56" s="23">
        <f t="shared" si="12"/>
        <v>6.9444444444444441E-3</v>
      </c>
      <c r="AG56" s="23"/>
      <c r="AH56" s="30"/>
      <c r="AI56" s="30"/>
      <c r="AJ56" s="24">
        <f t="shared" si="13"/>
        <v>11</v>
      </c>
      <c r="AK56" s="23">
        <f t="shared" si="14"/>
        <v>7.2916666666666671E-2</v>
      </c>
      <c r="AL56" s="25">
        <f t="shared" si="15"/>
        <v>660</v>
      </c>
      <c r="AM56" s="25">
        <f t="shared" si="16"/>
        <v>555</v>
      </c>
      <c r="AN56" s="16">
        <f t="shared" si="17"/>
        <v>0.87649402390438247</v>
      </c>
      <c r="AO56" s="38"/>
      <c r="AP56" s="19"/>
      <c r="AQ56" s="34"/>
      <c r="AR56" s="30"/>
    </row>
    <row r="57" spans="2:44" ht="15" customHeight="1" x14ac:dyDescent="0.3">
      <c r="B57" s="98">
        <v>46030</v>
      </c>
      <c r="C57" s="21">
        <f t="shared" si="1"/>
        <v>1</v>
      </c>
      <c r="D57" s="36" t="s">
        <v>96</v>
      </c>
      <c r="E57" s="14"/>
      <c r="F57" s="14"/>
      <c r="G57" s="14"/>
      <c r="H57" s="14"/>
      <c r="I57" s="14"/>
      <c r="J57" s="14"/>
      <c r="K57" s="14"/>
      <c r="L57" s="14"/>
      <c r="M57" s="14"/>
      <c r="N57" s="14"/>
      <c r="O57" s="14"/>
      <c r="P57" s="14"/>
      <c r="Q57" s="14">
        <v>302</v>
      </c>
      <c r="R57" s="14"/>
      <c r="S57" s="14"/>
      <c r="T57" s="14"/>
      <c r="U57" s="14"/>
      <c r="V57" s="14"/>
      <c r="W57" s="14"/>
      <c r="X57" s="22">
        <f t="shared" si="19"/>
        <v>302</v>
      </c>
      <c r="Y57" s="14"/>
      <c r="Z57" s="31">
        <f>23+10</f>
        <v>33</v>
      </c>
      <c r="AA57" s="23">
        <v>0.79166666666666663</v>
      </c>
      <c r="AB57" s="23">
        <v>0.29166666666666669</v>
      </c>
      <c r="AC57" s="23" cm="1">
        <f t="array" ref="AC57">_xlfn.IFS($AJ57="","",$AJ57&gt;=8,TIME(1,0,0),$AJ57&lt;=5,"")</f>
        <v>4.1666666666666664E-2</v>
      </c>
      <c r="AD57" s="23" t="str">
        <f t="shared" si="18"/>
        <v/>
      </c>
      <c r="AE57" s="23" cm="1">
        <f t="array" ref="AE57">_xlfn.IFS($AA57="","",AND($AJ57&lt;=12,$AJ57&gt;10),TIME(0,35,0),AND($AJ57&lt;=10,$AJ57&gt;5),TIME(0,20,0),$AJ57&gt;12,TIME(0,20,0),AND(AJ57&gt;3,$AJ57&lt;=5),TIME(0,10,0),$AJ57&lt;3,"")</f>
        <v>2.4305555555555556E-2</v>
      </c>
      <c r="AF57" s="23">
        <f t="shared" si="12"/>
        <v>6.9444444444444441E-3</v>
      </c>
      <c r="AG57" s="23"/>
      <c r="AH57" s="30"/>
      <c r="AI57" s="30"/>
      <c r="AJ57" s="24">
        <f t="shared" si="13"/>
        <v>12</v>
      </c>
      <c r="AK57" s="23">
        <f t="shared" si="14"/>
        <v>7.2916666666666671E-2</v>
      </c>
      <c r="AL57" s="25">
        <f t="shared" si="15"/>
        <v>396</v>
      </c>
      <c r="AM57" s="25">
        <f t="shared" si="16"/>
        <v>338.25</v>
      </c>
      <c r="AN57" s="16">
        <f t="shared" si="17"/>
        <v>1.3112582781456954</v>
      </c>
      <c r="AO57" s="38"/>
      <c r="AP57" s="19"/>
      <c r="AQ57" s="34"/>
      <c r="AR57" s="30"/>
    </row>
    <row r="58" spans="2:44" ht="15" customHeight="1" x14ac:dyDescent="0.3">
      <c r="B58" s="98">
        <v>46030</v>
      </c>
      <c r="C58" s="21">
        <f t="shared" si="1"/>
        <v>1</v>
      </c>
      <c r="D58" s="18" t="s">
        <v>97</v>
      </c>
      <c r="E58" s="14"/>
      <c r="F58" s="14">
        <v>113</v>
      </c>
      <c r="G58" s="14"/>
      <c r="H58" s="14"/>
      <c r="I58" s="14"/>
      <c r="J58" s="14">
        <v>53</v>
      </c>
      <c r="K58" s="14">
        <v>38</v>
      </c>
      <c r="L58" s="14"/>
      <c r="M58" s="14"/>
      <c r="N58" s="14"/>
      <c r="O58" s="14"/>
      <c r="P58" s="14"/>
      <c r="Q58" s="14">
        <v>230</v>
      </c>
      <c r="R58" s="14"/>
      <c r="S58" s="14"/>
      <c r="T58" s="14"/>
      <c r="U58" s="14"/>
      <c r="V58" s="14"/>
      <c r="W58" s="14"/>
      <c r="X58" s="22">
        <f t="shared" si="19"/>
        <v>434</v>
      </c>
      <c r="Y58" s="14"/>
      <c r="Z58" s="31">
        <f>4+2</f>
        <v>6</v>
      </c>
      <c r="AA58" s="23">
        <v>0.29166666666666669</v>
      </c>
      <c r="AB58" s="23">
        <v>0.75</v>
      </c>
      <c r="AC58" s="23" cm="1">
        <f t="array" ref="AC58">_xlfn.IFS($AJ58="","",$AJ58&gt;=8,TIME(1,0,0),$AJ58&lt;=5,"")</f>
        <v>4.1666666666666664E-2</v>
      </c>
      <c r="AD58" s="23" t="str">
        <f t="shared" si="18"/>
        <v/>
      </c>
      <c r="AE58" s="23" cm="1">
        <f t="array" ref="AE58">_xlfn.IFS($AA58="","",AND($AJ58&lt;=12,$AJ58&gt;10),TIME(0,35,0),AND($AJ58&lt;=10,$AJ58&gt;5),TIME(0,20,0),$AJ58&gt;12,TIME(0,20,0),AND(AJ58&gt;3,$AJ58&lt;=5),TIME(0,10,0),$AJ58&lt;3,"")</f>
        <v>2.4305555555555556E-2</v>
      </c>
      <c r="AF58" s="23">
        <f t="shared" si="12"/>
        <v>6.9444444444444441E-3</v>
      </c>
      <c r="AG58" s="23">
        <v>0.14583333333333334</v>
      </c>
      <c r="AH58" s="30"/>
      <c r="AI58" s="30"/>
      <c r="AJ58" s="24">
        <f t="shared" si="13"/>
        <v>11</v>
      </c>
      <c r="AK58" s="23">
        <f t="shared" si="14"/>
        <v>7.2916666666666671E-2</v>
      </c>
      <c r="AL58" s="25">
        <f t="shared" si="15"/>
        <v>66</v>
      </c>
      <c r="AM58" s="25">
        <f t="shared" si="16"/>
        <v>34.5</v>
      </c>
      <c r="AN58" s="16">
        <f t="shared" si="17"/>
        <v>0.15207373271889402</v>
      </c>
      <c r="AO58" s="38"/>
      <c r="AP58" s="19"/>
      <c r="AQ58" s="34"/>
      <c r="AR58" s="30" t="s">
        <v>205</v>
      </c>
    </row>
    <row r="59" spans="2:44" ht="15" customHeight="1" x14ac:dyDescent="0.3">
      <c r="B59" s="98">
        <v>46030</v>
      </c>
      <c r="C59" s="21">
        <f t="shared" si="1"/>
        <v>1</v>
      </c>
      <c r="D59" s="18" t="s">
        <v>97</v>
      </c>
      <c r="E59" s="14"/>
      <c r="F59" s="14">
        <v>114</v>
      </c>
      <c r="G59" s="14"/>
      <c r="H59" s="14"/>
      <c r="I59" s="14"/>
      <c r="J59" s="14">
        <v>73</v>
      </c>
      <c r="K59" s="14">
        <v>32</v>
      </c>
      <c r="L59" s="14"/>
      <c r="M59" s="14"/>
      <c r="N59" s="14"/>
      <c r="O59" s="14"/>
      <c r="P59" s="14"/>
      <c r="Q59" s="14">
        <v>288</v>
      </c>
      <c r="R59" s="14"/>
      <c r="S59" s="14"/>
      <c r="T59" s="14"/>
      <c r="U59" s="14"/>
      <c r="V59" s="14"/>
      <c r="W59" s="14"/>
      <c r="X59" s="22">
        <f t="shared" si="19"/>
        <v>507</v>
      </c>
      <c r="Y59" s="14"/>
      <c r="Z59" s="31">
        <f>4+2</f>
        <v>6</v>
      </c>
      <c r="AA59" s="23">
        <v>0.79166666666666663</v>
      </c>
      <c r="AB59" s="23">
        <v>0.29166666666666669</v>
      </c>
      <c r="AC59" s="23" cm="1">
        <f t="array" ref="AC59">_xlfn.IFS($AJ59="","",$AJ59&gt;=8,TIME(1,0,0),$AJ59&lt;=5,"")</f>
        <v>4.1666666666666664E-2</v>
      </c>
      <c r="AD59" s="23" t="str">
        <f t="shared" si="18"/>
        <v/>
      </c>
      <c r="AE59" s="23" cm="1">
        <f t="array" ref="AE59">_xlfn.IFS($AA59="","",AND($AJ59&lt;=12,$AJ59&gt;10),TIME(0,35,0),AND($AJ59&lt;=10,$AJ59&gt;5),TIME(0,20,0),$AJ59&gt;12,TIME(0,20,0),AND(AJ59&gt;3,$AJ59&lt;=5),TIME(0,10,0),$AJ59&lt;3,"")</f>
        <v>2.4305555555555556E-2</v>
      </c>
      <c r="AF59" s="23">
        <f t="shared" si="12"/>
        <v>6.9444444444444441E-3</v>
      </c>
      <c r="AG59" s="23">
        <v>9.0277777777777776E-2</v>
      </c>
      <c r="AH59" s="30"/>
      <c r="AI59" s="30"/>
      <c r="AJ59" s="24">
        <f t="shared" si="13"/>
        <v>12</v>
      </c>
      <c r="AK59" s="23">
        <f t="shared" si="14"/>
        <v>7.2916666666666671E-2</v>
      </c>
      <c r="AL59" s="25">
        <f t="shared" si="15"/>
        <v>72</v>
      </c>
      <c r="AM59" s="25">
        <f t="shared" si="16"/>
        <v>48.499999999999993</v>
      </c>
      <c r="AN59" s="16">
        <f t="shared" si="17"/>
        <v>0.14201183431952663</v>
      </c>
      <c r="AO59" s="38"/>
      <c r="AP59" s="19"/>
      <c r="AQ59" s="34"/>
      <c r="AR59" s="30" t="s">
        <v>206</v>
      </c>
    </row>
    <row r="60" spans="2:44" ht="15" customHeight="1" x14ac:dyDescent="0.3">
      <c r="B60" s="98">
        <v>46030</v>
      </c>
      <c r="C60" s="21">
        <f t="shared" si="1"/>
        <v>1</v>
      </c>
      <c r="D60" s="18" t="s">
        <v>98</v>
      </c>
      <c r="E60" s="14"/>
      <c r="F60" s="14">
        <v>35</v>
      </c>
      <c r="G60" s="14"/>
      <c r="H60" s="14"/>
      <c r="I60" s="14"/>
      <c r="J60" s="14">
        <v>27</v>
      </c>
      <c r="K60" s="14">
        <v>40</v>
      </c>
      <c r="L60" s="14"/>
      <c r="M60" s="14"/>
      <c r="N60" s="14"/>
      <c r="O60" s="14"/>
      <c r="P60" s="14"/>
      <c r="Q60" s="14">
        <v>220</v>
      </c>
      <c r="R60" s="14"/>
      <c r="S60" s="14"/>
      <c r="T60" s="14"/>
      <c r="U60" s="14"/>
      <c r="V60" s="14"/>
      <c r="W60" s="14"/>
      <c r="X60" s="22">
        <f t="shared" si="19"/>
        <v>322</v>
      </c>
      <c r="Y60" s="14"/>
      <c r="Z60" s="31">
        <f>17+9+11</f>
        <v>37</v>
      </c>
      <c r="AA60" s="23">
        <v>0.29166666666666669</v>
      </c>
      <c r="AB60" s="23">
        <v>0.75</v>
      </c>
      <c r="AC60" s="23" cm="1">
        <f t="array" ref="AC60">_xlfn.IFS($AJ60="","",$AJ60&gt;=8,TIME(1,0,0),$AJ60&lt;=5,"")</f>
        <v>4.1666666666666664E-2</v>
      </c>
      <c r="AD60" s="23" t="str">
        <f t="shared" si="18"/>
        <v/>
      </c>
      <c r="AE60" s="23" cm="1">
        <f t="array" ref="AE60">_xlfn.IFS($AA60="","",AND($AJ60&lt;=12,$AJ60&gt;10),TIME(0,35,0),AND($AJ60&lt;=10,$AJ60&gt;5),TIME(0,20,0),$AJ60&gt;12,TIME(0,20,0),AND(AJ60&gt;3,$AJ60&lt;=5),TIME(0,10,0),$AJ60&lt;3,"")</f>
        <v>2.4305555555555556E-2</v>
      </c>
      <c r="AF60" s="23">
        <f t="shared" si="12"/>
        <v>6.9444444444444441E-3</v>
      </c>
      <c r="AG60" s="23">
        <v>0.12152777777777778</v>
      </c>
      <c r="AH60" s="30"/>
      <c r="AI60" s="30"/>
      <c r="AJ60" s="24">
        <f t="shared" si="13"/>
        <v>11</v>
      </c>
      <c r="AK60" s="23">
        <f t="shared" si="14"/>
        <v>7.2916666666666671E-2</v>
      </c>
      <c r="AL60" s="25">
        <f t="shared" si="15"/>
        <v>407</v>
      </c>
      <c r="AM60" s="25">
        <f t="shared" si="16"/>
        <v>234.33333333333331</v>
      </c>
      <c r="AN60" s="16">
        <f t="shared" si="17"/>
        <v>1.2639751552795031</v>
      </c>
      <c r="AO60" s="38"/>
      <c r="AP60" s="19"/>
      <c r="AQ60" s="34"/>
      <c r="AR60" s="30" t="s">
        <v>207</v>
      </c>
    </row>
    <row r="61" spans="2:44" ht="15" customHeight="1" x14ac:dyDescent="0.3">
      <c r="B61" s="98">
        <v>46030</v>
      </c>
      <c r="C61" s="21">
        <f t="shared" si="1"/>
        <v>1</v>
      </c>
      <c r="D61" s="18" t="s">
        <v>98</v>
      </c>
      <c r="E61" s="14"/>
      <c r="F61" s="14">
        <v>142</v>
      </c>
      <c r="G61" s="14"/>
      <c r="H61" s="14"/>
      <c r="I61" s="14"/>
      <c r="J61" s="14">
        <v>43</v>
      </c>
      <c r="K61" s="14">
        <v>67</v>
      </c>
      <c r="L61" s="14"/>
      <c r="M61" s="14"/>
      <c r="N61" s="14"/>
      <c r="O61" s="14"/>
      <c r="P61" s="14"/>
      <c r="Q61" s="14">
        <v>290</v>
      </c>
      <c r="R61" s="14"/>
      <c r="S61" s="14"/>
      <c r="T61" s="14"/>
      <c r="U61" s="14"/>
      <c r="V61" s="14"/>
      <c r="W61" s="14"/>
      <c r="X61" s="22">
        <f t="shared" si="19"/>
        <v>542</v>
      </c>
      <c r="Y61" s="14"/>
      <c r="Z61" s="31">
        <f>18+3+18</f>
        <v>39</v>
      </c>
      <c r="AA61" s="23">
        <v>0.79166666666666663</v>
      </c>
      <c r="AB61" s="23">
        <v>0.29166666666666669</v>
      </c>
      <c r="AC61" s="23" cm="1">
        <f t="array" ref="AC61">_xlfn.IFS($AJ61="","",$AJ61&gt;=8,TIME(1,0,0),$AJ61&lt;=5,"")</f>
        <v>4.1666666666666664E-2</v>
      </c>
      <c r="AD61" s="23" t="str">
        <f t="shared" si="18"/>
        <v/>
      </c>
      <c r="AE61" s="23" cm="1">
        <f t="array" ref="AE61">_xlfn.IFS($AA61="","",AND($AJ61&lt;=12,$AJ61&gt;10),TIME(0,35,0),AND($AJ61&lt;=10,$AJ61&gt;5),TIME(0,20,0),$AJ61&gt;12,TIME(0,20,0),AND(AJ61&gt;3,$AJ61&lt;=5),TIME(0,10,0),$AJ61&lt;3,"")</f>
        <v>2.4305555555555556E-2</v>
      </c>
      <c r="AF61" s="23">
        <f t="shared" si="12"/>
        <v>6.9444444444444441E-3</v>
      </c>
      <c r="AG61" s="23">
        <v>5.9027777777777776E-2</v>
      </c>
      <c r="AH61" s="30"/>
      <c r="AI61" s="30"/>
      <c r="AJ61" s="24">
        <f t="shared" si="13"/>
        <v>12</v>
      </c>
      <c r="AK61" s="23">
        <f t="shared" si="14"/>
        <v>7.2916666666666671E-2</v>
      </c>
      <c r="AL61" s="25">
        <f t="shared" si="15"/>
        <v>468</v>
      </c>
      <c r="AM61" s="25">
        <f t="shared" si="16"/>
        <v>344.49999999999994</v>
      </c>
      <c r="AN61" s="16">
        <f t="shared" si="17"/>
        <v>0.86346863468634683</v>
      </c>
      <c r="AO61" s="38"/>
      <c r="AP61" s="19"/>
      <c r="AQ61" s="34"/>
      <c r="AR61" s="30" t="s">
        <v>208</v>
      </c>
    </row>
    <row r="62" spans="2:44" ht="15" customHeight="1" x14ac:dyDescent="0.3">
      <c r="B62" s="98">
        <v>46030</v>
      </c>
      <c r="C62" s="21">
        <f t="shared" si="1"/>
        <v>1</v>
      </c>
      <c r="D62" s="18" t="s">
        <v>99</v>
      </c>
      <c r="E62" s="14">
        <v>8</v>
      </c>
      <c r="F62" s="14">
        <v>70</v>
      </c>
      <c r="G62" s="14"/>
      <c r="H62" s="14"/>
      <c r="I62" s="14">
        <v>2</v>
      </c>
      <c r="J62" s="14">
        <v>44</v>
      </c>
      <c r="K62" s="14">
        <v>50</v>
      </c>
      <c r="L62" s="14"/>
      <c r="M62" s="14">
        <v>1</v>
      </c>
      <c r="N62" s="14"/>
      <c r="O62" s="14"/>
      <c r="P62" s="14"/>
      <c r="Q62" s="14">
        <f>73+95</f>
        <v>168</v>
      </c>
      <c r="R62" s="14"/>
      <c r="S62" s="14"/>
      <c r="T62" s="14"/>
      <c r="U62" s="14"/>
      <c r="V62" s="14"/>
      <c r="W62" s="14"/>
      <c r="X62" s="22">
        <f t="shared" si="19"/>
        <v>343</v>
      </c>
      <c r="Y62" s="14"/>
      <c r="Z62" s="31">
        <v>42</v>
      </c>
      <c r="AA62" s="23">
        <v>0.29166666666666669</v>
      </c>
      <c r="AB62" s="23">
        <v>0.70833333333333337</v>
      </c>
      <c r="AC62" s="23" cm="1">
        <f t="array" ref="AC62">_xlfn.IFS($AJ62="","",$AJ62&gt;=8,TIME(1,0,0),$AJ62&lt;=5,"")</f>
        <v>4.1666666666666664E-2</v>
      </c>
      <c r="AD62" s="23" t="str">
        <f t="shared" si="18"/>
        <v/>
      </c>
      <c r="AE62" s="23" cm="1">
        <f t="array" ref="AE62">_xlfn.IFS($AA62="","",AND($AJ62&lt;=12,$AJ62&gt;10),TIME(0,35,0),AND($AJ62&lt;=10,$AJ62&gt;5),TIME(0,20,0),$AJ62&gt;12,TIME(0,20,0),AND(AJ62&gt;3,$AJ62&lt;=5),TIME(0,10,0),$AJ62&lt;3,"")</f>
        <v>1.3888888888888888E-2</v>
      </c>
      <c r="AF62" s="23">
        <f t="shared" si="12"/>
        <v>6.9444444444444441E-3</v>
      </c>
      <c r="AG62" s="23">
        <v>0.16666666666666666</v>
      </c>
      <c r="AH62" s="30"/>
      <c r="AI62" s="30"/>
      <c r="AJ62" s="24">
        <f t="shared" si="13"/>
        <v>10</v>
      </c>
      <c r="AK62" s="23">
        <f t="shared" si="14"/>
        <v>6.25E-2</v>
      </c>
      <c r="AL62" s="25">
        <f t="shared" si="15"/>
        <v>420</v>
      </c>
      <c r="AM62" s="25">
        <f t="shared" si="16"/>
        <v>189</v>
      </c>
      <c r="AN62" s="16">
        <f t="shared" si="17"/>
        <v>1.2244897959183674</v>
      </c>
      <c r="AO62" s="38"/>
      <c r="AP62" s="19"/>
      <c r="AQ62" s="34"/>
      <c r="AR62" s="30" t="s">
        <v>209</v>
      </c>
    </row>
    <row r="63" spans="2:44" ht="15" customHeight="1" x14ac:dyDescent="0.3">
      <c r="B63" s="98">
        <v>46030</v>
      </c>
      <c r="C63" s="21">
        <f t="shared" si="1"/>
        <v>1</v>
      </c>
      <c r="D63" s="18" t="s">
        <v>99</v>
      </c>
      <c r="E63" s="14">
        <v>1</v>
      </c>
      <c r="F63" s="14">
        <v>117</v>
      </c>
      <c r="G63" s="14"/>
      <c r="H63" s="14"/>
      <c r="I63" s="14">
        <v>1</v>
      </c>
      <c r="J63" s="14">
        <v>64</v>
      </c>
      <c r="K63" s="14">
        <v>69</v>
      </c>
      <c r="L63" s="14"/>
      <c r="M63" s="14"/>
      <c r="N63" s="14"/>
      <c r="O63" s="14"/>
      <c r="P63" s="14"/>
      <c r="Q63" s="14">
        <f>242+25</f>
        <v>267</v>
      </c>
      <c r="R63" s="14"/>
      <c r="S63" s="14"/>
      <c r="T63" s="14"/>
      <c r="U63" s="14"/>
      <c r="V63" s="14"/>
      <c r="W63" s="14">
        <v>1</v>
      </c>
      <c r="X63" s="22">
        <f t="shared" si="19"/>
        <v>520</v>
      </c>
      <c r="Y63" s="14"/>
      <c r="Z63" s="31">
        <f>20+8+10</f>
        <v>38</v>
      </c>
      <c r="AA63" s="23">
        <v>0.79166666666666663</v>
      </c>
      <c r="AB63" s="23">
        <v>0.29166666666666669</v>
      </c>
      <c r="AC63" s="23" cm="1">
        <f t="array" ref="AC63">_xlfn.IFS($AJ63="","",$AJ63&gt;=8,TIME(1,0,0),$AJ63&lt;=5,"")</f>
        <v>4.1666666666666664E-2</v>
      </c>
      <c r="AD63" s="23" t="str">
        <f t="shared" si="18"/>
        <v/>
      </c>
      <c r="AE63" s="23" cm="1">
        <f t="array" ref="AE63">_xlfn.IFS($AA63="","",AND($AJ63&lt;=12,$AJ63&gt;10),TIME(0,35,0),AND($AJ63&lt;=10,$AJ63&gt;5),TIME(0,20,0),$AJ63&gt;12,TIME(0,20,0),AND(AJ63&gt;3,$AJ63&lt;=5),TIME(0,10,0),$AJ63&lt;3,"")</f>
        <v>2.4305555555555556E-2</v>
      </c>
      <c r="AF63" s="23">
        <f t="shared" si="12"/>
        <v>6.9444444444444441E-3</v>
      </c>
      <c r="AG63" s="23">
        <v>4.5138888888888888E-2</v>
      </c>
      <c r="AH63" s="30"/>
      <c r="AI63" s="30"/>
      <c r="AJ63" s="24">
        <f t="shared" si="13"/>
        <v>12</v>
      </c>
      <c r="AK63" s="23">
        <f t="shared" si="14"/>
        <v>7.2916666666666671E-2</v>
      </c>
      <c r="AL63" s="25">
        <f t="shared" si="15"/>
        <v>456</v>
      </c>
      <c r="AM63" s="25">
        <f t="shared" si="16"/>
        <v>348.33333333333337</v>
      </c>
      <c r="AN63" s="16">
        <f t="shared" si="17"/>
        <v>0.87692307692307692</v>
      </c>
      <c r="AO63" s="16">
        <f>IF(COUNTIF(B56:B63,B56)=8,1/SUM(AN56:AN63),"")</f>
        <v>0.14901587238802488</v>
      </c>
      <c r="AP63" s="19"/>
      <c r="AQ63" s="34"/>
      <c r="AR63" s="30" t="s">
        <v>210</v>
      </c>
    </row>
    <row r="64" spans="2:44" ht="15" customHeight="1" x14ac:dyDescent="0.3">
      <c r="B64" s="97">
        <v>46031</v>
      </c>
      <c r="C64" s="21">
        <f t="shared" si="1"/>
        <v>1</v>
      </c>
      <c r="D64" s="36" t="s">
        <v>96</v>
      </c>
      <c r="E64" s="14"/>
      <c r="F64" s="14">
        <v>279</v>
      </c>
      <c r="G64" s="14"/>
      <c r="H64" s="14"/>
      <c r="I64" s="14">
        <v>48</v>
      </c>
      <c r="J64" s="14">
        <v>103</v>
      </c>
      <c r="K64" s="14">
        <v>107</v>
      </c>
      <c r="L64" s="14"/>
      <c r="M64" s="14"/>
      <c r="N64" s="14"/>
      <c r="O64" s="14"/>
      <c r="P64" s="14"/>
      <c r="Q64" s="14">
        <v>303</v>
      </c>
      <c r="R64" s="14"/>
      <c r="S64" s="14"/>
      <c r="T64" s="14"/>
      <c r="U64" s="14"/>
      <c r="V64" s="14"/>
      <c r="W64" s="14"/>
      <c r="X64" s="22">
        <f t="shared" si="19"/>
        <v>840</v>
      </c>
      <c r="Y64" s="14"/>
      <c r="Z64" s="31">
        <f>14+2+13+18+2+12</f>
        <v>61</v>
      </c>
      <c r="AA64" s="23">
        <v>0.29166666666666669</v>
      </c>
      <c r="AB64" s="23">
        <v>0.79166666666666663</v>
      </c>
      <c r="AC64" s="23" cm="1">
        <f t="array" ref="AC64">_xlfn.IFS($AJ64="","",$AJ64&gt;=8,TIME(1,0,0),$AJ64&lt;=5,"")</f>
        <v>4.1666666666666664E-2</v>
      </c>
      <c r="AD64" s="23" t="str">
        <f t="shared" si="18"/>
        <v/>
      </c>
      <c r="AE64" s="23" cm="1">
        <f t="array" ref="AE64">_xlfn.IFS($AA64="","",AND($AJ64&lt;=12,$AJ64&gt;10),TIME(0,35,0),AND($AJ64&lt;=10,$AJ64&gt;5),TIME(0,20,0),$AJ64&gt;12,TIME(0,20,0),AND(AJ64&gt;3,$AJ64&lt;=5),TIME(0,10,0),$AJ64&lt;3,"")</f>
        <v>2.4305555555555556E-2</v>
      </c>
      <c r="AF64" s="23">
        <f t="shared" ref="AF64:AF93" si="20">IF($AA64&lt;&gt;"",TIME(0,10,0),"")</f>
        <v>6.9444444444444441E-3</v>
      </c>
      <c r="AG64" s="23"/>
      <c r="AH64" s="30"/>
      <c r="AI64" s="30"/>
      <c r="AJ64" s="24">
        <f t="shared" ref="AJ64:AJ93" si="21">IF($AA64="","",MOD($AB64-$AA64,1)*24)</f>
        <v>11.999999999999998</v>
      </c>
      <c r="AK64" s="23">
        <f t="shared" ref="AK64:AK93" si="22">IF($AA64="","",SUM($AC64:$AF64))</f>
        <v>7.2916666666666671E-2</v>
      </c>
      <c r="AL64" s="25">
        <f t="shared" ref="AL64:AL93" si="23">IF(OR($Z64="",$AJ64=""),"",$AJ64*$Z64)</f>
        <v>731.99999999999989</v>
      </c>
      <c r="AM64" s="25">
        <f t="shared" ref="AM64:AM93" si="24">IF(OR($Z64="",$AJ64=""),"",($AJ64-($AK64+$AG64)*24)*$Z64)</f>
        <v>625.24999999999989</v>
      </c>
      <c r="AN64" s="16">
        <f t="shared" ref="AN64:AN93" si="25">IF(OR($X64=0,$Z64="",$AL64=""),"",$AL64/$X64)</f>
        <v>0.87142857142857133</v>
      </c>
      <c r="AO64" s="38"/>
      <c r="AP64" s="19"/>
      <c r="AQ64" s="34"/>
      <c r="AR64" s="30"/>
    </row>
    <row r="65" spans="2:44" ht="15" customHeight="1" x14ac:dyDescent="0.3">
      <c r="B65" s="97">
        <v>46031</v>
      </c>
      <c r="C65" s="21">
        <f t="shared" si="1"/>
        <v>1</v>
      </c>
      <c r="D65" s="36" t="s">
        <v>96</v>
      </c>
      <c r="E65" s="14"/>
      <c r="F65" s="14"/>
      <c r="G65" s="14"/>
      <c r="H65" s="14"/>
      <c r="I65" s="14"/>
      <c r="J65" s="14"/>
      <c r="K65" s="14"/>
      <c r="L65" s="14"/>
      <c r="M65" s="14"/>
      <c r="N65" s="14"/>
      <c r="O65" s="14"/>
      <c r="P65" s="14"/>
      <c r="Q65" s="14">
        <v>297</v>
      </c>
      <c r="R65" s="14"/>
      <c r="S65" s="14"/>
      <c r="T65" s="14"/>
      <c r="U65" s="14"/>
      <c r="V65" s="14"/>
      <c r="W65" s="14"/>
      <c r="X65" s="22">
        <f t="shared" si="19"/>
        <v>297</v>
      </c>
      <c r="Y65" s="14"/>
      <c r="Z65" s="31">
        <f>23+9</f>
        <v>32</v>
      </c>
      <c r="AA65" s="23">
        <v>0.79166666666666663</v>
      </c>
      <c r="AB65" s="23">
        <v>0.29166666666666669</v>
      </c>
      <c r="AC65" s="23" cm="1">
        <f t="array" ref="AC65">_xlfn.IFS($AJ65="","",$AJ65&gt;=8,TIME(1,0,0),$AJ65&lt;=5,"")</f>
        <v>4.1666666666666664E-2</v>
      </c>
      <c r="AD65" s="23" t="str">
        <f t="shared" si="18"/>
        <v/>
      </c>
      <c r="AE65" s="23" cm="1">
        <f t="array" ref="AE65">_xlfn.IFS($AA65="","",AND($AJ65&lt;=12,$AJ65&gt;10),TIME(0,35,0),AND($AJ65&lt;=10,$AJ65&gt;5),TIME(0,20,0),$AJ65&gt;12,TIME(0,20,0),AND(AJ65&gt;3,$AJ65&lt;=5),TIME(0,10,0),$AJ65&lt;3,"")</f>
        <v>2.4305555555555556E-2</v>
      </c>
      <c r="AF65" s="23">
        <f t="shared" si="20"/>
        <v>6.9444444444444441E-3</v>
      </c>
      <c r="AG65" s="23"/>
      <c r="AH65" s="30"/>
      <c r="AI65" s="30"/>
      <c r="AJ65" s="24">
        <f t="shared" si="21"/>
        <v>12</v>
      </c>
      <c r="AK65" s="23">
        <f t="shared" si="22"/>
        <v>7.2916666666666671E-2</v>
      </c>
      <c r="AL65" s="25">
        <f t="shared" si="23"/>
        <v>384</v>
      </c>
      <c r="AM65" s="25">
        <f t="shared" si="24"/>
        <v>328</v>
      </c>
      <c r="AN65" s="16">
        <f t="shared" si="25"/>
        <v>1.292929292929293</v>
      </c>
      <c r="AO65" s="38"/>
      <c r="AP65" s="19"/>
      <c r="AQ65" s="34"/>
      <c r="AR65" s="30"/>
    </row>
    <row r="66" spans="2:44" ht="15" customHeight="1" x14ac:dyDescent="0.3">
      <c r="B66" s="97">
        <v>46031</v>
      </c>
      <c r="C66" s="21">
        <f t="shared" si="1"/>
        <v>1</v>
      </c>
      <c r="D66" s="18" t="s">
        <v>97</v>
      </c>
      <c r="E66" s="14"/>
      <c r="F66" s="14">
        <v>178</v>
      </c>
      <c r="G66" s="14"/>
      <c r="H66" s="14"/>
      <c r="I66" s="14"/>
      <c r="J66" s="14">
        <v>61</v>
      </c>
      <c r="K66" s="14">
        <v>68</v>
      </c>
      <c r="L66" s="14"/>
      <c r="M66" s="14"/>
      <c r="N66" s="14"/>
      <c r="O66" s="14"/>
      <c r="P66" s="14"/>
      <c r="Q66" s="14">
        <v>269</v>
      </c>
      <c r="R66" s="14"/>
      <c r="S66" s="14"/>
      <c r="T66" s="14"/>
      <c r="U66" s="14"/>
      <c r="V66" s="14"/>
      <c r="W66" s="14"/>
      <c r="X66" s="22">
        <f t="shared" si="19"/>
        <v>576</v>
      </c>
      <c r="Y66" s="14"/>
      <c r="Z66" s="31">
        <f>4+2</f>
        <v>6</v>
      </c>
      <c r="AA66" s="23">
        <v>0.29166666666666669</v>
      </c>
      <c r="AB66" s="23">
        <v>0.79166666666666663</v>
      </c>
      <c r="AC66" s="23" cm="1">
        <f t="array" ref="AC66">_xlfn.IFS($AJ66="","",$AJ66&gt;=8,TIME(1,0,0),$AJ66&lt;=5,"")</f>
        <v>4.1666666666666664E-2</v>
      </c>
      <c r="AD66" s="23" t="str">
        <f t="shared" si="18"/>
        <v/>
      </c>
      <c r="AE66" s="23" cm="1">
        <f t="array" ref="AE66">_xlfn.IFS($AA66="","",AND($AJ66&lt;=12,$AJ66&gt;10),TIME(0,35,0),AND($AJ66&lt;=10,$AJ66&gt;5),TIME(0,20,0),$AJ66&gt;12,TIME(0,20,0),AND(AJ66&gt;3,$AJ66&lt;=5),TIME(0,10,0),$AJ66&lt;3,"")</f>
        <v>2.4305555555555556E-2</v>
      </c>
      <c r="AF66" s="23">
        <f t="shared" si="20"/>
        <v>6.9444444444444441E-3</v>
      </c>
      <c r="AG66" s="23"/>
      <c r="AH66" s="30"/>
      <c r="AI66" s="30"/>
      <c r="AJ66" s="24">
        <f t="shared" si="21"/>
        <v>11.999999999999998</v>
      </c>
      <c r="AK66" s="23">
        <f t="shared" si="22"/>
        <v>7.2916666666666671E-2</v>
      </c>
      <c r="AL66" s="25">
        <f t="shared" si="23"/>
        <v>71.999999999999986</v>
      </c>
      <c r="AM66" s="25">
        <f t="shared" si="24"/>
        <v>61.499999999999986</v>
      </c>
      <c r="AN66" s="16">
        <f t="shared" si="25"/>
        <v>0.12499999999999997</v>
      </c>
      <c r="AO66" s="38"/>
      <c r="AP66" s="19"/>
      <c r="AQ66" s="34"/>
      <c r="AR66" s="30"/>
    </row>
    <row r="67" spans="2:44" ht="15" customHeight="1" x14ac:dyDescent="0.3">
      <c r="B67" s="97">
        <v>46031</v>
      </c>
      <c r="C67" s="21">
        <f t="shared" si="1"/>
        <v>1</v>
      </c>
      <c r="D67" s="18" t="s">
        <v>97</v>
      </c>
      <c r="E67" s="14"/>
      <c r="F67" s="14">
        <v>114</v>
      </c>
      <c r="G67" s="14"/>
      <c r="H67" s="14"/>
      <c r="I67" s="14">
        <v>18</v>
      </c>
      <c r="J67" s="14">
        <v>45</v>
      </c>
      <c r="K67" s="14">
        <v>79</v>
      </c>
      <c r="L67" s="14"/>
      <c r="M67" s="14"/>
      <c r="N67" s="14"/>
      <c r="O67" s="14"/>
      <c r="P67" s="14"/>
      <c r="Q67" s="14">
        <v>320</v>
      </c>
      <c r="R67" s="14"/>
      <c r="S67" s="14"/>
      <c r="T67" s="14"/>
      <c r="U67" s="14"/>
      <c r="V67" s="14"/>
      <c r="W67" s="14"/>
      <c r="X67" s="22">
        <f t="shared" si="19"/>
        <v>576</v>
      </c>
      <c r="Y67" s="14"/>
      <c r="Z67" s="31">
        <f>4+2</f>
        <v>6</v>
      </c>
      <c r="AA67" s="23">
        <v>0.79166666666666663</v>
      </c>
      <c r="AB67" s="23">
        <v>0.29166666666666669</v>
      </c>
      <c r="AC67" s="23" cm="1">
        <f t="array" ref="AC67">_xlfn.IFS($AJ67="","",$AJ67&gt;=8,TIME(1,0,0),$AJ67&lt;=5,"")</f>
        <v>4.1666666666666664E-2</v>
      </c>
      <c r="AD67" s="23" t="str">
        <f t="shared" si="18"/>
        <v/>
      </c>
      <c r="AE67" s="23" cm="1">
        <f t="array" ref="AE67">_xlfn.IFS($AA67="","",AND($AJ67&lt;=12,$AJ67&gt;10),TIME(0,35,0),AND($AJ67&lt;=10,$AJ67&gt;5),TIME(0,20,0),$AJ67&gt;12,TIME(0,20,0),AND(AJ67&gt;3,$AJ67&lt;=5),TIME(0,10,0),$AJ67&lt;3,"")</f>
        <v>2.4305555555555556E-2</v>
      </c>
      <c r="AF67" s="23">
        <f t="shared" si="20"/>
        <v>6.9444444444444441E-3</v>
      </c>
      <c r="AG67" s="23"/>
      <c r="AH67" s="30"/>
      <c r="AI67" s="30"/>
      <c r="AJ67" s="24">
        <f t="shared" si="21"/>
        <v>12</v>
      </c>
      <c r="AK67" s="23">
        <f t="shared" si="22"/>
        <v>7.2916666666666671E-2</v>
      </c>
      <c r="AL67" s="25">
        <f t="shared" si="23"/>
        <v>72</v>
      </c>
      <c r="AM67" s="25">
        <f t="shared" si="24"/>
        <v>61.5</v>
      </c>
      <c r="AN67" s="16">
        <f t="shared" si="25"/>
        <v>0.125</v>
      </c>
      <c r="AO67" s="38"/>
      <c r="AP67" s="19"/>
      <c r="AQ67" s="34"/>
      <c r="AR67" s="30"/>
    </row>
    <row r="68" spans="2:44" ht="15" customHeight="1" x14ac:dyDescent="0.3">
      <c r="B68" s="97">
        <v>46031</v>
      </c>
      <c r="C68" s="21">
        <f t="shared" si="1"/>
        <v>1</v>
      </c>
      <c r="D68" s="18" t="s">
        <v>98</v>
      </c>
      <c r="E68" s="14">
        <v>1</v>
      </c>
      <c r="F68" s="14">
        <v>150</v>
      </c>
      <c r="G68" s="14"/>
      <c r="H68" s="14"/>
      <c r="I68" s="14"/>
      <c r="J68" s="14">
        <v>56</v>
      </c>
      <c r="K68" s="14">
        <v>65</v>
      </c>
      <c r="L68" s="14"/>
      <c r="M68" s="14"/>
      <c r="N68" s="14"/>
      <c r="O68" s="14"/>
      <c r="P68" s="14"/>
      <c r="Q68" s="14">
        <v>294</v>
      </c>
      <c r="R68" s="14"/>
      <c r="S68" s="14"/>
      <c r="T68" s="14"/>
      <c r="U68" s="14"/>
      <c r="V68" s="14"/>
      <c r="W68" s="14"/>
      <c r="X68" s="22">
        <f t="shared" si="19"/>
        <v>566</v>
      </c>
      <c r="Y68" s="14"/>
      <c r="Z68" s="31">
        <f>17+9+11</f>
        <v>37</v>
      </c>
      <c r="AA68" s="23">
        <v>0.29166666666666669</v>
      </c>
      <c r="AB68" s="23">
        <v>0.79166666666666663</v>
      </c>
      <c r="AC68" s="23" cm="1">
        <f t="array" ref="AC68">_xlfn.IFS($AJ68="","",$AJ68&gt;=8,TIME(1,0,0),$AJ68&lt;=5,"")</f>
        <v>4.1666666666666664E-2</v>
      </c>
      <c r="AD68" s="23" t="str">
        <f t="shared" si="18"/>
        <v/>
      </c>
      <c r="AE68" s="23" cm="1">
        <f t="array" ref="AE68">_xlfn.IFS($AA68="","",AND($AJ68&lt;=12,$AJ68&gt;10),TIME(0,35,0),AND($AJ68&lt;=10,$AJ68&gt;5),TIME(0,20,0),$AJ68&gt;12,TIME(0,20,0),AND(AJ68&gt;3,$AJ68&lt;=5),TIME(0,10,0),$AJ68&lt;3,"")</f>
        <v>2.4305555555555556E-2</v>
      </c>
      <c r="AF68" s="23">
        <f t="shared" si="20"/>
        <v>6.9444444444444441E-3</v>
      </c>
      <c r="AG68" s="23">
        <v>3.4722222222222224E-2</v>
      </c>
      <c r="AH68" s="30"/>
      <c r="AI68" s="30"/>
      <c r="AJ68" s="24">
        <f t="shared" si="21"/>
        <v>11.999999999999998</v>
      </c>
      <c r="AK68" s="23">
        <f t="shared" si="22"/>
        <v>7.2916666666666671E-2</v>
      </c>
      <c r="AL68" s="25">
        <f t="shared" si="23"/>
        <v>443.99999999999994</v>
      </c>
      <c r="AM68" s="25">
        <f t="shared" si="24"/>
        <v>348.41666666666657</v>
      </c>
      <c r="AN68" s="16">
        <f t="shared" si="25"/>
        <v>0.7844522968197879</v>
      </c>
      <c r="AO68" s="38"/>
      <c r="AP68" s="19"/>
      <c r="AQ68" s="34"/>
      <c r="AR68" s="30" t="s">
        <v>211</v>
      </c>
    </row>
    <row r="69" spans="2:44" ht="15" customHeight="1" x14ac:dyDescent="0.3">
      <c r="B69" s="97">
        <v>46031</v>
      </c>
      <c r="C69" s="21">
        <f t="shared" si="1"/>
        <v>1</v>
      </c>
      <c r="D69" s="18" t="s">
        <v>98</v>
      </c>
      <c r="E69" s="14"/>
      <c r="F69" s="14">
        <v>171</v>
      </c>
      <c r="G69" s="14"/>
      <c r="H69" s="14"/>
      <c r="I69" s="14">
        <v>10</v>
      </c>
      <c r="J69" s="14">
        <v>67</v>
      </c>
      <c r="K69" s="14">
        <v>87</v>
      </c>
      <c r="L69" s="14"/>
      <c r="M69" s="14"/>
      <c r="N69" s="14"/>
      <c r="O69" s="14"/>
      <c r="P69" s="14"/>
      <c r="Q69" s="14">
        <v>284</v>
      </c>
      <c r="R69" s="14"/>
      <c r="S69" s="14"/>
      <c r="T69" s="14"/>
      <c r="U69" s="14"/>
      <c r="V69" s="14"/>
      <c r="W69" s="14"/>
      <c r="X69" s="22">
        <f t="shared" si="19"/>
        <v>619</v>
      </c>
      <c r="Y69" s="14"/>
      <c r="Z69" s="31">
        <f>17+2+17</f>
        <v>36</v>
      </c>
      <c r="AA69" s="23">
        <v>0.79166666666666663</v>
      </c>
      <c r="AB69" s="23">
        <v>0.29166666666666669</v>
      </c>
      <c r="AC69" s="23" cm="1">
        <f t="array" ref="AC69">_xlfn.IFS($AJ69="","",$AJ69&gt;=8,TIME(1,0,0),$AJ69&lt;=5,"")</f>
        <v>4.1666666666666664E-2</v>
      </c>
      <c r="AD69" s="23" t="str">
        <f t="shared" si="18"/>
        <v/>
      </c>
      <c r="AE69" s="23" cm="1">
        <f t="array" ref="AE69">_xlfn.IFS($AA69="","",AND($AJ69&lt;=12,$AJ69&gt;10),TIME(0,35,0),AND($AJ69&lt;=10,$AJ69&gt;5),TIME(0,20,0),$AJ69&gt;12,TIME(0,20,0),AND(AJ69&gt;3,$AJ69&lt;=5),TIME(0,10,0),$AJ69&lt;3,"")</f>
        <v>2.4305555555555556E-2</v>
      </c>
      <c r="AF69" s="23">
        <f t="shared" si="20"/>
        <v>6.9444444444444441E-3</v>
      </c>
      <c r="AG69" s="23">
        <v>1.3888888888888888E-2</v>
      </c>
      <c r="AH69" s="30"/>
      <c r="AI69" s="30"/>
      <c r="AJ69" s="24">
        <f t="shared" si="21"/>
        <v>12</v>
      </c>
      <c r="AK69" s="23">
        <f t="shared" si="22"/>
        <v>7.2916666666666671E-2</v>
      </c>
      <c r="AL69" s="25">
        <f t="shared" si="23"/>
        <v>432</v>
      </c>
      <c r="AM69" s="25">
        <f t="shared" si="24"/>
        <v>357.00000000000006</v>
      </c>
      <c r="AN69" s="16">
        <f t="shared" si="25"/>
        <v>0.69789983844911152</v>
      </c>
      <c r="AO69" s="38"/>
      <c r="AP69" s="19"/>
      <c r="AQ69" s="34"/>
      <c r="AR69" s="30" t="s">
        <v>212</v>
      </c>
    </row>
    <row r="70" spans="2:44" ht="15" customHeight="1" x14ac:dyDescent="0.3">
      <c r="B70" s="97">
        <v>46031</v>
      </c>
      <c r="C70" s="21">
        <f t="shared" si="1"/>
        <v>1</v>
      </c>
      <c r="D70" s="18" t="s">
        <v>99</v>
      </c>
      <c r="E70" s="14">
        <v>2</v>
      </c>
      <c r="F70" s="14">
        <v>150</v>
      </c>
      <c r="G70" s="14"/>
      <c r="H70" s="14"/>
      <c r="I70" s="14">
        <v>1</v>
      </c>
      <c r="J70" s="14">
        <v>42</v>
      </c>
      <c r="K70" s="14">
        <v>87</v>
      </c>
      <c r="L70" s="14"/>
      <c r="M70" s="14"/>
      <c r="N70" s="14"/>
      <c r="O70" s="14"/>
      <c r="P70" s="14"/>
      <c r="Q70" s="14">
        <f>141+212+1</f>
        <v>354</v>
      </c>
      <c r="R70" s="14"/>
      <c r="S70" s="14"/>
      <c r="T70" s="14"/>
      <c r="U70" s="14"/>
      <c r="V70" s="14"/>
      <c r="W70" s="14"/>
      <c r="X70" s="22">
        <f t="shared" si="19"/>
        <v>636</v>
      </c>
      <c r="Y70" s="14"/>
      <c r="Z70" s="31">
        <f>17+10+16</f>
        <v>43</v>
      </c>
      <c r="AA70" s="23">
        <v>0.29166666666666669</v>
      </c>
      <c r="AB70" s="23">
        <v>0.79166666666666663</v>
      </c>
      <c r="AC70" s="23" cm="1">
        <f t="array" ref="AC70">_xlfn.IFS($AJ70="","",$AJ70&gt;=8,TIME(1,0,0),$AJ70&lt;=5,"")</f>
        <v>4.1666666666666664E-2</v>
      </c>
      <c r="AD70" s="23" t="str">
        <f t="shared" si="18"/>
        <v/>
      </c>
      <c r="AE70" s="23" cm="1">
        <f t="array" ref="AE70">_xlfn.IFS($AA70="","",AND($AJ70&lt;=12,$AJ70&gt;10),TIME(0,35,0),AND($AJ70&lt;=10,$AJ70&gt;5),TIME(0,20,0),$AJ70&gt;12,TIME(0,20,0),AND(AJ70&gt;3,$AJ70&lt;=5),TIME(0,10,0),$AJ70&lt;3,"")</f>
        <v>2.4305555555555556E-2</v>
      </c>
      <c r="AF70" s="23">
        <f t="shared" si="20"/>
        <v>6.9444444444444441E-3</v>
      </c>
      <c r="AG70" s="23"/>
      <c r="AH70" s="30"/>
      <c r="AI70" s="30"/>
      <c r="AJ70" s="24">
        <f t="shared" si="21"/>
        <v>11.999999999999998</v>
      </c>
      <c r="AK70" s="23">
        <f t="shared" si="22"/>
        <v>7.2916666666666671E-2</v>
      </c>
      <c r="AL70" s="25">
        <f t="shared" si="23"/>
        <v>515.99999999999989</v>
      </c>
      <c r="AM70" s="25">
        <f t="shared" si="24"/>
        <v>440.74999999999994</v>
      </c>
      <c r="AN70" s="16">
        <f t="shared" si="25"/>
        <v>0.81132075471698095</v>
      </c>
      <c r="AO70" s="38"/>
      <c r="AP70" s="19"/>
      <c r="AQ70" s="34"/>
      <c r="AR70" s="30"/>
    </row>
    <row r="71" spans="2:44" ht="15" customHeight="1" x14ac:dyDescent="0.3">
      <c r="B71" s="97">
        <v>46031</v>
      </c>
      <c r="C71" s="21">
        <f t="shared" si="1"/>
        <v>1</v>
      </c>
      <c r="D71" s="18" t="s">
        <v>99</v>
      </c>
      <c r="E71" s="14"/>
      <c r="F71" s="14">
        <v>147</v>
      </c>
      <c r="G71" s="14"/>
      <c r="H71" s="14"/>
      <c r="I71" s="14">
        <v>6</v>
      </c>
      <c r="J71" s="14">
        <v>53</v>
      </c>
      <c r="K71" s="14">
        <v>60</v>
      </c>
      <c r="L71" s="14"/>
      <c r="M71" s="14"/>
      <c r="N71" s="14"/>
      <c r="O71" s="14"/>
      <c r="P71" s="14"/>
      <c r="Q71" s="14">
        <f>250+11</f>
        <v>261</v>
      </c>
      <c r="R71" s="14"/>
      <c r="S71" s="14"/>
      <c r="T71" s="14"/>
      <c r="U71" s="14"/>
      <c r="V71" s="14"/>
      <c r="W71" s="14"/>
      <c r="X71" s="22">
        <f t="shared" si="19"/>
        <v>527</v>
      </c>
      <c r="Y71" s="14"/>
      <c r="Z71" s="31">
        <f>20+9+10</f>
        <v>39</v>
      </c>
      <c r="AA71" s="23">
        <v>0.79166666666666663</v>
      </c>
      <c r="AB71" s="23">
        <v>0.29166666666666669</v>
      </c>
      <c r="AC71" s="23" cm="1">
        <f t="array" ref="AC71">_xlfn.IFS($AJ71="","",$AJ71&gt;=8,TIME(1,0,0),$AJ71&lt;=5,"")</f>
        <v>4.1666666666666664E-2</v>
      </c>
      <c r="AD71" s="23" t="str">
        <f t="shared" si="18"/>
        <v/>
      </c>
      <c r="AE71" s="23" cm="1">
        <f t="array" ref="AE71">_xlfn.IFS($AA71="","",AND($AJ71&lt;=12,$AJ71&gt;10),TIME(0,35,0),AND($AJ71&lt;=10,$AJ71&gt;5),TIME(0,20,0),$AJ71&gt;12,TIME(0,20,0),AND(AJ71&gt;3,$AJ71&lt;=5),TIME(0,10,0),$AJ71&lt;3,"")</f>
        <v>2.4305555555555556E-2</v>
      </c>
      <c r="AF71" s="23">
        <f t="shared" si="20"/>
        <v>6.9444444444444441E-3</v>
      </c>
      <c r="AG71" s="23">
        <v>2.7777777777777776E-2</v>
      </c>
      <c r="AH71" s="30"/>
      <c r="AI71" s="30"/>
      <c r="AJ71" s="24">
        <f t="shared" si="21"/>
        <v>12</v>
      </c>
      <c r="AK71" s="23">
        <f t="shared" si="22"/>
        <v>7.2916666666666671E-2</v>
      </c>
      <c r="AL71" s="25">
        <f t="shared" si="23"/>
        <v>468</v>
      </c>
      <c r="AM71" s="25">
        <f t="shared" si="24"/>
        <v>373.74999999999994</v>
      </c>
      <c r="AN71" s="16">
        <f t="shared" si="25"/>
        <v>0.88804554079696396</v>
      </c>
      <c r="AO71" s="16">
        <f>IF(COUNTIF(B64:B71,B64)=8,1/SUM(AN64:AN71),"")</f>
        <v>0.17869663443801492</v>
      </c>
      <c r="AP71" s="19"/>
      <c r="AQ71" s="34"/>
      <c r="AR71" s="30" t="s">
        <v>213</v>
      </c>
    </row>
    <row r="72" spans="2:44" ht="15" customHeight="1" x14ac:dyDescent="0.3">
      <c r="B72" s="98">
        <v>46032</v>
      </c>
      <c r="C72" s="21">
        <f t="shared" si="1"/>
        <v>1</v>
      </c>
      <c r="D72" s="36" t="s">
        <v>96</v>
      </c>
      <c r="E72" s="14"/>
      <c r="F72" s="14"/>
      <c r="G72" s="14"/>
      <c r="H72" s="14"/>
      <c r="I72" s="14">
        <v>50</v>
      </c>
      <c r="J72" s="14">
        <v>84</v>
      </c>
      <c r="K72" s="14"/>
      <c r="L72" s="14"/>
      <c r="M72" s="14"/>
      <c r="N72" s="14"/>
      <c r="O72" s="14"/>
      <c r="P72" s="14"/>
      <c r="Q72" s="14">
        <v>250</v>
      </c>
      <c r="R72" s="14"/>
      <c r="S72" s="14"/>
      <c r="T72" s="14"/>
      <c r="U72" s="14"/>
      <c r="V72" s="14"/>
      <c r="W72" s="14"/>
      <c r="X72" s="22">
        <f t="shared" si="19"/>
        <v>384</v>
      </c>
      <c r="Y72" s="14"/>
      <c r="Z72" s="31">
        <f>29+4</f>
        <v>33</v>
      </c>
      <c r="AA72" s="23">
        <v>0.29166666666666669</v>
      </c>
      <c r="AB72" s="23">
        <v>0.79166666666666663</v>
      </c>
      <c r="AC72" s="23" cm="1">
        <f t="array" ref="AC72">_xlfn.IFS($AJ72="","",$AJ72&gt;=8,TIME(1,0,0),$AJ72&lt;=5,"")</f>
        <v>4.1666666666666664E-2</v>
      </c>
      <c r="AD72" s="23" t="str">
        <f t="shared" si="18"/>
        <v/>
      </c>
      <c r="AE72" s="23" cm="1">
        <f t="array" ref="AE72">_xlfn.IFS($AA72="","",AND($AJ72&lt;=12,$AJ72&gt;10),TIME(0,35,0),AND($AJ72&lt;=10,$AJ72&gt;5),TIME(0,20,0),$AJ72&gt;12,TIME(0,20,0),AND(AJ72&gt;3,$AJ72&lt;=5),TIME(0,10,0),$AJ72&lt;3,"")</f>
        <v>2.4305555555555556E-2</v>
      </c>
      <c r="AF72" s="23">
        <f t="shared" si="20"/>
        <v>6.9444444444444441E-3</v>
      </c>
      <c r="AG72" s="23"/>
      <c r="AH72" s="30"/>
      <c r="AI72" s="30"/>
      <c r="AJ72" s="24">
        <f t="shared" si="21"/>
        <v>11.999999999999998</v>
      </c>
      <c r="AK72" s="23">
        <f t="shared" si="22"/>
        <v>7.2916666666666671E-2</v>
      </c>
      <c r="AL72" s="25">
        <f t="shared" si="23"/>
        <v>395.99999999999994</v>
      </c>
      <c r="AM72" s="25">
        <f t="shared" si="24"/>
        <v>338.24999999999994</v>
      </c>
      <c r="AN72" s="16">
        <f t="shared" si="25"/>
        <v>1.0312499999999998</v>
      </c>
      <c r="AO72" s="38"/>
      <c r="AP72" s="19"/>
      <c r="AQ72" s="34"/>
      <c r="AR72" s="30" t="s">
        <v>214</v>
      </c>
    </row>
    <row r="73" spans="2:44" ht="15" customHeight="1" x14ac:dyDescent="0.3">
      <c r="B73" s="98">
        <v>46032</v>
      </c>
      <c r="C73" s="21">
        <f t="shared" si="1"/>
        <v>1</v>
      </c>
      <c r="D73" s="36" t="s">
        <v>96</v>
      </c>
      <c r="E73" s="14"/>
      <c r="F73" s="14"/>
      <c r="G73" s="14"/>
      <c r="H73" s="14"/>
      <c r="I73" s="14"/>
      <c r="J73" s="14"/>
      <c r="K73" s="14"/>
      <c r="L73" s="14"/>
      <c r="M73" s="14"/>
      <c r="N73" s="14"/>
      <c r="O73" s="14"/>
      <c r="P73" s="14"/>
      <c r="Q73" s="14">
        <v>281</v>
      </c>
      <c r="R73" s="14"/>
      <c r="S73" s="14"/>
      <c r="T73" s="14"/>
      <c r="U73" s="14"/>
      <c r="V73" s="14"/>
      <c r="W73" s="14"/>
      <c r="X73" s="22">
        <f t="shared" si="19"/>
        <v>281</v>
      </c>
      <c r="Y73" s="14"/>
      <c r="Z73" s="31">
        <f>22+7</f>
        <v>29</v>
      </c>
      <c r="AA73" s="23">
        <v>0.79166666666666663</v>
      </c>
      <c r="AB73" s="23">
        <v>0.29166666666666669</v>
      </c>
      <c r="AC73" s="23" cm="1">
        <f t="array" ref="AC73">_xlfn.IFS($AJ73="","",$AJ73&gt;=8,TIME(1,0,0),$AJ73&lt;=5,"")</f>
        <v>4.1666666666666664E-2</v>
      </c>
      <c r="AD73" s="23" t="str">
        <f t="shared" si="18"/>
        <v/>
      </c>
      <c r="AE73" s="23" cm="1">
        <f t="array" ref="AE73">_xlfn.IFS($AA73="","",AND($AJ73&lt;=12,$AJ73&gt;10),TIME(0,35,0),AND($AJ73&lt;=10,$AJ73&gt;5),TIME(0,20,0),$AJ73&gt;12,TIME(0,20,0),AND(AJ73&gt;3,$AJ73&lt;=5),TIME(0,10,0),$AJ73&lt;3,"")</f>
        <v>2.4305555555555556E-2</v>
      </c>
      <c r="AF73" s="23">
        <f t="shared" si="20"/>
        <v>6.9444444444444441E-3</v>
      </c>
      <c r="AG73" s="23"/>
      <c r="AH73" s="30"/>
      <c r="AI73" s="30"/>
      <c r="AJ73" s="24">
        <f t="shared" si="21"/>
        <v>12</v>
      </c>
      <c r="AK73" s="23">
        <f t="shared" si="22"/>
        <v>7.2916666666666671E-2</v>
      </c>
      <c r="AL73" s="25">
        <f t="shared" si="23"/>
        <v>348</v>
      </c>
      <c r="AM73" s="25">
        <f t="shared" si="24"/>
        <v>297.25</v>
      </c>
      <c r="AN73" s="16">
        <f t="shared" si="25"/>
        <v>1.2384341637010676</v>
      </c>
      <c r="AO73" s="38"/>
      <c r="AP73" s="19"/>
      <c r="AQ73" s="34"/>
      <c r="AR73" s="30"/>
    </row>
    <row r="74" spans="2:44" ht="15" customHeight="1" x14ac:dyDescent="0.3">
      <c r="B74" s="98">
        <v>46032</v>
      </c>
      <c r="C74" s="21">
        <f t="shared" si="1"/>
        <v>1</v>
      </c>
      <c r="D74" s="18" t="s">
        <v>97</v>
      </c>
      <c r="E74" s="14"/>
      <c r="F74" s="14">
        <v>32</v>
      </c>
      <c r="G74" s="14"/>
      <c r="H74" s="14"/>
      <c r="I74" s="14">
        <v>54</v>
      </c>
      <c r="J74" s="14">
        <v>1</v>
      </c>
      <c r="K74" s="14">
        <v>1</v>
      </c>
      <c r="L74" s="14"/>
      <c r="M74" s="14"/>
      <c r="N74" s="14"/>
      <c r="O74" s="14"/>
      <c r="P74" s="14"/>
      <c r="Q74" s="14">
        <v>305</v>
      </c>
      <c r="R74" s="14"/>
      <c r="S74" s="14"/>
      <c r="T74" s="14"/>
      <c r="U74" s="14"/>
      <c r="V74" s="14">
        <v>36</v>
      </c>
      <c r="W74" s="14"/>
      <c r="X74" s="22">
        <f t="shared" si="19"/>
        <v>429</v>
      </c>
      <c r="Y74" s="14"/>
      <c r="Z74" s="31">
        <f>4+2</f>
        <v>6</v>
      </c>
      <c r="AA74" s="23">
        <v>0.29166666666666669</v>
      </c>
      <c r="AB74" s="23">
        <v>0.79166666666666663</v>
      </c>
      <c r="AC74" s="23" cm="1">
        <f t="array" ref="AC74">_xlfn.IFS($AJ74="","",$AJ74&gt;=8,TIME(1,0,0),$AJ74&lt;=5,"")</f>
        <v>4.1666666666666664E-2</v>
      </c>
      <c r="AD74" s="23" t="str">
        <f t="shared" si="18"/>
        <v/>
      </c>
      <c r="AE74" s="23" cm="1">
        <f t="array" ref="AE74">_xlfn.IFS($AA74="","",AND($AJ74&lt;=12,$AJ74&gt;10),TIME(0,35,0),AND($AJ74&lt;=10,$AJ74&gt;5),TIME(0,20,0),$AJ74&gt;12,TIME(0,20,0),AND(AJ74&gt;3,$AJ74&lt;=5),TIME(0,10,0),$AJ74&lt;3,"")</f>
        <v>2.4305555555555556E-2</v>
      </c>
      <c r="AF74" s="23">
        <f t="shared" si="20"/>
        <v>6.9444444444444441E-3</v>
      </c>
      <c r="AG74" s="23"/>
      <c r="AH74" s="23">
        <v>4.1666666666666664E-2</v>
      </c>
      <c r="AI74" s="23">
        <v>0.25</v>
      </c>
      <c r="AJ74" s="24">
        <f t="shared" si="21"/>
        <v>11.999999999999998</v>
      </c>
      <c r="AK74" s="23">
        <f t="shared" si="22"/>
        <v>7.2916666666666671E-2</v>
      </c>
      <c r="AL74" s="25">
        <f t="shared" si="23"/>
        <v>71.999999999999986</v>
      </c>
      <c r="AM74" s="25">
        <f t="shared" si="24"/>
        <v>61.499999999999986</v>
      </c>
      <c r="AN74" s="16">
        <f t="shared" si="25"/>
        <v>0.16783216783216781</v>
      </c>
      <c r="AO74" s="38"/>
      <c r="AP74" s="50" t="s">
        <v>176</v>
      </c>
      <c r="AQ74" s="34">
        <v>1</v>
      </c>
      <c r="AR74" s="30" t="s">
        <v>215</v>
      </c>
    </row>
    <row r="75" spans="2:44" ht="15" customHeight="1" x14ac:dyDescent="0.3">
      <c r="B75" s="98">
        <v>46032</v>
      </c>
      <c r="C75" s="21">
        <f t="shared" si="1"/>
        <v>1</v>
      </c>
      <c r="D75" s="18" t="s">
        <v>97</v>
      </c>
      <c r="E75" s="14"/>
      <c r="F75" s="14"/>
      <c r="G75" s="14"/>
      <c r="H75" s="14"/>
      <c r="I75" s="14">
        <v>11</v>
      </c>
      <c r="J75" s="14"/>
      <c r="K75" s="14"/>
      <c r="L75" s="14"/>
      <c r="M75" s="14"/>
      <c r="N75" s="14"/>
      <c r="O75" s="14"/>
      <c r="P75" s="14"/>
      <c r="Q75" s="14">
        <v>288</v>
      </c>
      <c r="R75" s="14"/>
      <c r="S75" s="14"/>
      <c r="T75" s="14"/>
      <c r="U75" s="14"/>
      <c r="V75" s="14">
        <v>40</v>
      </c>
      <c r="W75" s="14"/>
      <c r="X75" s="22">
        <f t="shared" si="19"/>
        <v>339</v>
      </c>
      <c r="Y75" s="14"/>
      <c r="Z75" s="31">
        <f>3+2</f>
        <v>5</v>
      </c>
      <c r="AA75" s="23">
        <v>0.79166666666666663</v>
      </c>
      <c r="AB75" s="23">
        <v>0.29166666666666669</v>
      </c>
      <c r="AC75" s="23" cm="1">
        <f t="array" ref="AC75">_xlfn.IFS($AJ75="","",$AJ75&gt;=8,TIME(1,0,0),$AJ75&lt;=5,"")</f>
        <v>4.1666666666666664E-2</v>
      </c>
      <c r="AD75" s="23" t="str">
        <f t="shared" si="18"/>
        <v/>
      </c>
      <c r="AE75" s="23" cm="1">
        <f t="array" ref="AE75">_xlfn.IFS($AA75="","",AND($AJ75&lt;=12,$AJ75&gt;10),TIME(0,35,0),AND($AJ75&lt;=10,$AJ75&gt;5),TIME(0,20,0),$AJ75&gt;12,TIME(0,20,0),AND(AJ75&gt;3,$AJ75&lt;=5),TIME(0,10,0),$AJ75&lt;3,"")</f>
        <v>2.4305555555555556E-2</v>
      </c>
      <c r="AF75" s="23">
        <f t="shared" si="20"/>
        <v>6.9444444444444441E-3</v>
      </c>
      <c r="AG75" s="23"/>
      <c r="AH75" s="30"/>
      <c r="AI75" s="23">
        <v>0.25</v>
      </c>
      <c r="AJ75" s="24">
        <f t="shared" si="21"/>
        <v>12</v>
      </c>
      <c r="AK75" s="23">
        <f t="shared" si="22"/>
        <v>7.2916666666666671E-2</v>
      </c>
      <c r="AL75" s="25">
        <f t="shared" si="23"/>
        <v>60</v>
      </c>
      <c r="AM75" s="25">
        <f t="shared" si="24"/>
        <v>51.25</v>
      </c>
      <c r="AN75" s="16">
        <f t="shared" si="25"/>
        <v>0.17699115044247787</v>
      </c>
      <c r="AO75" s="38"/>
      <c r="AP75" s="50" t="s">
        <v>216</v>
      </c>
      <c r="AQ75" s="34"/>
      <c r="AR75" s="30" t="s">
        <v>217</v>
      </c>
    </row>
    <row r="76" spans="2:44" ht="15" customHeight="1" x14ac:dyDescent="0.3">
      <c r="B76" s="98">
        <v>46032</v>
      </c>
      <c r="C76" s="21">
        <f t="shared" si="1"/>
        <v>1</v>
      </c>
      <c r="D76" s="18" t="s">
        <v>98</v>
      </c>
      <c r="E76" s="14">
        <v>5</v>
      </c>
      <c r="F76" s="14">
        <v>51</v>
      </c>
      <c r="G76" s="14"/>
      <c r="H76" s="14"/>
      <c r="I76" s="14">
        <v>31</v>
      </c>
      <c r="J76" s="14">
        <v>10</v>
      </c>
      <c r="K76" s="14">
        <v>29</v>
      </c>
      <c r="L76" s="14"/>
      <c r="M76" s="14"/>
      <c r="N76" s="14"/>
      <c r="O76" s="14"/>
      <c r="P76" s="14"/>
      <c r="Q76" s="14">
        <v>317</v>
      </c>
      <c r="R76" s="14"/>
      <c r="S76" s="14"/>
      <c r="T76" s="14"/>
      <c r="U76" s="14"/>
      <c r="V76" s="14">
        <v>14</v>
      </c>
      <c r="W76" s="14"/>
      <c r="X76" s="22">
        <f t="shared" si="19"/>
        <v>457</v>
      </c>
      <c r="Y76" s="14"/>
      <c r="Z76" s="31">
        <f>18+9+7</f>
        <v>34</v>
      </c>
      <c r="AA76" s="23">
        <v>0.29166666666666669</v>
      </c>
      <c r="AB76" s="23">
        <v>0.79166666666666663</v>
      </c>
      <c r="AC76" s="23" cm="1">
        <f t="array" ref="AC76">_xlfn.IFS($AJ76="","",$AJ76&gt;=8,TIME(1,0,0),$AJ76&lt;=5,"")</f>
        <v>4.1666666666666664E-2</v>
      </c>
      <c r="AD76" s="23" t="str">
        <f t="shared" si="18"/>
        <v/>
      </c>
      <c r="AE76" s="23" cm="1">
        <f t="array" ref="AE76">_xlfn.IFS($AA76="","",AND($AJ76&lt;=12,$AJ76&gt;10),TIME(0,35,0),AND($AJ76&lt;=10,$AJ76&gt;5),TIME(0,20,0),$AJ76&gt;12,TIME(0,20,0),AND(AJ76&gt;3,$AJ76&lt;=5),TIME(0,10,0),$AJ76&lt;3,"")</f>
        <v>2.4305555555555556E-2</v>
      </c>
      <c r="AF76" s="23">
        <f t="shared" si="20"/>
        <v>6.9444444444444441E-3</v>
      </c>
      <c r="AG76" s="23">
        <v>8.3333333333333329E-2</v>
      </c>
      <c r="AH76" s="30"/>
      <c r="AI76" s="30"/>
      <c r="AJ76" s="24">
        <f t="shared" si="21"/>
        <v>11.999999999999998</v>
      </c>
      <c r="AK76" s="23">
        <f t="shared" si="22"/>
        <v>7.2916666666666671E-2</v>
      </c>
      <c r="AL76" s="25">
        <f t="shared" si="23"/>
        <v>407.99999999999994</v>
      </c>
      <c r="AM76" s="25">
        <f t="shared" si="24"/>
        <v>280.49999999999994</v>
      </c>
      <c r="AN76" s="16">
        <f t="shared" si="25"/>
        <v>0.89277899343544842</v>
      </c>
      <c r="AO76" s="38"/>
      <c r="AP76" s="19"/>
      <c r="AQ76" s="34"/>
      <c r="AR76" s="30" t="s">
        <v>218</v>
      </c>
    </row>
    <row r="77" spans="2:44" ht="15" customHeight="1" x14ac:dyDescent="0.3">
      <c r="B77" s="98">
        <v>46032</v>
      </c>
      <c r="C77" s="21">
        <f t="shared" si="1"/>
        <v>1</v>
      </c>
      <c r="D77" s="18" t="s">
        <v>98</v>
      </c>
      <c r="E77" s="14">
        <v>26</v>
      </c>
      <c r="F77" s="14">
        <v>20</v>
      </c>
      <c r="G77" s="14"/>
      <c r="H77" s="14"/>
      <c r="I77" s="14">
        <v>41</v>
      </c>
      <c r="J77" s="14">
        <v>9</v>
      </c>
      <c r="K77" s="14">
        <v>6</v>
      </c>
      <c r="L77" s="14"/>
      <c r="M77" s="14"/>
      <c r="N77" s="14"/>
      <c r="O77" s="14"/>
      <c r="P77" s="14"/>
      <c r="Q77" s="14">
        <v>382</v>
      </c>
      <c r="R77" s="14"/>
      <c r="S77" s="14"/>
      <c r="T77" s="14"/>
      <c r="U77" s="14"/>
      <c r="V77" s="14">
        <v>56</v>
      </c>
      <c r="W77" s="14"/>
      <c r="X77" s="22">
        <f t="shared" si="19"/>
        <v>540</v>
      </c>
      <c r="Y77" s="14"/>
      <c r="Z77" s="31">
        <f>18+2+18</f>
        <v>38</v>
      </c>
      <c r="AA77" s="23">
        <v>0.79166666666666663</v>
      </c>
      <c r="AB77" s="23">
        <v>0.29166666666666669</v>
      </c>
      <c r="AC77" s="23" cm="1">
        <f t="array" ref="AC77">_xlfn.IFS($AJ77="","",$AJ77&gt;=8,TIME(1,0,0),$AJ77&lt;=5,"")</f>
        <v>4.1666666666666664E-2</v>
      </c>
      <c r="AD77" s="23" t="str">
        <f t="shared" si="18"/>
        <v/>
      </c>
      <c r="AE77" s="23" cm="1">
        <f t="array" ref="AE77">_xlfn.IFS($AA77="","",AND($AJ77&lt;=12,$AJ77&gt;10),TIME(0,35,0),AND($AJ77&lt;=10,$AJ77&gt;5),TIME(0,20,0),$AJ77&gt;12,TIME(0,20,0),AND(AJ77&gt;3,$AJ77&lt;=5),TIME(0,10,0),$AJ77&lt;3,"")</f>
        <v>2.4305555555555556E-2</v>
      </c>
      <c r="AF77" s="23">
        <f t="shared" si="20"/>
        <v>6.9444444444444441E-3</v>
      </c>
      <c r="AG77" s="23"/>
      <c r="AH77" s="30"/>
      <c r="AI77" s="30"/>
      <c r="AJ77" s="24">
        <f t="shared" si="21"/>
        <v>12</v>
      </c>
      <c r="AK77" s="23">
        <f t="shared" si="22"/>
        <v>7.2916666666666671E-2</v>
      </c>
      <c r="AL77" s="25">
        <f t="shared" si="23"/>
        <v>456</v>
      </c>
      <c r="AM77" s="25">
        <f t="shared" si="24"/>
        <v>389.5</v>
      </c>
      <c r="AN77" s="16">
        <f t="shared" si="25"/>
        <v>0.84444444444444444</v>
      </c>
      <c r="AO77" s="38"/>
      <c r="AP77" s="19"/>
      <c r="AQ77" s="34"/>
      <c r="AR77" s="30"/>
    </row>
    <row r="78" spans="2:44" ht="15" customHeight="1" x14ac:dyDescent="0.3">
      <c r="B78" s="98">
        <v>46032</v>
      </c>
      <c r="C78" s="21">
        <f t="shared" si="1"/>
        <v>1</v>
      </c>
      <c r="D78" s="18" t="s">
        <v>99</v>
      </c>
      <c r="E78" s="14">
        <v>3</v>
      </c>
      <c r="F78" s="14">
        <v>115</v>
      </c>
      <c r="G78" s="14"/>
      <c r="H78" s="14"/>
      <c r="I78" s="14">
        <v>16</v>
      </c>
      <c r="J78" s="14">
        <v>44</v>
      </c>
      <c r="K78" s="14">
        <v>79</v>
      </c>
      <c r="L78" s="14"/>
      <c r="M78" s="14">
        <v>1</v>
      </c>
      <c r="N78" s="14"/>
      <c r="O78" s="14"/>
      <c r="P78" s="14"/>
      <c r="Q78" s="14">
        <f>300+16</f>
        <v>316</v>
      </c>
      <c r="R78" s="14"/>
      <c r="S78" s="14"/>
      <c r="T78" s="14"/>
      <c r="U78" s="14"/>
      <c r="V78" s="14"/>
      <c r="W78" s="14"/>
      <c r="X78" s="22">
        <f t="shared" si="19"/>
        <v>574</v>
      </c>
      <c r="Y78" s="14"/>
      <c r="Z78" s="31">
        <f>17+6+11</f>
        <v>34</v>
      </c>
      <c r="AA78" s="23">
        <v>0.29166666666666669</v>
      </c>
      <c r="AB78" s="23">
        <v>0.79166666666666663</v>
      </c>
      <c r="AC78" s="23" cm="1">
        <f t="array" ref="AC78">_xlfn.IFS($AJ78="","",$AJ78&gt;=8,TIME(1,0,0),$AJ78&lt;=5,"")</f>
        <v>4.1666666666666664E-2</v>
      </c>
      <c r="AD78" s="23" t="str">
        <f t="shared" si="18"/>
        <v/>
      </c>
      <c r="AE78" s="23" cm="1">
        <f t="array" ref="AE78">_xlfn.IFS($AA78="","",AND($AJ78&lt;=12,$AJ78&gt;10),TIME(0,35,0),AND($AJ78&lt;=10,$AJ78&gt;5),TIME(0,20,0),$AJ78&gt;12,TIME(0,20,0),AND(AJ78&gt;3,$AJ78&lt;=5),TIME(0,10,0),$AJ78&lt;3,"")</f>
        <v>2.4305555555555556E-2</v>
      </c>
      <c r="AF78" s="23">
        <f t="shared" si="20"/>
        <v>6.9444444444444441E-3</v>
      </c>
      <c r="AG78" s="23"/>
      <c r="AH78" s="30"/>
      <c r="AI78" s="30"/>
      <c r="AJ78" s="24">
        <f t="shared" si="21"/>
        <v>11.999999999999998</v>
      </c>
      <c r="AK78" s="23">
        <f t="shared" si="22"/>
        <v>7.2916666666666671E-2</v>
      </c>
      <c r="AL78" s="25">
        <f t="shared" si="23"/>
        <v>407.99999999999994</v>
      </c>
      <c r="AM78" s="25">
        <f t="shared" si="24"/>
        <v>348.49999999999994</v>
      </c>
      <c r="AN78" s="16">
        <f t="shared" si="25"/>
        <v>0.71080139372822293</v>
      </c>
      <c r="AO78" s="38"/>
      <c r="AP78" s="19"/>
      <c r="AQ78" s="34"/>
      <c r="AR78" s="30"/>
    </row>
    <row r="79" spans="2:44" ht="15" customHeight="1" x14ac:dyDescent="0.3">
      <c r="B79" s="98">
        <v>46032</v>
      </c>
      <c r="C79" s="21">
        <f t="shared" si="1"/>
        <v>1</v>
      </c>
      <c r="D79" s="18" t="s">
        <v>99</v>
      </c>
      <c r="E79" s="14">
        <v>31</v>
      </c>
      <c r="F79" s="14">
        <v>34</v>
      </c>
      <c r="G79" s="14"/>
      <c r="H79" s="14"/>
      <c r="I79" s="14">
        <v>60</v>
      </c>
      <c r="J79" s="14">
        <v>10</v>
      </c>
      <c r="K79" s="14">
        <v>13</v>
      </c>
      <c r="L79" s="14"/>
      <c r="M79" s="14"/>
      <c r="N79" s="14"/>
      <c r="O79" s="14"/>
      <c r="P79" s="14"/>
      <c r="Q79" s="14">
        <f>271+13+21</f>
        <v>305</v>
      </c>
      <c r="R79" s="14"/>
      <c r="S79" s="14"/>
      <c r="T79" s="14"/>
      <c r="U79" s="14"/>
      <c r="V79" s="14">
        <v>30</v>
      </c>
      <c r="W79" s="14"/>
      <c r="X79" s="22">
        <f t="shared" si="19"/>
        <v>483</v>
      </c>
      <c r="Y79" s="14"/>
      <c r="Z79" s="31">
        <f>19+9+10</f>
        <v>38</v>
      </c>
      <c r="AA79" s="23">
        <v>0.79166666666666663</v>
      </c>
      <c r="AB79" s="23">
        <v>0.29166666666666669</v>
      </c>
      <c r="AC79" s="23" cm="1">
        <f t="array" ref="AC79">_xlfn.IFS($AJ79="","",$AJ79&gt;=8,TIME(1,0,0),$AJ79&lt;=5,"")</f>
        <v>4.1666666666666664E-2</v>
      </c>
      <c r="AD79" s="23" t="str">
        <f t="shared" si="18"/>
        <v/>
      </c>
      <c r="AE79" s="23" cm="1">
        <f t="array" ref="AE79">_xlfn.IFS($AA79="","",AND($AJ79&lt;=12,$AJ79&gt;10),TIME(0,35,0),AND($AJ79&lt;=10,$AJ79&gt;5),TIME(0,20,0),$AJ79&gt;12,TIME(0,20,0),AND(AJ79&gt;3,$AJ79&lt;=5),TIME(0,10,0),$AJ79&lt;3,"")</f>
        <v>2.4305555555555556E-2</v>
      </c>
      <c r="AF79" s="23">
        <f t="shared" si="20"/>
        <v>6.9444444444444441E-3</v>
      </c>
      <c r="AG79" s="23"/>
      <c r="AH79" s="30"/>
      <c r="AI79" s="30"/>
      <c r="AJ79" s="24">
        <f t="shared" si="21"/>
        <v>12</v>
      </c>
      <c r="AK79" s="23">
        <f t="shared" si="22"/>
        <v>7.2916666666666671E-2</v>
      </c>
      <c r="AL79" s="25">
        <f t="shared" si="23"/>
        <v>456</v>
      </c>
      <c r="AM79" s="25">
        <f t="shared" si="24"/>
        <v>389.5</v>
      </c>
      <c r="AN79" s="16">
        <f t="shared" si="25"/>
        <v>0.94409937888198758</v>
      </c>
      <c r="AO79" s="16">
        <f>IF(COUNTIF(B72:B79,B72)=8,1/SUM(AN72:AN79),"")</f>
        <v>0.16648265637034329</v>
      </c>
      <c r="AP79" s="19"/>
      <c r="AQ79" s="34"/>
      <c r="AR79" s="30"/>
    </row>
    <row r="80" spans="2:44" ht="15" customHeight="1" x14ac:dyDescent="0.3">
      <c r="B80" s="97">
        <v>46033</v>
      </c>
      <c r="C80" s="21">
        <f t="shared" si="1"/>
        <v>1</v>
      </c>
      <c r="D80" s="36" t="s">
        <v>96</v>
      </c>
      <c r="E80" s="14"/>
      <c r="F80" s="14">
        <v>224</v>
      </c>
      <c r="G80" s="14"/>
      <c r="H80" s="14"/>
      <c r="I80" s="14">
        <v>51</v>
      </c>
      <c r="J80" s="14"/>
      <c r="K80" s="14"/>
      <c r="L80" s="14"/>
      <c r="M80" s="14"/>
      <c r="N80" s="14"/>
      <c r="O80" s="14"/>
      <c r="P80" s="14"/>
      <c r="Q80" s="14">
        <f>97+159</f>
        <v>256</v>
      </c>
      <c r="R80" s="14"/>
      <c r="S80" s="14"/>
      <c r="T80" s="14"/>
      <c r="U80" s="14"/>
      <c r="V80" s="14"/>
      <c r="W80" s="14"/>
      <c r="X80" s="22">
        <f t="shared" si="19"/>
        <v>531</v>
      </c>
      <c r="Y80" s="14"/>
      <c r="Z80" s="31">
        <f>15+6+18+1+7</f>
        <v>47</v>
      </c>
      <c r="AA80" s="23">
        <v>0.29166666666666669</v>
      </c>
      <c r="AB80" s="23">
        <v>0.79166666666666663</v>
      </c>
      <c r="AC80" s="23" cm="1">
        <f t="array" ref="AC80">_xlfn.IFS($AJ80="","",$AJ80&gt;=8,TIME(1,0,0),$AJ80&lt;=5,"")</f>
        <v>4.1666666666666664E-2</v>
      </c>
      <c r="AD80" s="23" t="str">
        <f t="shared" si="18"/>
        <v/>
      </c>
      <c r="AE80" s="23" cm="1">
        <f t="array" ref="AE80">_xlfn.IFS($AA80="","",AND($AJ80&lt;=12,$AJ80&gt;10),TIME(0,35,0),AND($AJ80&lt;=10,$AJ80&gt;5),TIME(0,20,0),$AJ80&gt;12,TIME(0,20,0),AND(AJ80&gt;3,$AJ80&lt;=5),TIME(0,10,0),$AJ80&lt;3,"")</f>
        <v>2.4305555555555556E-2</v>
      </c>
      <c r="AF80" s="23">
        <f t="shared" si="20"/>
        <v>6.9444444444444441E-3</v>
      </c>
      <c r="AG80" s="23"/>
      <c r="AH80" s="30"/>
      <c r="AI80" s="30"/>
      <c r="AJ80" s="24">
        <f t="shared" si="21"/>
        <v>11.999999999999998</v>
      </c>
      <c r="AK80" s="23">
        <f t="shared" si="22"/>
        <v>7.2916666666666671E-2</v>
      </c>
      <c r="AL80" s="25">
        <f t="shared" si="23"/>
        <v>563.99999999999989</v>
      </c>
      <c r="AM80" s="25">
        <f t="shared" si="24"/>
        <v>481.74999999999994</v>
      </c>
      <c r="AN80" s="16">
        <f t="shared" si="25"/>
        <v>1.062146892655367</v>
      </c>
      <c r="AO80" s="38"/>
      <c r="AP80" s="19"/>
      <c r="AQ80" s="34"/>
      <c r="AR80" s="30" t="s">
        <v>219</v>
      </c>
    </row>
    <row r="81" spans="2:44" ht="15" customHeight="1" x14ac:dyDescent="0.3">
      <c r="B81" s="97">
        <v>46033</v>
      </c>
      <c r="C81" s="21">
        <f t="shared" si="1"/>
        <v>1</v>
      </c>
      <c r="D81" s="36" t="s">
        <v>96</v>
      </c>
      <c r="E81" s="14"/>
      <c r="F81" s="14"/>
      <c r="G81" s="14"/>
      <c r="H81" s="14"/>
      <c r="I81" s="14"/>
      <c r="J81" s="14"/>
      <c r="K81" s="14"/>
      <c r="L81" s="14"/>
      <c r="M81" s="14"/>
      <c r="N81" s="14"/>
      <c r="O81" s="14"/>
      <c r="P81" s="14"/>
      <c r="Q81" s="14">
        <v>215</v>
      </c>
      <c r="R81" s="14"/>
      <c r="S81" s="14"/>
      <c r="T81" s="14"/>
      <c r="U81" s="14"/>
      <c r="V81" s="14"/>
      <c r="W81" s="14"/>
      <c r="X81" s="22">
        <f t="shared" si="19"/>
        <v>215</v>
      </c>
      <c r="Y81" s="14"/>
      <c r="Z81" s="31">
        <f>21+4</f>
        <v>25</v>
      </c>
      <c r="AA81" s="23">
        <v>0.79166666666666663</v>
      </c>
      <c r="AB81" s="23">
        <v>0.29166666666666669</v>
      </c>
      <c r="AC81" s="23" cm="1">
        <f t="array" ref="AC81">_xlfn.IFS($AJ81="","",$AJ81&gt;=8,TIME(1,0,0),$AJ81&lt;=5,"")</f>
        <v>4.1666666666666664E-2</v>
      </c>
      <c r="AD81" s="23" t="str">
        <f t="shared" si="18"/>
        <v/>
      </c>
      <c r="AE81" s="23" cm="1">
        <f t="array" ref="AE81">_xlfn.IFS($AA81="","",AND($AJ81&lt;=12,$AJ81&gt;10),TIME(0,35,0),AND($AJ81&lt;=10,$AJ81&gt;5),TIME(0,20,0),$AJ81&gt;12,TIME(0,20,0),AND(AJ81&gt;3,$AJ81&lt;=5),TIME(0,10,0),$AJ81&lt;3,"")</f>
        <v>2.4305555555555556E-2</v>
      </c>
      <c r="AF81" s="23">
        <f t="shared" si="20"/>
        <v>6.9444444444444441E-3</v>
      </c>
      <c r="AG81" s="23"/>
      <c r="AH81" s="30"/>
      <c r="AI81" s="30"/>
      <c r="AJ81" s="24">
        <f t="shared" si="21"/>
        <v>12</v>
      </c>
      <c r="AK81" s="23">
        <f t="shared" si="22"/>
        <v>7.2916666666666671E-2</v>
      </c>
      <c r="AL81" s="25">
        <f t="shared" si="23"/>
        <v>300</v>
      </c>
      <c r="AM81" s="25">
        <f t="shared" si="24"/>
        <v>256.25</v>
      </c>
      <c r="AN81" s="16">
        <f t="shared" si="25"/>
        <v>1.3953488372093024</v>
      </c>
      <c r="AO81" s="38"/>
      <c r="AP81" s="19"/>
      <c r="AQ81" s="34"/>
      <c r="AR81" s="30" t="s">
        <v>220</v>
      </c>
    </row>
    <row r="82" spans="2:44" ht="15" customHeight="1" x14ac:dyDescent="0.3">
      <c r="B82" s="97">
        <v>46033</v>
      </c>
      <c r="C82" s="21">
        <f t="shared" si="1"/>
        <v>1</v>
      </c>
      <c r="D82" s="18" t="s">
        <v>97</v>
      </c>
      <c r="E82" s="14"/>
      <c r="F82" s="14">
        <v>171</v>
      </c>
      <c r="G82" s="14"/>
      <c r="H82" s="14"/>
      <c r="I82" s="14">
        <v>22</v>
      </c>
      <c r="J82" s="14">
        <v>48</v>
      </c>
      <c r="K82" s="14"/>
      <c r="L82" s="14"/>
      <c r="M82" s="14"/>
      <c r="N82" s="14"/>
      <c r="O82" s="14"/>
      <c r="P82" s="14"/>
      <c r="Q82" s="14">
        <v>231</v>
      </c>
      <c r="R82" s="14"/>
      <c r="S82" s="14"/>
      <c r="T82" s="14"/>
      <c r="U82" s="14"/>
      <c r="V82" s="14"/>
      <c r="W82" s="14"/>
      <c r="X82" s="22">
        <f t="shared" si="19"/>
        <v>472</v>
      </c>
      <c r="Y82" s="14"/>
      <c r="Z82" s="31">
        <v>5</v>
      </c>
      <c r="AA82" s="23">
        <v>0.29166666666666669</v>
      </c>
      <c r="AB82" s="23">
        <v>0.79166666666666663</v>
      </c>
      <c r="AC82" s="23" cm="1">
        <f t="array" ref="AC82">_xlfn.IFS($AJ82="","",$AJ82&gt;=8,TIME(1,0,0),$AJ82&lt;=5,"")</f>
        <v>4.1666666666666664E-2</v>
      </c>
      <c r="AD82" s="23" t="str">
        <f t="shared" si="18"/>
        <v/>
      </c>
      <c r="AE82" s="23" cm="1">
        <f t="array" ref="AE82">_xlfn.IFS($AA82="","",AND($AJ82&lt;=12,$AJ82&gt;10),TIME(0,35,0),AND($AJ82&lt;=10,$AJ82&gt;5),TIME(0,20,0),$AJ82&gt;12,TIME(0,20,0),AND(AJ82&gt;3,$AJ82&lt;=5),TIME(0,10,0),$AJ82&lt;3,"")</f>
        <v>2.4305555555555556E-2</v>
      </c>
      <c r="AF82" s="23">
        <f t="shared" si="20"/>
        <v>6.9444444444444441E-3</v>
      </c>
      <c r="AG82" s="23"/>
      <c r="AH82" s="30"/>
      <c r="AI82" s="23">
        <v>0.41666666666666669</v>
      </c>
      <c r="AJ82" s="24">
        <f t="shared" si="21"/>
        <v>11.999999999999998</v>
      </c>
      <c r="AK82" s="23">
        <f t="shared" si="22"/>
        <v>7.2916666666666671E-2</v>
      </c>
      <c r="AL82" s="25">
        <f t="shared" si="23"/>
        <v>59.999999999999993</v>
      </c>
      <c r="AM82" s="25">
        <f t="shared" si="24"/>
        <v>51.249999999999993</v>
      </c>
      <c r="AN82" s="16">
        <f t="shared" si="25"/>
        <v>0.1271186440677966</v>
      </c>
      <c r="AO82" s="38"/>
      <c r="AP82" s="19"/>
      <c r="AQ82" s="34"/>
      <c r="AR82" s="30" t="s">
        <v>221</v>
      </c>
    </row>
    <row r="83" spans="2:44" ht="15" customHeight="1" x14ac:dyDescent="0.3">
      <c r="B83" s="97">
        <v>46033</v>
      </c>
      <c r="C83" s="21">
        <f t="shared" si="1"/>
        <v>1</v>
      </c>
      <c r="D83" s="18" t="s">
        <v>97</v>
      </c>
      <c r="E83" s="14"/>
      <c r="F83" s="14"/>
      <c r="G83" s="14"/>
      <c r="H83" s="14"/>
      <c r="I83" s="14"/>
      <c r="J83" s="14"/>
      <c r="K83" s="14"/>
      <c r="L83" s="14"/>
      <c r="M83" s="14"/>
      <c r="N83" s="14"/>
      <c r="O83" s="14"/>
      <c r="P83" s="14"/>
      <c r="Q83" s="14">
        <v>232</v>
      </c>
      <c r="R83" s="14"/>
      <c r="S83" s="14"/>
      <c r="T83" s="14"/>
      <c r="U83" s="14"/>
      <c r="V83" s="14">
        <v>23</v>
      </c>
      <c r="W83" s="14"/>
      <c r="X83" s="22">
        <f t="shared" si="19"/>
        <v>255</v>
      </c>
      <c r="Y83" s="14"/>
      <c r="Z83" s="31">
        <v>3</v>
      </c>
      <c r="AA83" s="23">
        <v>0.79166666666666663</v>
      </c>
      <c r="AB83" s="23">
        <v>0.29166666666666669</v>
      </c>
      <c r="AC83" s="23" cm="1">
        <f t="array" ref="AC83">_xlfn.IFS($AJ83="","",$AJ83&gt;=8,TIME(1,0,0),$AJ83&lt;=5,"")</f>
        <v>4.1666666666666664E-2</v>
      </c>
      <c r="AD83" s="23" t="str">
        <f t="shared" si="18"/>
        <v/>
      </c>
      <c r="AE83" s="23" cm="1">
        <f t="array" ref="AE83">_xlfn.IFS($AA83="","",AND($AJ83&lt;=12,$AJ83&gt;10),TIME(0,35,0),AND($AJ83&lt;=10,$AJ83&gt;5),TIME(0,20,0),$AJ83&gt;12,TIME(0,20,0),AND(AJ83&gt;3,$AJ83&lt;=5),TIME(0,10,0),$AJ83&lt;3,"")</f>
        <v>2.4305555555555556E-2</v>
      </c>
      <c r="AF83" s="23">
        <f t="shared" si="20"/>
        <v>6.9444444444444441E-3</v>
      </c>
      <c r="AG83" s="23">
        <v>8.3333333333333329E-2</v>
      </c>
      <c r="AH83" s="30"/>
      <c r="AI83" s="23">
        <v>0.41666666666666669</v>
      </c>
      <c r="AJ83" s="24">
        <f t="shared" si="21"/>
        <v>12</v>
      </c>
      <c r="AK83" s="23">
        <f t="shared" si="22"/>
        <v>7.2916666666666671E-2</v>
      </c>
      <c r="AL83" s="25">
        <f t="shared" si="23"/>
        <v>36</v>
      </c>
      <c r="AM83" s="25">
        <f t="shared" si="24"/>
        <v>24.75</v>
      </c>
      <c r="AN83" s="16">
        <f t="shared" si="25"/>
        <v>0.14117647058823529</v>
      </c>
      <c r="AO83" s="38"/>
      <c r="AP83" s="19"/>
      <c r="AQ83" s="34"/>
      <c r="AR83" s="30" t="s">
        <v>222</v>
      </c>
    </row>
    <row r="84" spans="2:44" ht="15" customHeight="1" x14ac:dyDescent="0.3">
      <c r="B84" s="97">
        <v>46033</v>
      </c>
      <c r="C84" s="21">
        <f t="shared" si="1"/>
        <v>1</v>
      </c>
      <c r="D84" s="18" t="s">
        <v>98</v>
      </c>
      <c r="E84" s="14">
        <v>6</v>
      </c>
      <c r="F84" s="14">
        <v>26</v>
      </c>
      <c r="G84" s="14"/>
      <c r="H84" s="14"/>
      <c r="I84" s="14"/>
      <c r="J84" s="14">
        <v>1</v>
      </c>
      <c r="K84" s="14">
        <v>1</v>
      </c>
      <c r="L84" s="14"/>
      <c r="M84" s="14"/>
      <c r="N84" s="14"/>
      <c r="O84" s="14"/>
      <c r="P84" s="14"/>
      <c r="Q84" s="14">
        <f>201+43</f>
        <v>244</v>
      </c>
      <c r="R84" s="14"/>
      <c r="S84" s="14"/>
      <c r="T84" s="14"/>
      <c r="U84" s="14"/>
      <c r="V84" s="14">
        <v>27</v>
      </c>
      <c r="W84" s="14"/>
      <c r="X84" s="22">
        <f t="shared" si="19"/>
        <v>305</v>
      </c>
      <c r="Y84" s="14"/>
      <c r="Z84" s="31">
        <f>20+15+7</f>
        <v>42</v>
      </c>
      <c r="AA84" s="23">
        <v>0.29166666666666669</v>
      </c>
      <c r="AB84" s="23">
        <v>0.79166666666666663</v>
      </c>
      <c r="AC84" s="23" cm="1">
        <f t="array" ref="AC84">_xlfn.IFS($AJ84="","",$AJ84&gt;=8,TIME(1,0,0),$AJ84&lt;=5,"")</f>
        <v>4.1666666666666664E-2</v>
      </c>
      <c r="AD84" s="23" t="str">
        <f t="shared" si="18"/>
        <v/>
      </c>
      <c r="AE84" s="23" cm="1">
        <f t="array" ref="AE84">_xlfn.IFS($AA84="","",AND($AJ84&lt;=12,$AJ84&gt;10),TIME(0,35,0),AND($AJ84&lt;=10,$AJ84&gt;5),TIME(0,20,0),$AJ84&gt;12,TIME(0,20,0),AND(AJ84&gt;3,$AJ84&lt;=5),TIME(0,10,0),$AJ84&lt;3,"")</f>
        <v>2.4305555555555556E-2</v>
      </c>
      <c r="AF84" s="23">
        <f t="shared" si="20"/>
        <v>6.9444444444444441E-3</v>
      </c>
      <c r="AG84" s="23">
        <v>0.125</v>
      </c>
      <c r="AH84" s="30"/>
      <c r="AI84" s="23">
        <v>0.20833333333333334</v>
      </c>
      <c r="AJ84" s="24">
        <f t="shared" si="21"/>
        <v>11.999999999999998</v>
      </c>
      <c r="AK84" s="23">
        <f t="shared" si="22"/>
        <v>7.2916666666666671E-2</v>
      </c>
      <c r="AL84" s="25">
        <f t="shared" si="23"/>
        <v>503.99999999999994</v>
      </c>
      <c r="AM84" s="25">
        <f t="shared" si="24"/>
        <v>304.49999999999994</v>
      </c>
      <c r="AN84" s="16">
        <f t="shared" si="25"/>
        <v>1.6524590163934425</v>
      </c>
      <c r="AO84" s="38"/>
      <c r="AP84" s="19"/>
      <c r="AQ84" s="34"/>
      <c r="AR84" s="30" t="s">
        <v>223</v>
      </c>
    </row>
    <row r="85" spans="2:44" ht="15" customHeight="1" x14ac:dyDescent="0.3">
      <c r="B85" s="97">
        <v>46033</v>
      </c>
      <c r="C85" s="21">
        <f t="shared" si="1"/>
        <v>1</v>
      </c>
      <c r="D85" s="18" t="s">
        <v>98</v>
      </c>
      <c r="E85" s="14"/>
      <c r="F85" s="14">
        <v>124</v>
      </c>
      <c r="G85" s="14"/>
      <c r="H85" s="14"/>
      <c r="I85" s="14">
        <v>16</v>
      </c>
      <c r="J85" s="14"/>
      <c r="K85" s="14"/>
      <c r="L85" s="14"/>
      <c r="M85" s="14"/>
      <c r="N85" s="14"/>
      <c r="O85" s="14"/>
      <c r="P85" s="14"/>
      <c r="Q85" s="14">
        <v>260</v>
      </c>
      <c r="R85" s="14"/>
      <c r="S85" s="14"/>
      <c r="T85" s="14"/>
      <c r="U85" s="14"/>
      <c r="V85" s="14">
        <v>27</v>
      </c>
      <c r="W85" s="14"/>
      <c r="X85" s="22">
        <f t="shared" si="19"/>
        <v>427</v>
      </c>
      <c r="Y85" s="14"/>
      <c r="Z85" s="31">
        <f>17+1+9+3</f>
        <v>30</v>
      </c>
      <c r="AA85" s="23">
        <v>0.79166666666666663</v>
      </c>
      <c r="AB85" s="23">
        <v>0.29166666666666669</v>
      </c>
      <c r="AC85" s="23" cm="1">
        <f t="array" ref="AC85">_xlfn.IFS($AJ85="","",$AJ85&gt;=8,TIME(1,0,0),$AJ85&lt;=5,"")</f>
        <v>4.1666666666666664E-2</v>
      </c>
      <c r="AD85" s="23" t="str">
        <f t="shared" si="18"/>
        <v/>
      </c>
      <c r="AE85" s="23" cm="1">
        <f t="array" ref="AE85">_xlfn.IFS($AA85="","",AND($AJ85&lt;=12,$AJ85&gt;10),TIME(0,35,0),AND($AJ85&lt;=10,$AJ85&gt;5),TIME(0,20,0),$AJ85&gt;12,TIME(0,20,0),AND(AJ85&gt;3,$AJ85&lt;=5),TIME(0,10,0),$AJ85&lt;3,"")</f>
        <v>2.4305555555555556E-2</v>
      </c>
      <c r="AF85" s="23">
        <f t="shared" si="20"/>
        <v>6.9444444444444441E-3</v>
      </c>
      <c r="AG85" s="23"/>
      <c r="AH85" s="30"/>
      <c r="AI85" s="23">
        <v>0.41666666666666669</v>
      </c>
      <c r="AJ85" s="24">
        <f t="shared" si="21"/>
        <v>12</v>
      </c>
      <c r="AK85" s="23">
        <f t="shared" si="22"/>
        <v>7.2916666666666671E-2</v>
      </c>
      <c r="AL85" s="25">
        <f t="shared" si="23"/>
        <v>360</v>
      </c>
      <c r="AM85" s="25">
        <f t="shared" si="24"/>
        <v>307.5</v>
      </c>
      <c r="AN85" s="16">
        <f t="shared" si="25"/>
        <v>0.84309133489461363</v>
      </c>
      <c r="AO85" s="38"/>
      <c r="AP85" s="19"/>
      <c r="AQ85" s="34"/>
      <c r="AR85" s="30" t="s">
        <v>224</v>
      </c>
    </row>
    <row r="86" spans="2:44" ht="15" customHeight="1" x14ac:dyDescent="0.3">
      <c r="B86" s="97">
        <v>46033</v>
      </c>
      <c r="C86" s="21">
        <f t="shared" si="1"/>
        <v>1</v>
      </c>
      <c r="D86" s="18" t="s">
        <v>99</v>
      </c>
      <c r="E86" s="14">
        <v>4</v>
      </c>
      <c r="F86" s="14">
        <v>3</v>
      </c>
      <c r="G86" s="14"/>
      <c r="H86" s="14"/>
      <c r="I86" s="14"/>
      <c r="J86" s="14"/>
      <c r="K86" s="14"/>
      <c r="L86" s="14"/>
      <c r="M86" s="14"/>
      <c r="N86" s="14"/>
      <c r="O86" s="14"/>
      <c r="P86" s="14"/>
      <c r="Q86" s="14">
        <f>241+20</f>
        <v>261</v>
      </c>
      <c r="R86" s="14"/>
      <c r="S86" s="14"/>
      <c r="T86" s="14"/>
      <c r="U86" s="14"/>
      <c r="V86" s="14">
        <v>36</v>
      </c>
      <c r="W86" s="14">
        <v>1</v>
      </c>
      <c r="X86" s="22">
        <f t="shared" ref="X86:X108" si="26">SUM(E86:W86)</f>
        <v>305</v>
      </c>
      <c r="Y86" s="14"/>
      <c r="Z86" s="31">
        <f>15+6+16+8</f>
        <v>45</v>
      </c>
      <c r="AA86" s="23">
        <v>0.29166666666666669</v>
      </c>
      <c r="AB86" s="23">
        <v>0.79166666666666663</v>
      </c>
      <c r="AC86" s="23" cm="1">
        <f t="array" ref="AC86">_xlfn.IFS($AJ86="","",$AJ86&gt;=8,TIME(1,0,0),$AJ86&lt;=5,"")</f>
        <v>4.1666666666666664E-2</v>
      </c>
      <c r="AD86" s="23" t="str">
        <f t="shared" si="18"/>
        <v/>
      </c>
      <c r="AE86" s="23" cm="1">
        <f t="array" ref="AE86">_xlfn.IFS($AA86="","",AND($AJ86&lt;=12,$AJ86&gt;10),TIME(0,35,0),AND($AJ86&lt;=10,$AJ86&gt;5),TIME(0,20,0),$AJ86&gt;12,TIME(0,20,0),AND(AJ86&gt;3,$AJ86&lt;=5),TIME(0,10,0),$AJ86&lt;3,"")</f>
        <v>2.4305555555555556E-2</v>
      </c>
      <c r="AF86" s="23">
        <f t="shared" si="20"/>
        <v>6.9444444444444441E-3</v>
      </c>
      <c r="AG86" s="23">
        <v>8.3333333333333329E-2</v>
      </c>
      <c r="AH86" s="30"/>
      <c r="AI86" s="30"/>
      <c r="AJ86" s="24">
        <f t="shared" si="21"/>
        <v>11.999999999999998</v>
      </c>
      <c r="AK86" s="23">
        <f t="shared" si="22"/>
        <v>7.2916666666666671E-2</v>
      </c>
      <c r="AL86" s="25">
        <f t="shared" si="23"/>
        <v>539.99999999999989</v>
      </c>
      <c r="AM86" s="25">
        <f t="shared" si="24"/>
        <v>371.24999999999994</v>
      </c>
      <c r="AN86" s="16">
        <f t="shared" si="25"/>
        <v>1.770491803278688</v>
      </c>
      <c r="AO86" s="38"/>
      <c r="AP86" s="19"/>
      <c r="AQ86" s="34"/>
      <c r="AR86" s="30" t="s">
        <v>225</v>
      </c>
    </row>
    <row r="87" spans="2:44" ht="15" customHeight="1" x14ac:dyDescent="0.3">
      <c r="B87" s="97">
        <v>46033</v>
      </c>
      <c r="C87" s="21">
        <f t="shared" si="1"/>
        <v>1</v>
      </c>
      <c r="D87" s="18" t="s">
        <v>99</v>
      </c>
      <c r="E87" s="14"/>
      <c r="F87" s="14">
        <v>100</v>
      </c>
      <c r="G87" s="14"/>
      <c r="H87" s="14"/>
      <c r="I87" s="14">
        <v>6</v>
      </c>
      <c r="J87" s="14">
        <v>1</v>
      </c>
      <c r="K87" s="14"/>
      <c r="L87" s="14"/>
      <c r="M87" s="14"/>
      <c r="N87" s="14"/>
      <c r="O87" s="14"/>
      <c r="P87" s="14"/>
      <c r="Q87" s="14">
        <f>253+2</f>
        <v>255</v>
      </c>
      <c r="R87" s="14"/>
      <c r="S87" s="14"/>
      <c r="T87" s="14"/>
      <c r="U87" s="14"/>
      <c r="V87" s="14">
        <v>40</v>
      </c>
      <c r="W87" s="14"/>
      <c r="X87" s="22">
        <f t="shared" si="26"/>
        <v>402</v>
      </c>
      <c r="Y87" s="14"/>
      <c r="Z87" s="31">
        <f>19+7+5</f>
        <v>31</v>
      </c>
      <c r="AA87" s="23">
        <v>0.79166666666666663</v>
      </c>
      <c r="AB87" s="23">
        <v>0.29166666666666669</v>
      </c>
      <c r="AC87" s="23" cm="1">
        <f t="array" ref="AC87">_xlfn.IFS($AJ87="","",$AJ87&gt;=8,TIME(1,0,0),$AJ87&lt;=5,"")</f>
        <v>4.1666666666666664E-2</v>
      </c>
      <c r="AD87" s="23" t="str">
        <f t="shared" si="18"/>
        <v/>
      </c>
      <c r="AE87" s="23" cm="1">
        <f t="array" ref="AE87">_xlfn.IFS($AA87="","",AND($AJ87&lt;=12,$AJ87&gt;10),TIME(0,35,0),AND($AJ87&lt;=10,$AJ87&gt;5),TIME(0,20,0),$AJ87&gt;12,TIME(0,20,0),AND(AJ87&gt;3,$AJ87&lt;=5),TIME(0,10,0),$AJ87&lt;3,"")</f>
        <v>2.4305555555555556E-2</v>
      </c>
      <c r="AF87" s="23">
        <f t="shared" si="20"/>
        <v>6.9444444444444441E-3</v>
      </c>
      <c r="AG87" s="23"/>
      <c r="AH87" s="30"/>
      <c r="AI87" s="30"/>
      <c r="AJ87" s="24">
        <f t="shared" si="21"/>
        <v>12</v>
      </c>
      <c r="AK87" s="23">
        <f t="shared" si="22"/>
        <v>7.2916666666666671E-2</v>
      </c>
      <c r="AL87" s="25">
        <f t="shared" si="23"/>
        <v>372</v>
      </c>
      <c r="AM87" s="25">
        <f t="shared" si="24"/>
        <v>317.75</v>
      </c>
      <c r="AN87" s="16">
        <f t="shared" si="25"/>
        <v>0.92537313432835822</v>
      </c>
      <c r="AO87" s="16">
        <f>IF(COUNTIF(B80:B87,B80)=8,1/SUM(AN80:AN87),"")</f>
        <v>0.12630718250208797</v>
      </c>
      <c r="AP87" s="19"/>
      <c r="AQ87" s="34"/>
      <c r="AR87" s="30"/>
    </row>
    <row r="88" spans="2:44" ht="15" customHeight="1" x14ac:dyDescent="0.3">
      <c r="B88" s="98">
        <v>46034</v>
      </c>
      <c r="C88" s="21">
        <f t="shared" si="1"/>
        <v>1</v>
      </c>
      <c r="D88" s="36" t="s">
        <v>96</v>
      </c>
      <c r="E88" s="14">
        <v>160</v>
      </c>
      <c r="F88" s="14">
        <v>127</v>
      </c>
      <c r="G88" s="14"/>
      <c r="H88" s="14"/>
      <c r="I88" s="14">
        <v>100</v>
      </c>
      <c r="J88" s="14"/>
      <c r="K88" s="14"/>
      <c r="L88" s="14"/>
      <c r="M88" s="14"/>
      <c r="N88" s="14"/>
      <c r="O88" s="14"/>
      <c r="P88" s="14"/>
      <c r="Q88" s="14">
        <v>297</v>
      </c>
      <c r="R88" s="14"/>
      <c r="S88" s="14"/>
      <c r="T88" s="14"/>
      <c r="U88" s="14"/>
      <c r="V88" s="14">
        <v>120</v>
      </c>
      <c r="W88" s="14"/>
      <c r="X88" s="22">
        <f t="shared" si="26"/>
        <v>804</v>
      </c>
      <c r="Y88" s="14"/>
      <c r="Z88" s="31">
        <f>17+2+9+18+2+10</f>
        <v>58</v>
      </c>
      <c r="AA88" s="23">
        <v>0.29166666666666669</v>
      </c>
      <c r="AB88" s="23">
        <v>0.79166666666666663</v>
      </c>
      <c r="AC88" s="23" cm="1">
        <f t="array" ref="AC88">_xlfn.IFS($AJ88="","",$AJ88&gt;=8,TIME(1,0,0),$AJ88&lt;=5,"")</f>
        <v>4.1666666666666664E-2</v>
      </c>
      <c r="AD88" s="23" t="str">
        <f t="shared" si="18"/>
        <v/>
      </c>
      <c r="AE88" s="23" cm="1">
        <f t="array" ref="AE88">_xlfn.IFS($AA88="","",AND($AJ88&lt;=12,$AJ88&gt;10),TIME(0,35,0),AND($AJ88&lt;=10,$AJ88&gt;5),TIME(0,20,0),$AJ88&gt;12,TIME(0,20,0),AND(AJ88&gt;3,$AJ88&lt;=5),TIME(0,10,0),$AJ88&lt;3,"")</f>
        <v>2.4305555555555556E-2</v>
      </c>
      <c r="AF88" s="23">
        <f t="shared" si="20"/>
        <v>6.9444444444444441E-3</v>
      </c>
      <c r="AG88" s="23"/>
      <c r="AH88" s="30"/>
      <c r="AI88" s="30"/>
      <c r="AJ88" s="24">
        <f t="shared" si="21"/>
        <v>11.999999999999998</v>
      </c>
      <c r="AK88" s="23">
        <f t="shared" si="22"/>
        <v>7.2916666666666671E-2</v>
      </c>
      <c r="AL88" s="25">
        <f t="shared" si="23"/>
        <v>695.99999999999989</v>
      </c>
      <c r="AM88" s="25">
        <f t="shared" si="24"/>
        <v>594.49999999999989</v>
      </c>
      <c r="AN88" s="16">
        <f t="shared" si="25"/>
        <v>0.86567164179104461</v>
      </c>
      <c r="AO88" s="38"/>
      <c r="AP88" s="19"/>
      <c r="AQ88" s="34"/>
      <c r="AR88" s="30"/>
    </row>
    <row r="89" spans="2:44" ht="15" customHeight="1" x14ac:dyDescent="0.3">
      <c r="B89" s="98">
        <v>46034</v>
      </c>
      <c r="C89" s="21">
        <f t="shared" si="1"/>
        <v>1</v>
      </c>
      <c r="D89" s="36" t="s">
        <v>96</v>
      </c>
      <c r="E89" s="14"/>
      <c r="F89" s="14"/>
      <c r="G89" s="14"/>
      <c r="H89" s="14"/>
      <c r="I89" s="14"/>
      <c r="J89" s="14"/>
      <c r="K89" s="14"/>
      <c r="L89" s="14"/>
      <c r="M89" s="14"/>
      <c r="N89" s="14"/>
      <c r="O89" s="14"/>
      <c r="P89" s="14"/>
      <c r="Q89" s="14">
        <f>79+196</f>
        <v>275</v>
      </c>
      <c r="R89" s="14"/>
      <c r="S89" s="14"/>
      <c r="T89" s="14"/>
      <c r="U89" s="14"/>
      <c r="V89" s="14"/>
      <c r="W89" s="14"/>
      <c r="X89" s="22">
        <f t="shared" si="26"/>
        <v>275</v>
      </c>
      <c r="Y89" s="14"/>
      <c r="Z89" s="31">
        <f>23+10</f>
        <v>33</v>
      </c>
      <c r="AA89" s="23">
        <v>0.79166666666666663</v>
      </c>
      <c r="AB89" s="23">
        <v>0.29166666666666669</v>
      </c>
      <c r="AC89" s="23" cm="1">
        <f t="array" ref="AC89">_xlfn.IFS($AJ89="","",$AJ89&gt;=8,TIME(1,0,0),$AJ89&lt;=5,"")</f>
        <v>4.1666666666666664E-2</v>
      </c>
      <c r="AD89" s="23" t="str">
        <f t="shared" si="18"/>
        <v/>
      </c>
      <c r="AE89" s="23" cm="1">
        <f t="array" ref="AE89">_xlfn.IFS($AA89="","",AND($AJ89&lt;=12,$AJ89&gt;10),TIME(0,35,0),AND($AJ89&lt;=10,$AJ89&gt;5),TIME(0,20,0),$AJ89&gt;12,TIME(0,20,0),AND(AJ89&gt;3,$AJ89&lt;=5),TIME(0,10,0),$AJ89&lt;3,"")</f>
        <v>2.4305555555555556E-2</v>
      </c>
      <c r="AF89" s="23">
        <f t="shared" si="20"/>
        <v>6.9444444444444441E-3</v>
      </c>
      <c r="AG89" s="23">
        <v>5.2083333333333336E-2</v>
      </c>
      <c r="AH89" s="30"/>
      <c r="AI89" s="30"/>
      <c r="AJ89" s="24">
        <f t="shared" si="21"/>
        <v>12</v>
      </c>
      <c r="AK89" s="23">
        <f t="shared" si="22"/>
        <v>7.2916666666666671E-2</v>
      </c>
      <c r="AL89" s="25">
        <f t="shared" si="23"/>
        <v>396</v>
      </c>
      <c r="AM89" s="25">
        <f t="shared" si="24"/>
        <v>297</v>
      </c>
      <c r="AN89" s="16">
        <f t="shared" si="25"/>
        <v>1.44</v>
      </c>
      <c r="AO89" s="38"/>
      <c r="AP89" s="19"/>
      <c r="AQ89" s="34"/>
      <c r="AR89" s="30" t="s">
        <v>226</v>
      </c>
    </row>
    <row r="90" spans="2:44" ht="15" customHeight="1" x14ac:dyDescent="0.3">
      <c r="B90" s="98">
        <v>46034</v>
      </c>
      <c r="C90" s="21">
        <f t="shared" si="1"/>
        <v>1</v>
      </c>
      <c r="D90" s="18" t="s">
        <v>97</v>
      </c>
      <c r="E90" s="14"/>
      <c r="F90" s="14">
        <v>206</v>
      </c>
      <c r="G90" s="14"/>
      <c r="H90" s="14"/>
      <c r="I90" s="14">
        <v>66</v>
      </c>
      <c r="J90" s="14"/>
      <c r="K90" s="14"/>
      <c r="L90" s="14"/>
      <c r="M90" s="14"/>
      <c r="N90" s="14"/>
      <c r="O90" s="14"/>
      <c r="P90" s="14"/>
      <c r="Q90" s="14">
        <v>294</v>
      </c>
      <c r="R90" s="14"/>
      <c r="S90" s="14"/>
      <c r="T90" s="14"/>
      <c r="U90" s="14"/>
      <c r="V90" s="14">
        <v>72</v>
      </c>
      <c r="W90" s="14"/>
      <c r="X90" s="22">
        <f t="shared" si="26"/>
        <v>638</v>
      </c>
      <c r="Y90" s="14"/>
      <c r="Z90" s="31">
        <v>6</v>
      </c>
      <c r="AA90" s="23">
        <v>0.29166666666666669</v>
      </c>
      <c r="AB90" s="23">
        <v>0.79166666666666663</v>
      </c>
      <c r="AC90" s="23" cm="1">
        <f t="array" ref="AC90">_xlfn.IFS($AJ90="","",$AJ90&gt;=8,TIME(1,0,0),$AJ90&lt;=5,"")</f>
        <v>4.1666666666666664E-2</v>
      </c>
      <c r="AD90" s="23" t="str">
        <f t="shared" si="18"/>
        <v/>
      </c>
      <c r="AE90" s="23" cm="1">
        <f t="array" ref="AE90">_xlfn.IFS($AA90="","",AND($AJ90&lt;=12,$AJ90&gt;10),TIME(0,35,0),AND($AJ90&lt;=10,$AJ90&gt;5),TIME(0,20,0),$AJ90&gt;12,TIME(0,20,0),AND(AJ90&gt;3,$AJ90&lt;=5),TIME(0,10,0),$AJ90&lt;3,"")</f>
        <v>2.4305555555555556E-2</v>
      </c>
      <c r="AF90" s="23">
        <f t="shared" si="20"/>
        <v>6.9444444444444441E-3</v>
      </c>
      <c r="AG90" s="23">
        <v>3.125E-2</v>
      </c>
      <c r="AH90" s="30"/>
      <c r="AI90" s="23">
        <v>0.125</v>
      </c>
      <c r="AJ90" s="24">
        <f t="shared" si="21"/>
        <v>11.999999999999998</v>
      </c>
      <c r="AK90" s="23">
        <f t="shared" si="22"/>
        <v>7.2916666666666671E-2</v>
      </c>
      <c r="AL90" s="25">
        <f t="shared" si="23"/>
        <v>71.999999999999986</v>
      </c>
      <c r="AM90" s="25">
        <f t="shared" si="24"/>
        <v>56.999999999999986</v>
      </c>
      <c r="AN90" s="16">
        <f t="shared" si="25"/>
        <v>0.11285266457680249</v>
      </c>
      <c r="AO90" s="38"/>
      <c r="AP90" s="19"/>
      <c r="AQ90" s="34"/>
      <c r="AR90" s="30"/>
    </row>
    <row r="91" spans="2:44" ht="15" customHeight="1" x14ac:dyDescent="0.3">
      <c r="B91" s="98">
        <v>46034</v>
      </c>
      <c r="C91" s="21">
        <f t="shared" si="1"/>
        <v>1</v>
      </c>
      <c r="D91" s="18" t="s">
        <v>97</v>
      </c>
      <c r="E91" s="14">
        <v>86</v>
      </c>
      <c r="F91" s="14">
        <v>46</v>
      </c>
      <c r="G91" s="14"/>
      <c r="H91" s="14"/>
      <c r="I91" s="14">
        <v>63</v>
      </c>
      <c r="J91" s="14"/>
      <c r="K91" s="14"/>
      <c r="L91" s="14"/>
      <c r="M91" s="14"/>
      <c r="N91" s="14"/>
      <c r="O91" s="14"/>
      <c r="P91" s="14"/>
      <c r="Q91" s="14">
        <v>276</v>
      </c>
      <c r="R91" s="14"/>
      <c r="S91" s="14"/>
      <c r="T91" s="14"/>
      <c r="U91" s="14"/>
      <c r="V91" s="14">
        <v>76</v>
      </c>
      <c r="W91" s="14"/>
      <c r="X91" s="22">
        <f t="shared" si="26"/>
        <v>547</v>
      </c>
      <c r="Y91" s="14"/>
      <c r="Z91" s="31">
        <f>5+2</f>
        <v>7</v>
      </c>
      <c r="AA91" s="23">
        <v>0.79166666666666663</v>
      </c>
      <c r="AB91" s="23">
        <v>0.29166666666666669</v>
      </c>
      <c r="AC91" s="23" cm="1">
        <f t="array" ref="AC91">_xlfn.IFS($AJ91="","",$AJ91&gt;=8,TIME(1,0,0),$AJ91&lt;=5,"")</f>
        <v>4.1666666666666664E-2</v>
      </c>
      <c r="AD91" s="23" t="str">
        <f t="shared" si="18"/>
        <v/>
      </c>
      <c r="AE91" s="23" cm="1">
        <f t="array" ref="AE91">_xlfn.IFS($AA91="","",AND($AJ91&lt;=12,$AJ91&gt;10),TIME(0,35,0),AND($AJ91&lt;=10,$AJ91&gt;5),TIME(0,20,0),$AJ91&gt;12,TIME(0,20,0),AND(AJ91&gt;3,$AJ91&lt;=5),TIME(0,10,0),$AJ91&lt;3,"")</f>
        <v>2.4305555555555556E-2</v>
      </c>
      <c r="AF91" s="23">
        <f t="shared" si="20"/>
        <v>6.9444444444444441E-3</v>
      </c>
      <c r="AG91" s="23"/>
      <c r="AH91" s="30"/>
      <c r="AI91" s="30"/>
      <c r="AJ91" s="24">
        <f t="shared" si="21"/>
        <v>12</v>
      </c>
      <c r="AK91" s="23">
        <f t="shared" si="22"/>
        <v>7.2916666666666671E-2</v>
      </c>
      <c r="AL91" s="25">
        <f t="shared" si="23"/>
        <v>84</v>
      </c>
      <c r="AM91" s="25">
        <f t="shared" si="24"/>
        <v>71.75</v>
      </c>
      <c r="AN91" s="16">
        <f t="shared" si="25"/>
        <v>0.15356489945155394</v>
      </c>
      <c r="AO91" s="38"/>
      <c r="AP91" s="19"/>
      <c r="AQ91" s="34"/>
      <c r="AR91" s="30"/>
    </row>
    <row r="92" spans="2:44" ht="15" customHeight="1" x14ac:dyDescent="0.3">
      <c r="B92" s="98">
        <v>46034</v>
      </c>
      <c r="C92" s="21">
        <f t="shared" si="1"/>
        <v>1</v>
      </c>
      <c r="D92" s="18" t="s">
        <v>98</v>
      </c>
      <c r="E92" s="14"/>
      <c r="F92" s="14">
        <v>121</v>
      </c>
      <c r="G92" s="14"/>
      <c r="H92" s="14"/>
      <c r="I92" s="14">
        <v>28</v>
      </c>
      <c r="J92" s="14">
        <v>63</v>
      </c>
      <c r="K92" s="14"/>
      <c r="L92" s="14"/>
      <c r="M92" s="14"/>
      <c r="N92" s="14"/>
      <c r="O92" s="14"/>
      <c r="P92" s="14"/>
      <c r="Q92" s="14">
        <v>276</v>
      </c>
      <c r="R92" s="14"/>
      <c r="S92" s="14"/>
      <c r="T92" s="14"/>
      <c r="U92" s="14"/>
      <c r="V92" s="14"/>
      <c r="W92" s="14">
        <v>3</v>
      </c>
      <c r="X92" s="22">
        <f t="shared" si="26"/>
        <v>491</v>
      </c>
      <c r="Y92" s="14"/>
      <c r="Z92" s="31">
        <f>18+7+10</f>
        <v>35</v>
      </c>
      <c r="AA92" s="23">
        <v>0.29166666666666669</v>
      </c>
      <c r="AB92" s="23">
        <v>0.79166666666666663</v>
      </c>
      <c r="AC92" s="23" cm="1">
        <f t="array" ref="AC92">_xlfn.IFS($AJ92="","",$AJ92&gt;=8,TIME(1,0,0),$AJ92&lt;=5,"")</f>
        <v>4.1666666666666664E-2</v>
      </c>
      <c r="AD92" s="23" t="str">
        <f t="shared" si="18"/>
        <v/>
      </c>
      <c r="AE92" s="23" cm="1">
        <f t="array" ref="AE92">_xlfn.IFS($AA92="","",AND($AJ92&lt;=12,$AJ92&gt;10),TIME(0,35,0),AND($AJ92&lt;=10,$AJ92&gt;5),TIME(0,20,0),$AJ92&gt;12,TIME(0,20,0),AND(AJ92&gt;3,$AJ92&lt;=5),TIME(0,10,0),$AJ92&lt;3,"")</f>
        <v>2.4305555555555556E-2</v>
      </c>
      <c r="AF92" s="23">
        <f t="shared" si="20"/>
        <v>6.9444444444444441E-3</v>
      </c>
      <c r="AG92" s="23">
        <v>2.7777777777777776E-2</v>
      </c>
      <c r="AH92" s="30"/>
      <c r="AI92" s="30"/>
      <c r="AJ92" s="24">
        <f t="shared" si="21"/>
        <v>11.999999999999998</v>
      </c>
      <c r="AK92" s="23">
        <f t="shared" si="22"/>
        <v>7.2916666666666671E-2</v>
      </c>
      <c r="AL92" s="25">
        <f t="shared" si="23"/>
        <v>419.99999999999994</v>
      </c>
      <c r="AM92" s="25">
        <f t="shared" si="24"/>
        <v>335.41666666666663</v>
      </c>
      <c r="AN92" s="16">
        <f t="shared" si="25"/>
        <v>0.855397148676171</v>
      </c>
      <c r="AO92" s="38"/>
      <c r="AP92" s="19"/>
      <c r="AQ92" s="34"/>
      <c r="AR92" s="30" t="s">
        <v>227</v>
      </c>
    </row>
    <row r="93" spans="2:44" ht="15" customHeight="1" x14ac:dyDescent="0.3">
      <c r="B93" s="98">
        <v>46034</v>
      </c>
      <c r="C93" s="21">
        <f t="shared" si="1"/>
        <v>1</v>
      </c>
      <c r="D93" s="18" t="s">
        <v>98</v>
      </c>
      <c r="E93" s="14">
        <v>156</v>
      </c>
      <c r="F93" s="14"/>
      <c r="G93" s="14"/>
      <c r="H93" s="14"/>
      <c r="I93" s="14">
        <v>88</v>
      </c>
      <c r="J93" s="14"/>
      <c r="K93" s="14"/>
      <c r="L93" s="14"/>
      <c r="M93" s="14"/>
      <c r="N93" s="14"/>
      <c r="O93" s="14"/>
      <c r="P93" s="14"/>
      <c r="Q93" s="14">
        <v>210</v>
      </c>
      <c r="R93" s="14"/>
      <c r="S93" s="14"/>
      <c r="T93" s="14"/>
      <c r="U93" s="14"/>
      <c r="V93" s="14">
        <v>42</v>
      </c>
      <c r="W93" s="14"/>
      <c r="X93" s="22">
        <f t="shared" si="26"/>
        <v>496</v>
      </c>
      <c r="Y93" s="14"/>
      <c r="Z93" s="31">
        <f>18+2+18</f>
        <v>38</v>
      </c>
      <c r="AA93" s="23">
        <v>0.79166666666666663</v>
      </c>
      <c r="AB93" s="23">
        <v>0.29166666666666669</v>
      </c>
      <c r="AC93" s="23" cm="1">
        <f t="array" ref="AC93">_xlfn.IFS($AJ93="","",$AJ93&gt;=8,TIME(1,0,0),$AJ93&lt;=5,"")</f>
        <v>4.1666666666666664E-2</v>
      </c>
      <c r="AD93" s="23" t="str">
        <f t="shared" si="18"/>
        <v/>
      </c>
      <c r="AE93" s="23" cm="1">
        <f t="array" ref="AE93">_xlfn.IFS($AA93="","",AND($AJ93&lt;=12,$AJ93&gt;10),TIME(0,35,0),AND($AJ93&lt;=10,$AJ93&gt;5),TIME(0,20,0),$AJ93&gt;12,TIME(0,20,0),AND(AJ93&gt;3,$AJ93&lt;=5),TIME(0,10,0),$AJ93&lt;3,"")</f>
        <v>2.4305555555555556E-2</v>
      </c>
      <c r="AF93" s="23">
        <f t="shared" si="20"/>
        <v>6.9444444444444441E-3</v>
      </c>
      <c r="AG93" s="23">
        <v>9.7222222222222224E-2</v>
      </c>
      <c r="AH93" s="30"/>
      <c r="AI93" s="30"/>
      <c r="AJ93" s="24">
        <f t="shared" si="21"/>
        <v>12</v>
      </c>
      <c r="AK93" s="23">
        <f t="shared" si="22"/>
        <v>7.2916666666666671E-2</v>
      </c>
      <c r="AL93" s="25">
        <f t="shared" si="23"/>
        <v>456</v>
      </c>
      <c r="AM93" s="25">
        <f t="shared" si="24"/>
        <v>300.83333333333331</v>
      </c>
      <c r="AN93" s="16">
        <f t="shared" si="25"/>
        <v>0.91935483870967738</v>
      </c>
      <c r="AO93" s="38"/>
      <c r="AP93" s="19"/>
      <c r="AQ93" s="34"/>
      <c r="AR93" s="30" t="s">
        <v>228</v>
      </c>
    </row>
    <row r="94" spans="2:44" ht="15" customHeight="1" x14ac:dyDescent="0.3">
      <c r="B94" s="98">
        <v>46034</v>
      </c>
      <c r="C94" s="21">
        <f t="shared" si="1"/>
        <v>1</v>
      </c>
      <c r="D94" s="18" t="s">
        <v>99</v>
      </c>
      <c r="E94" s="14">
        <v>1</v>
      </c>
      <c r="F94" s="14">
        <v>67</v>
      </c>
      <c r="G94" s="14"/>
      <c r="H94" s="14"/>
      <c r="I94" s="14">
        <v>21</v>
      </c>
      <c r="J94" s="14">
        <v>1</v>
      </c>
      <c r="K94" s="14">
        <v>2</v>
      </c>
      <c r="L94" s="14"/>
      <c r="M94" s="14"/>
      <c r="N94" s="14"/>
      <c r="O94" s="14"/>
      <c r="P94" s="14"/>
      <c r="Q94" s="14">
        <f>331+5</f>
        <v>336</v>
      </c>
      <c r="R94" s="14"/>
      <c r="S94" s="14"/>
      <c r="T94" s="14"/>
      <c r="U94" s="14"/>
      <c r="V94" s="14">
        <v>35</v>
      </c>
      <c r="W94" s="14"/>
      <c r="X94" s="22">
        <f t="shared" si="26"/>
        <v>463</v>
      </c>
      <c r="Y94" s="14"/>
      <c r="Z94" s="31">
        <f>17+7+17</f>
        <v>41</v>
      </c>
      <c r="AA94" s="23">
        <v>0.29166666666666669</v>
      </c>
      <c r="AB94" s="23">
        <v>0.79166666666666663</v>
      </c>
      <c r="AC94" s="23" cm="1">
        <f t="array" ref="AC94">_xlfn.IFS($AJ94="","",$AJ94&gt;=8,TIME(1,0,0),$AJ94&lt;=5,"")</f>
        <v>4.1666666666666664E-2</v>
      </c>
      <c r="AD94" s="23" t="str">
        <f t="shared" ref="AD94:AD157" si="27">IF(AND($AB94&gt;=TIME(21,0,0),$AJ94&gt;12),TIME(1,0,0),"")</f>
        <v/>
      </c>
      <c r="AE94" s="23" cm="1">
        <f t="array" ref="AE94">_xlfn.IFS($AA94="","",AND($AJ94&lt;=12,$AJ94&gt;10),TIME(0,35,0),AND($AJ94&lt;=10,$AJ94&gt;5),TIME(0,20,0),$AJ94&gt;12,TIME(0,20,0),AND(AJ94&gt;3,$AJ94&lt;=5),TIME(0,10,0),$AJ94&lt;3,"")</f>
        <v>2.4305555555555556E-2</v>
      </c>
      <c r="AF94" s="23">
        <f t="shared" ref="AF94:AF157" si="28">IF($AA94&lt;&gt;"",TIME(0,10,0),"")</f>
        <v>6.9444444444444441E-3</v>
      </c>
      <c r="AG94" s="23"/>
      <c r="AH94" s="30"/>
      <c r="AI94" s="30"/>
      <c r="AJ94" s="24">
        <f t="shared" ref="AJ94:AJ157" si="29">IF($AA94="","",MOD($AB94-$AA94,1)*24)</f>
        <v>11.999999999999998</v>
      </c>
      <c r="AK94" s="23">
        <f t="shared" ref="AK94:AK157" si="30">IF($AA94="","",SUM($AC94:$AF94))</f>
        <v>7.2916666666666671E-2</v>
      </c>
      <c r="AL94" s="25">
        <f t="shared" ref="AL94:AL157" si="31">IF(OR($Z94="",$AJ94=""),"",$AJ94*$Z94)</f>
        <v>491.99999999999994</v>
      </c>
      <c r="AM94" s="25">
        <f t="shared" ref="AM94:AM157" si="32">IF(OR($Z94="",$AJ94=""),"",($AJ94-($AK94+$AG94)*24)*$Z94)</f>
        <v>420.24999999999994</v>
      </c>
      <c r="AN94" s="16">
        <f t="shared" ref="AN94:AN157" si="33">IF(OR($X94=0,$Z94="",$AL94=""),"",$AL94/$X94)</f>
        <v>1.0626349892008637</v>
      </c>
      <c r="AO94" s="38"/>
      <c r="AP94" s="19"/>
      <c r="AQ94" s="34"/>
      <c r="AR94" s="30"/>
    </row>
    <row r="95" spans="2:44" ht="15" customHeight="1" x14ac:dyDescent="0.3">
      <c r="B95" s="98">
        <v>46034</v>
      </c>
      <c r="C95" s="21">
        <f t="shared" si="1"/>
        <v>1</v>
      </c>
      <c r="D95" s="18" t="s">
        <v>99</v>
      </c>
      <c r="E95" s="14">
        <v>48</v>
      </c>
      <c r="F95" s="14">
        <v>134</v>
      </c>
      <c r="G95" s="14"/>
      <c r="H95" s="14"/>
      <c r="I95" s="14">
        <v>51</v>
      </c>
      <c r="J95" s="14">
        <v>5</v>
      </c>
      <c r="K95" s="14"/>
      <c r="L95" s="14"/>
      <c r="M95" s="14"/>
      <c r="N95" s="14"/>
      <c r="O95" s="14"/>
      <c r="P95" s="14"/>
      <c r="Q95" s="14">
        <f>181+6</f>
        <v>187</v>
      </c>
      <c r="R95" s="14"/>
      <c r="S95" s="14"/>
      <c r="T95" s="14"/>
      <c r="U95" s="14"/>
      <c r="V95" s="14">
        <v>52</v>
      </c>
      <c r="W95" s="14">
        <v>3</v>
      </c>
      <c r="X95" s="22">
        <f t="shared" si="26"/>
        <v>480</v>
      </c>
      <c r="Y95" s="14"/>
      <c r="Z95" s="31">
        <f>19+8+10</f>
        <v>37</v>
      </c>
      <c r="AA95" s="23">
        <v>0.79166666666666663</v>
      </c>
      <c r="AB95" s="23">
        <v>0.29166666666666669</v>
      </c>
      <c r="AC95" s="23" cm="1">
        <f t="array" ref="AC95">_xlfn.IFS($AJ95="","",$AJ95&gt;=8,TIME(1,0,0),$AJ95&lt;=5,"")</f>
        <v>4.1666666666666664E-2</v>
      </c>
      <c r="AD95" s="23" t="str">
        <f t="shared" si="27"/>
        <v/>
      </c>
      <c r="AE95" s="23" cm="1">
        <f t="array" ref="AE95">_xlfn.IFS($AA95="","",AND($AJ95&lt;=12,$AJ95&gt;10),TIME(0,35,0),AND($AJ95&lt;=10,$AJ95&gt;5),TIME(0,20,0),$AJ95&gt;12,TIME(0,20,0),AND(AJ95&gt;3,$AJ95&lt;=5),TIME(0,10,0),$AJ95&lt;3,"")</f>
        <v>2.4305555555555556E-2</v>
      </c>
      <c r="AF95" s="23">
        <f t="shared" si="28"/>
        <v>6.9444444444444441E-3</v>
      </c>
      <c r="AG95" s="23">
        <v>2.0833333333333332E-2</v>
      </c>
      <c r="AH95" s="30"/>
      <c r="AI95" s="30"/>
      <c r="AJ95" s="24">
        <f t="shared" si="29"/>
        <v>12</v>
      </c>
      <c r="AK95" s="23">
        <f t="shared" si="30"/>
        <v>7.2916666666666671E-2</v>
      </c>
      <c r="AL95" s="25">
        <f t="shared" si="31"/>
        <v>444</v>
      </c>
      <c r="AM95" s="25">
        <f t="shared" si="32"/>
        <v>360.75</v>
      </c>
      <c r="AN95" s="16">
        <f t="shared" si="33"/>
        <v>0.92500000000000004</v>
      </c>
      <c r="AO95" s="16">
        <f>IF(COUNTIF(B88:B95,B88)=8,1/SUM(AN88:AN95),"")</f>
        <v>0.15786624990042286</v>
      </c>
      <c r="AP95" s="19"/>
      <c r="AQ95" s="34"/>
      <c r="AR95" s="30" t="s">
        <v>229</v>
      </c>
    </row>
    <row r="96" spans="2:44" ht="15" customHeight="1" x14ac:dyDescent="0.3">
      <c r="B96" s="97">
        <v>46035</v>
      </c>
      <c r="C96" s="21">
        <f t="shared" si="1"/>
        <v>1</v>
      </c>
      <c r="D96" s="36" t="s">
        <v>96</v>
      </c>
      <c r="E96" s="14">
        <v>227</v>
      </c>
      <c r="F96" s="14"/>
      <c r="G96" s="14"/>
      <c r="H96" s="14"/>
      <c r="I96" s="14">
        <v>150</v>
      </c>
      <c r="J96" s="14"/>
      <c r="K96" s="14"/>
      <c r="L96" s="14"/>
      <c r="M96" s="14"/>
      <c r="N96" s="14"/>
      <c r="O96" s="14"/>
      <c r="P96" s="14"/>
      <c r="Q96" s="14">
        <f>193+97</f>
        <v>290</v>
      </c>
      <c r="R96" s="14"/>
      <c r="S96" s="14"/>
      <c r="T96" s="14"/>
      <c r="U96" s="14"/>
      <c r="V96" s="14">
        <v>123</v>
      </c>
      <c r="W96" s="14"/>
      <c r="X96" s="22">
        <f t="shared" si="26"/>
        <v>790</v>
      </c>
      <c r="Y96" s="14"/>
      <c r="Z96" s="31">
        <f>14+2+9+16+2+11</f>
        <v>54</v>
      </c>
      <c r="AA96" s="23">
        <v>0.29166666666666669</v>
      </c>
      <c r="AB96" s="23">
        <v>0.79166666666666663</v>
      </c>
      <c r="AC96" s="23" cm="1">
        <f t="array" ref="AC96">_xlfn.IFS($AJ96="","",$AJ96&gt;=8,TIME(1,0,0),$AJ96&lt;=5,"")</f>
        <v>4.1666666666666664E-2</v>
      </c>
      <c r="AD96" s="23" t="str">
        <f t="shared" si="27"/>
        <v/>
      </c>
      <c r="AE96" s="23" cm="1">
        <f t="array" ref="AE96">_xlfn.IFS($AA96="","",AND($AJ96&lt;=12,$AJ96&gt;10),TIME(0,35,0),AND($AJ96&lt;=10,$AJ96&gt;5),TIME(0,20,0),$AJ96&gt;12,TIME(0,20,0),AND(AJ96&gt;3,$AJ96&lt;=5),TIME(0,10,0),$AJ96&lt;3,"")</f>
        <v>2.4305555555555556E-2</v>
      </c>
      <c r="AF96" s="23">
        <f t="shared" si="28"/>
        <v>6.9444444444444441E-3</v>
      </c>
      <c r="AG96" s="23"/>
      <c r="AH96" s="30"/>
      <c r="AI96" s="30"/>
      <c r="AJ96" s="24">
        <f t="shared" si="29"/>
        <v>11.999999999999998</v>
      </c>
      <c r="AK96" s="23">
        <f t="shared" si="30"/>
        <v>7.2916666666666671E-2</v>
      </c>
      <c r="AL96" s="25">
        <f t="shared" si="31"/>
        <v>647.99999999999989</v>
      </c>
      <c r="AM96" s="25">
        <f t="shared" si="32"/>
        <v>553.49999999999989</v>
      </c>
      <c r="AN96" s="16">
        <f t="shared" si="33"/>
        <v>0.82025316455696184</v>
      </c>
      <c r="AO96" s="38"/>
      <c r="AP96" s="19"/>
      <c r="AQ96" s="34"/>
      <c r="AR96" s="30" t="s">
        <v>230</v>
      </c>
    </row>
    <row r="97" spans="2:44" ht="15" customHeight="1" x14ac:dyDescent="0.3">
      <c r="B97" s="97">
        <v>46035</v>
      </c>
      <c r="C97" s="21">
        <f t="shared" si="1"/>
        <v>1</v>
      </c>
      <c r="D97" s="36" t="s">
        <v>96</v>
      </c>
      <c r="E97" s="14">
        <v>120</v>
      </c>
      <c r="F97" s="14"/>
      <c r="G97" s="14"/>
      <c r="H97" s="14"/>
      <c r="I97" s="14"/>
      <c r="J97" s="14"/>
      <c r="K97" s="14"/>
      <c r="L97" s="14"/>
      <c r="M97" s="14"/>
      <c r="N97" s="14"/>
      <c r="O97" s="14"/>
      <c r="P97" s="14"/>
      <c r="Q97" s="14">
        <v>231</v>
      </c>
      <c r="R97" s="14"/>
      <c r="S97" s="14"/>
      <c r="T97" s="14"/>
      <c r="U97" s="14"/>
      <c r="V97" s="14"/>
      <c r="W97" s="14"/>
      <c r="X97" s="22">
        <f t="shared" si="26"/>
        <v>351</v>
      </c>
      <c r="Y97" s="14"/>
      <c r="Z97" s="31">
        <f>22+10</f>
        <v>32</v>
      </c>
      <c r="AA97" s="23">
        <v>0.79166666666666663</v>
      </c>
      <c r="AB97" s="23">
        <v>0.29166666666666669</v>
      </c>
      <c r="AC97" s="23" cm="1">
        <f t="array" ref="AC97">_xlfn.IFS($AJ97="","",$AJ97&gt;=8,TIME(1,0,0),$AJ97&lt;=5,"")</f>
        <v>4.1666666666666664E-2</v>
      </c>
      <c r="AD97" s="23" t="str">
        <f t="shared" si="27"/>
        <v/>
      </c>
      <c r="AE97" s="23" cm="1">
        <f t="array" ref="AE97">_xlfn.IFS($AA97="","",AND($AJ97&lt;=12,$AJ97&gt;10),TIME(0,35,0),AND($AJ97&lt;=10,$AJ97&gt;5),TIME(0,20,0),$AJ97&gt;12,TIME(0,20,0),AND(AJ97&gt;3,$AJ97&lt;=5),TIME(0,10,0),$AJ97&lt;3,"")</f>
        <v>2.4305555555555556E-2</v>
      </c>
      <c r="AF97" s="23">
        <f t="shared" si="28"/>
        <v>6.9444444444444441E-3</v>
      </c>
      <c r="AG97" s="23"/>
      <c r="AH97" s="30"/>
      <c r="AI97" s="30"/>
      <c r="AJ97" s="24">
        <f t="shared" si="29"/>
        <v>12</v>
      </c>
      <c r="AK97" s="23">
        <f t="shared" si="30"/>
        <v>7.2916666666666671E-2</v>
      </c>
      <c r="AL97" s="25">
        <f t="shared" si="31"/>
        <v>384</v>
      </c>
      <c r="AM97" s="25">
        <f t="shared" si="32"/>
        <v>328</v>
      </c>
      <c r="AN97" s="16">
        <f t="shared" si="33"/>
        <v>1.0940170940170941</v>
      </c>
      <c r="AO97" s="38"/>
      <c r="AP97" s="19"/>
      <c r="AQ97" s="34"/>
      <c r="AR97" s="30"/>
    </row>
    <row r="98" spans="2:44" ht="15" customHeight="1" x14ac:dyDescent="0.3">
      <c r="B98" s="97">
        <v>46035</v>
      </c>
      <c r="C98" s="21">
        <f t="shared" si="1"/>
        <v>1</v>
      </c>
      <c r="D98" s="18" t="s">
        <v>97</v>
      </c>
      <c r="E98" s="14">
        <v>136</v>
      </c>
      <c r="F98" s="14"/>
      <c r="G98" s="14"/>
      <c r="H98" s="14"/>
      <c r="I98" s="14">
        <v>30</v>
      </c>
      <c r="J98" s="14"/>
      <c r="K98" s="14"/>
      <c r="L98" s="14"/>
      <c r="M98" s="14"/>
      <c r="N98" s="14"/>
      <c r="O98" s="14"/>
      <c r="P98" s="14"/>
      <c r="Q98" s="14">
        <v>217</v>
      </c>
      <c r="R98" s="14"/>
      <c r="S98" s="14"/>
      <c r="T98" s="14"/>
      <c r="U98" s="14"/>
      <c r="V98" s="14">
        <v>71</v>
      </c>
      <c r="W98" s="14"/>
      <c r="X98" s="22">
        <f t="shared" si="26"/>
        <v>454</v>
      </c>
      <c r="Y98" s="14"/>
      <c r="Z98" s="31">
        <f>4+2</f>
        <v>6</v>
      </c>
      <c r="AA98" s="23">
        <v>0.29166666666666669</v>
      </c>
      <c r="AB98" s="23">
        <v>0.79166666666666663</v>
      </c>
      <c r="AC98" s="23" cm="1">
        <f t="array" ref="AC98">_xlfn.IFS($AJ98="","",$AJ98&gt;=8,TIME(1,0,0),$AJ98&lt;=5,"")</f>
        <v>4.1666666666666664E-2</v>
      </c>
      <c r="AD98" s="23" t="str">
        <f t="shared" si="27"/>
        <v/>
      </c>
      <c r="AE98" s="23" cm="1">
        <f t="array" ref="AE98">_xlfn.IFS($AA98="","",AND($AJ98&lt;=12,$AJ98&gt;10),TIME(0,35,0),AND($AJ98&lt;=10,$AJ98&gt;5),TIME(0,20,0),$AJ98&gt;12,TIME(0,20,0),AND(AJ98&gt;3,$AJ98&lt;=5),TIME(0,10,0),$AJ98&lt;3,"")</f>
        <v>2.4305555555555556E-2</v>
      </c>
      <c r="AF98" s="23">
        <f t="shared" si="28"/>
        <v>6.9444444444444441E-3</v>
      </c>
      <c r="AG98" s="23">
        <v>6.9444444444444448E-2</v>
      </c>
      <c r="AH98" s="30"/>
      <c r="AI98" s="23">
        <v>0.41666666666666669</v>
      </c>
      <c r="AJ98" s="24">
        <f t="shared" si="29"/>
        <v>11.999999999999998</v>
      </c>
      <c r="AK98" s="23">
        <f t="shared" si="30"/>
        <v>7.2916666666666671E-2</v>
      </c>
      <c r="AL98" s="25">
        <f t="shared" si="31"/>
        <v>71.999999999999986</v>
      </c>
      <c r="AM98" s="25">
        <f t="shared" si="32"/>
        <v>51.499999999999993</v>
      </c>
      <c r="AN98" s="16">
        <f t="shared" si="33"/>
        <v>0.15859030837004401</v>
      </c>
      <c r="AO98" s="38"/>
      <c r="AP98" s="19"/>
      <c r="AQ98" s="34"/>
      <c r="AR98" s="30" t="s">
        <v>231</v>
      </c>
    </row>
    <row r="99" spans="2:44" ht="15" customHeight="1" x14ac:dyDescent="0.3">
      <c r="B99" s="97">
        <v>46035</v>
      </c>
      <c r="C99" s="21">
        <f t="shared" si="1"/>
        <v>1</v>
      </c>
      <c r="D99" s="18" t="s">
        <v>97</v>
      </c>
      <c r="E99" s="14">
        <v>118</v>
      </c>
      <c r="F99" s="14"/>
      <c r="G99" s="14"/>
      <c r="H99" s="14"/>
      <c r="I99" s="14">
        <v>73</v>
      </c>
      <c r="J99" s="14"/>
      <c r="K99" s="14"/>
      <c r="L99" s="14"/>
      <c r="M99" s="14"/>
      <c r="N99" s="14"/>
      <c r="O99" s="14"/>
      <c r="P99" s="14"/>
      <c r="Q99" s="14">
        <v>293</v>
      </c>
      <c r="R99" s="14"/>
      <c r="S99" s="14"/>
      <c r="T99" s="14"/>
      <c r="U99" s="14"/>
      <c r="V99" s="14">
        <v>78</v>
      </c>
      <c r="W99" s="14"/>
      <c r="X99" s="22">
        <f t="shared" si="26"/>
        <v>562</v>
      </c>
      <c r="Y99" s="14"/>
      <c r="Z99" s="31">
        <f>4+2</f>
        <v>6</v>
      </c>
      <c r="AA99" s="23">
        <v>0.79166666666666663</v>
      </c>
      <c r="AB99" s="23">
        <v>0.29166666666666669</v>
      </c>
      <c r="AC99" s="23" cm="1">
        <f t="array" ref="AC99">_xlfn.IFS($AJ99="","",$AJ99&gt;=8,TIME(1,0,0),$AJ99&lt;=5,"")</f>
        <v>4.1666666666666664E-2</v>
      </c>
      <c r="AD99" s="23" t="str">
        <f t="shared" si="27"/>
        <v/>
      </c>
      <c r="AE99" s="23" cm="1">
        <f t="array" ref="AE99">_xlfn.IFS($AA99="","",AND($AJ99&lt;=12,$AJ99&gt;10),TIME(0,35,0),AND($AJ99&lt;=10,$AJ99&gt;5),TIME(0,20,0),$AJ99&gt;12,TIME(0,20,0),AND(AJ99&gt;3,$AJ99&lt;=5),TIME(0,10,0),$AJ99&lt;3,"")</f>
        <v>2.4305555555555556E-2</v>
      </c>
      <c r="AF99" s="23">
        <f t="shared" si="28"/>
        <v>6.9444444444444441E-3</v>
      </c>
      <c r="AG99" s="23">
        <v>4.1666666666666664E-2</v>
      </c>
      <c r="AH99" s="30"/>
      <c r="AI99" s="30"/>
      <c r="AJ99" s="24">
        <f t="shared" si="29"/>
        <v>12</v>
      </c>
      <c r="AK99" s="23">
        <f t="shared" si="30"/>
        <v>7.2916666666666671E-2</v>
      </c>
      <c r="AL99" s="25">
        <f t="shared" si="31"/>
        <v>72</v>
      </c>
      <c r="AM99" s="25">
        <f t="shared" si="32"/>
        <v>55.5</v>
      </c>
      <c r="AN99" s="16">
        <f t="shared" si="33"/>
        <v>0.12811387900355872</v>
      </c>
      <c r="AO99" s="38"/>
      <c r="AP99" s="19"/>
      <c r="AQ99" s="34"/>
      <c r="AR99" s="30" t="s">
        <v>232</v>
      </c>
    </row>
    <row r="100" spans="2:44" ht="15" customHeight="1" x14ac:dyDescent="0.3">
      <c r="B100" s="97">
        <v>46035</v>
      </c>
      <c r="C100" s="21">
        <f t="shared" si="1"/>
        <v>1</v>
      </c>
      <c r="D100" s="18" t="s">
        <v>98</v>
      </c>
      <c r="E100" s="14">
        <v>94</v>
      </c>
      <c r="F100" s="14">
        <v>18</v>
      </c>
      <c r="G100" s="14"/>
      <c r="H100" s="14"/>
      <c r="I100" s="14">
        <v>29</v>
      </c>
      <c r="J100" s="14"/>
      <c r="K100" s="14"/>
      <c r="L100" s="14"/>
      <c r="M100" s="14"/>
      <c r="N100" s="14"/>
      <c r="O100" s="14"/>
      <c r="P100" s="14"/>
      <c r="Q100" s="14">
        <v>294</v>
      </c>
      <c r="R100" s="14"/>
      <c r="S100" s="14"/>
      <c r="T100" s="14"/>
      <c r="U100" s="14"/>
      <c r="V100" s="14">
        <v>86</v>
      </c>
      <c r="W100" s="14"/>
      <c r="X100" s="22">
        <f t="shared" si="26"/>
        <v>521</v>
      </c>
      <c r="Y100" s="14"/>
      <c r="Z100" s="31">
        <f>18+5+12</f>
        <v>35</v>
      </c>
      <c r="AA100" s="23">
        <v>0.29166666666666669</v>
      </c>
      <c r="AB100" s="23">
        <v>0.79166666666666663</v>
      </c>
      <c r="AC100" s="23" cm="1">
        <f t="array" ref="AC100">_xlfn.IFS($AJ100="","",$AJ100&gt;=8,TIME(1,0,0),$AJ100&lt;=5,"")</f>
        <v>4.1666666666666664E-2</v>
      </c>
      <c r="AD100" s="23" t="str">
        <f t="shared" si="27"/>
        <v/>
      </c>
      <c r="AE100" s="23" cm="1">
        <f t="array" ref="AE100">_xlfn.IFS($AA100="","",AND($AJ100&lt;=12,$AJ100&gt;10),TIME(0,35,0),AND($AJ100&lt;=10,$AJ100&gt;5),TIME(0,20,0),$AJ100&gt;12,TIME(0,20,0),AND(AJ100&gt;3,$AJ100&lt;=5),TIME(0,10,0),$AJ100&lt;3,"")</f>
        <v>2.4305555555555556E-2</v>
      </c>
      <c r="AF100" s="23">
        <f t="shared" si="28"/>
        <v>6.9444444444444441E-3</v>
      </c>
      <c r="AG100" s="23">
        <v>4.8611111111111112E-2</v>
      </c>
      <c r="AH100" s="30"/>
      <c r="AI100" s="30"/>
      <c r="AJ100" s="24">
        <f t="shared" si="29"/>
        <v>11.999999999999998</v>
      </c>
      <c r="AK100" s="23">
        <f t="shared" si="30"/>
        <v>7.2916666666666671E-2</v>
      </c>
      <c r="AL100" s="25">
        <f t="shared" si="31"/>
        <v>419.99999999999994</v>
      </c>
      <c r="AM100" s="25">
        <f t="shared" si="32"/>
        <v>317.91666666666663</v>
      </c>
      <c r="AN100" s="16">
        <f t="shared" si="33"/>
        <v>0.80614203454894418</v>
      </c>
      <c r="AO100" s="38"/>
      <c r="AP100" s="19"/>
      <c r="AQ100" s="34"/>
      <c r="AR100" s="30" t="s">
        <v>233</v>
      </c>
    </row>
    <row r="101" spans="2:44" ht="15" customHeight="1" x14ac:dyDescent="0.3">
      <c r="B101" s="97">
        <v>46035</v>
      </c>
      <c r="C101" s="21">
        <f t="shared" si="1"/>
        <v>1</v>
      </c>
      <c r="D101" s="18" t="s">
        <v>98</v>
      </c>
      <c r="E101" s="14">
        <v>105</v>
      </c>
      <c r="F101" s="14"/>
      <c r="G101" s="14"/>
      <c r="H101" s="14"/>
      <c r="I101" s="14">
        <v>59</v>
      </c>
      <c r="J101" s="14"/>
      <c r="K101" s="14"/>
      <c r="L101" s="14"/>
      <c r="M101" s="14"/>
      <c r="N101" s="14"/>
      <c r="O101" s="14"/>
      <c r="P101" s="14"/>
      <c r="Q101" s="14">
        <v>314</v>
      </c>
      <c r="R101" s="14"/>
      <c r="S101" s="14"/>
      <c r="T101" s="14"/>
      <c r="U101" s="14"/>
      <c r="V101" s="14">
        <v>26</v>
      </c>
      <c r="W101" s="14"/>
      <c r="X101" s="22">
        <f t="shared" si="26"/>
        <v>504</v>
      </c>
      <c r="Y101" s="14"/>
      <c r="Z101" s="31">
        <f>17+2+18</f>
        <v>37</v>
      </c>
      <c r="AA101" s="23">
        <v>0.79166666666666663</v>
      </c>
      <c r="AB101" s="23">
        <v>0.29166666666666669</v>
      </c>
      <c r="AC101" s="23" cm="1">
        <f t="array" ref="AC101">_xlfn.IFS($AJ101="","",$AJ101&gt;=8,TIME(1,0,0),$AJ101&lt;=5,"")</f>
        <v>4.1666666666666664E-2</v>
      </c>
      <c r="AD101" s="23" t="str">
        <f t="shared" si="27"/>
        <v/>
      </c>
      <c r="AE101" s="23" cm="1">
        <f t="array" ref="AE101">_xlfn.IFS($AA101="","",AND($AJ101&lt;=12,$AJ101&gt;10),TIME(0,35,0),AND($AJ101&lt;=10,$AJ101&gt;5),TIME(0,20,0),$AJ101&gt;12,TIME(0,20,0),AND(AJ101&gt;3,$AJ101&lt;=5),TIME(0,10,0),$AJ101&lt;3,"")</f>
        <v>2.4305555555555556E-2</v>
      </c>
      <c r="AF101" s="23">
        <f t="shared" si="28"/>
        <v>6.9444444444444441E-3</v>
      </c>
      <c r="AG101" s="23">
        <v>4.8611111111111112E-2</v>
      </c>
      <c r="AH101" s="30"/>
      <c r="AI101" s="30"/>
      <c r="AJ101" s="24">
        <f t="shared" si="29"/>
        <v>12</v>
      </c>
      <c r="AK101" s="23">
        <f t="shared" si="30"/>
        <v>7.2916666666666671E-2</v>
      </c>
      <c r="AL101" s="25">
        <f t="shared" si="31"/>
        <v>444</v>
      </c>
      <c r="AM101" s="25">
        <f t="shared" si="32"/>
        <v>336.08333333333331</v>
      </c>
      <c r="AN101" s="16">
        <f t="shared" si="33"/>
        <v>0.88095238095238093</v>
      </c>
      <c r="AO101" s="38"/>
      <c r="AP101" s="19"/>
      <c r="AQ101" s="34"/>
      <c r="AR101" s="30" t="s">
        <v>234</v>
      </c>
    </row>
    <row r="102" spans="2:44" ht="15" customHeight="1" x14ac:dyDescent="0.3">
      <c r="B102" s="97">
        <v>46035</v>
      </c>
      <c r="C102" s="21">
        <f t="shared" si="1"/>
        <v>1</v>
      </c>
      <c r="D102" s="18" t="s">
        <v>99</v>
      </c>
      <c r="E102" s="14">
        <v>111</v>
      </c>
      <c r="F102" s="14">
        <v>44</v>
      </c>
      <c r="G102" s="14">
        <v>1</v>
      </c>
      <c r="H102" s="14"/>
      <c r="I102" s="14">
        <v>72</v>
      </c>
      <c r="J102" s="14">
        <v>3</v>
      </c>
      <c r="K102" s="14">
        <v>1</v>
      </c>
      <c r="L102" s="14"/>
      <c r="M102" s="14">
        <v>1</v>
      </c>
      <c r="N102" s="14"/>
      <c r="O102" s="14"/>
      <c r="P102" s="14"/>
      <c r="Q102" s="14">
        <f>242+79</f>
        <v>321</v>
      </c>
      <c r="R102" s="14"/>
      <c r="S102" s="14"/>
      <c r="T102" s="14"/>
      <c r="U102" s="14"/>
      <c r="V102" s="14">
        <v>67</v>
      </c>
      <c r="W102" s="14">
        <v>1</v>
      </c>
      <c r="X102" s="22">
        <f t="shared" si="26"/>
        <v>622</v>
      </c>
      <c r="Y102" s="14"/>
      <c r="Z102" s="31">
        <f>17+5+16</f>
        <v>38</v>
      </c>
      <c r="AA102" s="23">
        <v>0.29166666666666669</v>
      </c>
      <c r="AB102" s="23">
        <v>0.79166666666666663</v>
      </c>
      <c r="AC102" s="23" cm="1">
        <f t="array" ref="AC102">_xlfn.IFS($AJ102="","",$AJ102&gt;=8,TIME(1,0,0),$AJ102&lt;=5,"")</f>
        <v>4.1666666666666664E-2</v>
      </c>
      <c r="AD102" s="23" t="str">
        <f t="shared" si="27"/>
        <v/>
      </c>
      <c r="AE102" s="23" cm="1">
        <f t="array" ref="AE102">_xlfn.IFS($AA102="","",AND($AJ102&lt;=12,$AJ102&gt;10),TIME(0,35,0),AND($AJ102&lt;=10,$AJ102&gt;5),TIME(0,20,0),$AJ102&gt;12,TIME(0,20,0),AND(AJ102&gt;3,$AJ102&lt;=5),TIME(0,10,0),$AJ102&lt;3,"")</f>
        <v>2.4305555555555556E-2</v>
      </c>
      <c r="AF102" s="23">
        <f t="shared" si="28"/>
        <v>6.9444444444444441E-3</v>
      </c>
      <c r="AG102" s="23"/>
      <c r="AH102" s="30"/>
      <c r="AI102" s="30"/>
      <c r="AJ102" s="24">
        <f t="shared" si="29"/>
        <v>11.999999999999998</v>
      </c>
      <c r="AK102" s="23">
        <f t="shared" si="30"/>
        <v>7.2916666666666671E-2</v>
      </c>
      <c r="AL102" s="25">
        <f t="shared" si="31"/>
        <v>455.99999999999994</v>
      </c>
      <c r="AM102" s="25">
        <f t="shared" si="32"/>
        <v>389.49999999999994</v>
      </c>
      <c r="AN102" s="16">
        <f t="shared" si="33"/>
        <v>0.73311897106109314</v>
      </c>
      <c r="AO102" s="38"/>
      <c r="AP102" s="19"/>
      <c r="AQ102" s="34"/>
      <c r="AR102" s="30"/>
    </row>
    <row r="103" spans="2:44" ht="15" customHeight="1" x14ac:dyDescent="0.3">
      <c r="B103" s="97">
        <v>46035</v>
      </c>
      <c r="C103" s="21">
        <f t="shared" si="1"/>
        <v>1</v>
      </c>
      <c r="D103" s="18" t="s">
        <v>99</v>
      </c>
      <c r="E103" s="14">
        <v>139</v>
      </c>
      <c r="F103" s="14">
        <v>5</v>
      </c>
      <c r="G103" s="14"/>
      <c r="H103" s="14"/>
      <c r="I103" s="14">
        <v>36</v>
      </c>
      <c r="J103" s="14"/>
      <c r="K103" s="14"/>
      <c r="L103" s="14"/>
      <c r="M103" s="14"/>
      <c r="N103" s="14"/>
      <c r="O103" s="14"/>
      <c r="P103" s="14"/>
      <c r="Q103" s="14">
        <f>173+5+42+1</f>
        <v>221</v>
      </c>
      <c r="R103" s="14"/>
      <c r="S103" s="14"/>
      <c r="T103" s="14"/>
      <c r="U103" s="14"/>
      <c r="V103" s="14">
        <v>69</v>
      </c>
      <c r="W103" s="14"/>
      <c r="X103" s="22">
        <f t="shared" si="26"/>
        <v>470</v>
      </c>
      <c r="Y103" s="14"/>
      <c r="Z103" s="31">
        <f>19+8+10</f>
        <v>37</v>
      </c>
      <c r="AA103" s="23">
        <v>0.79166666666666663</v>
      </c>
      <c r="AB103" s="23">
        <v>0.29166666666666669</v>
      </c>
      <c r="AC103" s="23" cm="1">
        <f t="array" ref="AC103">_xlfn.IFS($AJ103="","",$AJ103&gt;=8,TIME(1,0,0),$AJ103&lt;=5,"")</f>
        <v>4.1666666666666664E-2</v>
      </c>
      <c r="AD103" s="23" t="str">
        <f t="shared" si="27"/>
        <v/>
      </c>
      <c r="AE103" s="23" cm="1">
        <f t="array" ref="AE103">_xlfn.IFS($AA103="","",AND($AJ103&lt;=12,$AJ103&gt;10),TIME(0,35,0),AND($AJ103&lt;=10,$AJ103&gt;5),TIME(0,20,0),$AJ103&gt;12,TIME(0,20,0),AND(AJ103&gt;3,$AJ103&lt;=5),TIME(0,10,0),$AJ103&lt;3,"")</f>
        <v>2.4305555555555556E-2</v>
      </c>
      <c r="AF103" s="23">
        <f t="shared" si="28"/>
        <v>6.9444444444444441E-3</v>
      </c>
      <c r="AG103" s="23">
        <v>2.7777777777777776E-2</v>
      </c>
      <c r="AH103" s="30"/>
      <c r="AI103" s="23">
        <v>8.3333333333333329E-2</v>
      </c>
      <c r="AJ103" s="24">
        <f t="shared" si="29"/>
        <v>12</v>
      </c>
      <c r="AK103" s="23">
        <f t="shared" si="30"/>
        <v>7.2916666666666671E-2</v>
      </c>
      <c r="AL103" s="25">
        <f t="shared" si="31"/>
        <v>444</v>
      </c>
      <c r="AM103" s="25">
        <f t="shared" si="32"/>
        <v>354.58333333333331</v>
      </c>
      <c r="AN103" s="16">
        <f t="shared" si="33"/>
        <v>0.94468085106382982</v>
      </c>
      <c r="AO103" s="16">
        <f>IF(COUNTIF(B96:B103,B96)=8,1/SUM(AN96:AN103),"")</f>
        <v>0.17966647379792094</v>
      </c>
      <c r="AP103" s="19"/>
      <c r="AQ103" s="34"/>
      <c r="AR103" s="30" t="s">
        <v>235</v>
      </c>
    </row>
    <row r="104" spans="2:44" ht="15" customHeight="1" x14ac:dyDescent="0.3">
      <c r="B104" s="98">
        <v>46036</v>
      </c>
      <c r="C104" s="21">
        <f t="shared" si="1"/>
        <v>1</v>
      </c>
      <c r="D104" s="36" t="s">
        <v>96</v>
      </c>
      <c r="E104" s="14">
        <v>235</v>
      </c>
      <c r="F104" s="14"/>
      <c r="G104" s="14"/>
      <c r="H104" s="14"/>
      <c r="I104" s="14">
        <v>150</v>
      </c>
      <c r="J104" s="14"/>
      <c r="K104" s="14"/>
      <c r="L104" s="14"/>
      <c r="M104" s="14"/>
      <c r="N104" s="14"/>
      <c r="O104" s="14"/>
      <c r="P104" s="14"/>
      <c r="Q104" s="14">
        <v>274</v>
      </c>
      <c r="R104" s="14"/>
      <c r="S104" s="14"/>
      <c r="T104" s="14"/>
      <c r="U104" s="14">
        <v>17</v>
      </c>
      <c r="V104" s="14">
        <f>72+20</f>
        <v>92</v>
      </c>
      <c r="W104" s="14"/>
      <c r="X104" s="22">
        <f t="shared" si="26"/>
        <v>768</v>
      </c>
      <c r="Y104" s="14"/>
      <c r="Z104" s="31">
        <f>17+1+10+16+2+12</f>
        <v>58</v>
      </c>
      <c r="AA104" s="23">
        <v>0.29166666666666669</v>
      </c>
      <c r="AB104" s="23">
        <v>0.79166666666666663</v>
      </c>
      <c r="AC104" s="23" cm="1">
        <f t="array" ref="AC104">_xlfn.IFS($AJ104="","",$AJ104&gt;=8,TIME(1,0,0),$AJ104&lt;=5,"")</f>
        <v>4.1666666666666664E-2</v>
      </c>
      <c r="AD104" s="23" t="str">
        <f t="shared" si="27"/>
        <v/>
      </c>
      <c r="AE104" s="23" cm="1">
        <f t="array" ref="AE104">_xlfn.IFS($AA104="","",AND($AJ104&lt;=12,$AJ104&gt;10),TIME(0,35,0),AND($AJ104&lt;=10,$AJ104&gt;5),TIME(0,20,0),$AJ104&gt;12,TIME(0,20,0),AND(AJ104&gt;3,$AJ104&lt;=5),TIME(0,10,0),$AJ104&lt;3,"")</f>
        <v>2.4305555555555556E-2</v>
      </c>
      <c r="AF104" s="23">
        <f t="shared" si="28"/>
        <v>6.9444444444444441E-3</v>
      </c>
      <c r="AG104" s="23"/>
      <c r="AH104" s="30"/>
      <c r="AI104" s="23">
        <v>0.20833333333333334</v>
      </c>
      <c r="AJ104" s="24">
        <f t="shared" si="29"/>
        <v>11.999999999999998</v>
      </c>
      <c r="AK104" s="23">
        <f t="shared" si="30"/>
        <v>7.2916666666666671E-2</v>
      </c>
      <c r="AL104" s="25">
        <f t="shared" si="31"/>
        <v>695.99999999999989</v>
      </c>
      <c r="AM104" s="25">
        <f t="shared" si="32"/>
        <v>594.49999999999989</v>
      </c>
      <c r="AN104" s="16">
        <f t="shared" si="33"/>
        <v>0.90624999999999989</v>
      </c>
      <c r="AO104" s="38"/>
      <c r="AP104" s="19"/>
      <c r="AQ104" s="34"/>
      <c r="AR104" s="30" t="s">
        <v>236</v>
      </c>
    </row>
    <row r="105" spans="2:44" ht="15" customHeight="1" x14ac:dyDescent="0.3">
      <c r="B105" s="98">
        <v>46036</v>
      </c>
      <c r="C105" s="21">
        <f t="shared" si="1"/>
        <v>1</v>
      </c>
      <c r="D105" s="36" t="s">
        <v>96</v>
      </c>
      <c r="E105" s="14"/>
      <c r="F105" s="14"/>
      <c r="G105" s="14"/>
      <c r="H105" s="14"/>
      <c r="I105" s="14"/>
      <c r="J105" s="14"/>
      <c r="K105" s="14"/>
      <c r="L105" s="14"/>
      <c r="M105" s="14"/>
      <c r="N105" s="14"/>
      <c r="O105" s="14"/>
      <c r="P105" s="14"/>
      <c r="Q105" s="14">
        <f>76+181</f>
        <v>257</v>
      </c>
      <c r="R105" s="14"/>
      <c r="S105" s="14"/>
      <c r="T105" s="14"/>
      <c r="U105" s="14"/>
      <c r="V105" s="14"/>
      <c r="W105" s="14"/>
      <c r="X105" s="22">
        <f t="shared" si="26"/>
        <v>257</v>
      </c>
      <c r="Y105" s="14"/>
      <c r="Z105" s="31">
        <f>24+7</f>
        <v>31</v>
      </c>
      <c r="AA105" s="23">
        <v>0.79166666666666663</v>
      </c>
      <c r="AB105" s="23">
        <v>0.29166666666666669</v>
      </c>
      <c r="AC105" s="23" cm="1">
        <f t="array" ref="AC105">_xlfn.IFS($AJ105="","",$AJ105&gt;=8,TIME(1,0,0),$AJ105&lt;=5,"")</f>
        <v>4.1666666666666664E-2</v>
      </c>
      <c r="AD105" s="23" t="str">
        <f t="shared" si="27"/>
        <v/>
      </c>
      <c r="AE105" s="23" cm="1">
        <f t="array" ref="AE105">_xlfn.IFS($AA105="","",AND($AJ105&lt;=12,$AJ105&gt;10),TIME(0,35,0),AND($AJ105&lt;=10,$AJ105&gt;5),TIME(0,20,0),$AJ105&gt;12,TIME(0,20,0),AND(AJ105&gt;3,$AJ105&lt;=5),TIME(0,10,0),$AJ105&lt;3,"")</f>
        <v>2.4305555555555556E-2</v>
      </c>
      <c r="AF105" s="23">
        <f t="shared" si="28"/>
        <v>6.9444444444444441E-3</v>
      </c>
      <c r="AG105" s="23">
        <v>2.0833333333333332E-2</v>
      </c>
      <c r="AH105" s="30"/>
      <c r="AI105" s="30"/>
      <c r="AJ105" s="24">
        <f t="shared" si="29"/>
        <v>12</v>
      </c>
      <c r="AK105" s="23">
        <f t="shared" si="30"/>
        <v>7.2916666666666671E-2</v>
      </c>
      <c r="AL105" s="25">
        <f t="shared" si="31"/>
        <v>372</v>
      </c>
      <c r="AM105" s="25">
        <f t="shared" si="32"/>
        <v>302.25</v>
      </c>
      <c r="AN105" s="16">
        <f t="shared" si="33"/>
        <v>1.4474708171206225</v>
      </c>
      <c r="AO105" s="38"/>
      <c r="AP105" s="19"/>
      <c r="AQ105" s="34"/>
      <c r="AR105" s="30" t="s">
        <v>237</v>
      </c>
    </row>
    <row r="106" spans="2:44" ht="15" customHeight="1" x14ac:dyDescent="0.3">
      <c r="B106" s="98">
        <v>46036</v>
      </c>
      <c r="C106" s="21">
        <f t="shared" si="1"/>
        <v>1</v>
      </c>
      <c r="D106" s="18" t="s">
        <v>97</v>
      </c>
      <c r="E106" s="14">
        <v>220</v>
      </c>
      <c r="G106" s="14"/>
      <c r="H106" s="14"/>
      <c r="I106" s="14">
        <v>74</v>
      </c>
      <c r="J106" s="14"/>
      <c r="K106" s="14"/>
      <c r="L106" s="14"/>
      <c r="M106" s="14"/>
      <c r="N106" s="14"/>
      <c r="O106" s="14"/>
      <c r="P106" s="14"/>
      <c r="Q106" s="14">
        <v>298</v>
      </c>
      <c r="R106" s="14"/>
      <c r="S106" s="14"/>
      <c r="T106" s="14"/>
      <c r="U106" s="14"/>
      <c r="V106" s="14">
        <v>77</v>
      </c>
      <c r="W106" s="14"/>
      <c r="X106" s="22">
        <f t="shared" si="26"/>
        <v>669</v>
      </c>
      <c r="Y106" s="14"/>
      <c r="Z106" s="31">
        <f>4+2</f>
        <v>6</v>
      </c>
      <c r="AA106" s="23">
        <v>0.29166666666666669</v>
      </c>
      <c r="AB106" s="23">
        <v>0.79166666666666663</v>
      </c>
      <c r="AC106" s="23" cm="1">
        <f t="array" ref="AC106">_xlfn.IFS($AJ106="","",$AJ106&gt;=8,TIME(1,0,0),$AJ106&lt;=5,"")</f>
        <v>4.1666666666666664E-2</v>
      </c>
      <c r="AD106" s="23" t="str">
        <f t="shared" si="27"/>
        <v/>
      </c>
      <c r="AE106" s="23" cm="1">
        <f t="array" ref="AE106">_xlfn.IFS($AA106="","",AND($AJ106&lt;=12,$AJ106&gt;10),TIME(0,35,0),AND($AJ106&lt;=10,$AJ106&gt;5),TIME(0,20,0),$AJ106&gt;12,TIME(0,20,0),AND(AJ106&gt;3,$AJ106&lt;=5),TIME(0,10,0),$AJ106&lt;3,"")</f>
        <v>2.4305555555555556E-2</v>
      </c>
      <c r="AF106" s="23">
        <f t="shared" si="28"/>
        <v>6.9444444444444441E-3</v>
      </c>
      <c r="AG106" s="23">
        <v>2.7777777777777776E-2</v>
      </c>
      <c r="AH106" s="30"/>
      <c r="AI106" s="23"/>
      <c r="AJ106" s="24">
        <f t="shared" si="29"/>
        <v>11.999999999999998</v>
      </c>
      <c r="AK106" s="23">
        <f t="shared" si="30"/>
        <v>7.2916666666666671E-2</v>
      </c>
      <c r="AL106" s="25">
        <f t="shared" si="31"/>
        <v>71.999999999999986</v>
      </c>
      <c r="AM106" s="25">
        <f t="shared" si="32"/>
        <v>57.499999999999993</v>
      </c>
      <c r="AN106" s="16">
        <f t="shared" si="33"/>
        <v>0.1076233183856502</v>
      </c>
      <c r="AO106" s="38"/>
      <c r="AP106" s="50" t="s">
        <v>216</v>
      </c>
      <c r="AQ106" s="34"/>
      <c r="AR106" s="30" t="s">
        <v>238</v>
      </c>
    </row>
    <row r="107" spans="2:44" ht="15" customHeight="1" x14ac:dyDescent="0.3">
      <c r="B107" s="98">
        <v>46036</v>
      </c>
      <c r="C107" s="21">
        <f t="shared" si="1"/>
        <v>1</v>
      </c>
      <c r="D107" s="18" t="s">
        <v>97</v>
      </c>
      <c r="E107" s="14">
        <v>103</v>
      </c>
      <c r="F107" s="14"/>
      <c r="G107" s="14"/>
      <c r="H107" s="14"/>
      <c r="I107" s="14">
        <v>71</v>
      </c>
      <c r="J107" s="14"/>
      <c r="K107" s="14"/>
      <c r="L107" s="14"/>
      <c r="M107" s="14"/>
      <c r="N107" s="14"/>
      <c r="O107" s="14"/>
      <c r="P107" s="14"/>
      <c r="Q107" s="14">
        <v>253</v>
      </c>
      <c r="R107" s="14"/>
      <c r="S107" s="14"/>
      <c r="T107" s="14"/>
      <c r="U107" s="14">
        <v>5</v>
      </c>
      <c r="V107" s="14">
        <f>27+20</f>
        <v>47</v>
      </c>
      <c r="W107" s="14"/>
      <c r="X107" s="22">
        <f t="shared" si="26"/>
        <v>479</v>
      </c>
      <c r="Y107" s="14"/>
      <c r="Z107" s="31">
        <f>4+1</f>
        <v>5</v>
      </c>
      <c r="AA107" s="23">
        <v>0.79166666666666663</v>
      </c>
      <c r="AB107" s="23">
        <v>0.29166666666666669</v>
      </c>
      <c r="AC107" s="23" cm="1">
        <f t="array" ref="AC107">_xlfn.IFS($AJ107="","",$AJ107&gt;=8,TIME(1,0,0),$AJ107&lt;=5,"")</f>
        <v>4.1666666666666664E-2</v>
      </c>
      <c r="AD107" s="23" t="str">
        <f t="shared" si="27"/>
        <v/>
      </c>
      <c r="AE107" s="23" cm="1">
        <f t="array" ref="AE107">_xlfn.IFS($AA107="","",AND($AJ107&lt;=12,$AJ107&gt;10),TIME(0,35,0),AND($AJ107&lt;=10,$AJ107&gt;5),TIME(0,20,0),$AJ107&gt;12,TIME(0,20,0),AND(AJ107&gt;3,$AJ107&lt;=5),TIME(0,10,0),$AJ107&lt;3,"")</f>
        <v>2.4305555555555556E-2</v>
      </c>
      <c r="AF107" s="23">
        <f t="shared" si="28"/>
        <v>6.9444444444444441E-3</v>
      </c>
      <c r="AG107" s="23">
        <v>6.5972222222222224E-2</v>
      </c>
      <c r="AH107" s="23">
        <v>4.1666666666666664E-2</v>
      </c>
      <c r="AI107" s="23"/>
      <c r="AJ107" s="24">
        <f t="shared" si="29"/>
        <v>12</v>
      </c>
      <c r="AK107" s="23">
        <f t="shared" si="30"/>
        <v>7.2916666666666671E-2</v>
      </c>
      <c r="AL107" s="25">
        <f t="shared" si="31"/>
        <v>60</v>
      </c>
      <c r="AM107" s="25">
        <f t="shared" si="32"/>
        <v>43.333333333333329</v>
      </c>
      <c r="AN107" s="16">
        <f t="shared" si="33"/>
        <v>0.12526096033402923</v>
      </c>
      <c r="AO107" s="38"/>
      <c r="AP107" s="50" t="s">
        <v>239</v>
      </c>
      <c r="AQ107" s="34">
        <v>1</v>
      </c>
      <c r="AR107" s="30" t="s">
        <v>240</v>
      </c>
    </row>
    <row r="108" spans="2:44" ht="15" customHeight="1" x14ac:dyDescent="0.3">
      <c r="B108" s="98">
        <v>46036</v>
      </c>
      <c r="C108" s="21">
        <f t="shared" si="1"/>
        <v>1</v>
      </c>
      <c r="D108" s="18" t="s">
        <v>98</v>
      </c>
      <c r="E108" s="14">
        <v>181</v>
      </c>
      <c r="F108" s="14"/>
      <c r="G108" s="14"/>
      <c r="H108" s="14"/>
      <c r="I108" s="14">
        <v>71</v>
      </c>
      <c r="J108" s="14"/>
      <c r="K108" s="14"/>
      <c r="L108" s="14"/>
      <c r="M108" s="14"/>
      <c r="N108" s="14"/>
      <c r="O108" s="14"/>
      <c r="P108" s="14"/>
      <c r="Q108" s="14">
        <v>249</v>
      </c>
      <c r="R108" s="14"/>
      <c r="S108" s="14"/>
      <c r="T108" s="14"/>
      <c r="U108" s="14"/>
      <c r="V108" s="14">
        <v>24</v>
      </c>
      <c r="W108" s="14"/>
      <c r="X108" s="22">
        <f t="shared" si="26"/>
        <v>525</v>
      </c>
      <c r="Y108" s="14"/>
      <c r="Z108" s="31">
        <f>18+6+11</f>
        <v>35</v>
      </c>
      <c r="AA108" s="23">
        <v>0.29166666666666669</v>
      </c>
      <c r="AB108" s="23">
        <v>0.79166666666666663</v>
      </c>
      <c r="AC108" s="23" cm="1">
        <f t="array" ref="AC108">_xlfn.IFS($AJ108="","",$AJ108&gt;=8,TIME(1,0,0),$AJ108&lt;=5,"")</f>
        <v>4.1666666666666664E-2</v>
      </c>
      <c r="AD108" s="23" t="str">
        <f t="shared" si="27"/>
        <v/>
      </c>
      <c r="AE108" s="23" cm="1">
        <f t="array" ref="AE108">_xlfn.IFS($AA108="","",AND($AJ108&lt;=12,$AJ108&gt;10),TIME(0,35,0),AND($AJ108&lt;=10,$AJ108&gt;5),TIME(0,20,0),$AJ108&gt;12,TIME(0,20,0),AND(AJ108&gt;3,$AJ108&lt;=5),TIME(0,10,0),$AJ108&lt;3,"")</f>
        <v>2.4305555555555556E-2</v>
      </c>
      <c r="AF108" s="23">
        <f t="shared" si="28"/>
        <v>6.9444444444444441E-3</v>
      </c>
      <c r="AG108" s="23">
        <v>4.5138888888888888E-2</v>
      </c>
      <c r="AH108" s="30"/>
      <c r="AI108" s="30"/>
      <c r="AJ108" s="24">
        <f t="shared" si="29"/>
        <v>11.999999999999998</v>
      </c>
      <c r="AK108" s="23">
        <f t="shared" si="30"/>
        <v>7.2916666666666671E-2</v>
      </c>
      <c r="AL108" s="25">
        <f t="shared" si="31"/>
        <v>419.99999999999994</v>
      </c>
      <c r="AM108" s="25">
        <f t="shared" si="32"/>
        <v>320.83333333333326</v>
      </c>
      <c r="AN108" s="16">
        <f t="shared" si="33"/>
        <v>0.79999999999999993</v>
      </c>
      <c r="AO108" s="38"/>
      <c r="AP108" s="19"/>
      <c r="AQ108" s="34"/>
      <c r="AR108" s="30" t="s">
        <v>241</v>
      </c>
    </row>
    <row r="109" spans="2:44" ht="15" customHeight="1" x14ac:dyDescent="0.3">
      <c r="B109" s="98">
        <v>46036</v>
      </c>
      <c r="C109" s="21">
        <f t="shared" si="1"/>
        <v>1</v>
      </c>
      <c r="D109" s="18" t="s">
        <v>98</v>
      </c>
      <c r="E109" s="14">
        <v>123</v>
      </c>
      <c r="F109" s="14"/>
      <c r="G109" s="14"/>
      <c r="H109" s="14"/>
      <c r="I109" s="14">
        <v>67</v>
      </c>
      <c r="J109" s="14"/>
      <c r="K109" s="14"/>
      <c r="L109" s="14"/>
      <c r="M109" s="14"/>
      <c r="N109" s="14"/>
      <c r="O109" s="14"/>
      <c r="P109" s="14"/>
      <c r="Q109" s="14">
        <v>293</v>
      </c>
      <c r="R109" s="14"/>
      <c r="S109" s="14"/>
      <c r="T109" s="14"/>
      <c r="U109" s="14"/>
      <c r="V109" s="14">
        <v>7</v>
      </c>
      <c r="W109" s="14"/>
      <c r="X109" s="22">
        <f t="shared" ref="X109:X111" si="34">SUM(E109:W109)</f>
        <v>490</v>
      </c>
      <c r="Y109" s="14"/>
      <c r="Z109" s="31">
        <f>17+2+18</f>
        <v>37</v>
      </c>
      <c r="AA109" s="23">
        <v>0.79166666666666663</v>
      </c>
      <c r="AB109" s="23">
        <v>0.29166666666666669</v>
      </c>
      <c r="AC109" s="23" cm="1">
        <f t="array" ref="AC109">_xlfn.IFS($AJ109="","",$AJ109&gt;=8,TIME(1,0,0),$AJ109&lt;=5,"")</f>
        <v>4.1666666666666664E-2</v>
      </c>
      <c r="AD109" s="23" t="str">
        <f t="shared" si="27"/>
        <v/>
      </c>
      <c r="AE109" s="23" cm="1">
        <f t="array" ref="AE109">_xlfn.IFS($AA109="","",AND($AJ109&lt;=12,$AJ109&gt;10),TIME(0,35,0),AND($AJ109&lt;=10,$AJ109&gt;5),TIME(0,20,0),$AJ109&gt;12,TIME(0,20,0),AND(AJ109&gt;3,$AJ109&lt;=5),TIME(0,10,0),$AJ109&lt;3,"")</f>
        <v>2.4305555555555556E-2</v>
      </c>
      <c r="AF109" s="23">
        <f t="shared" si="28"/>
        <v>6.9444444444444441E-3</v>
      </c>
      <c r="AG109" s="23">
        <v>7.2916666666666671E-2</v>
      </c>
      <c r="AH109" s="30"/>
      <c r="AI109" s="30"/>
      <c r="AJ109" s="24">
        <f t="shared" si="29"/>
        <v>12</v>
      </c>
      <c r="AK109" s="23">
        <f t="shared" si="30"/>
        <v>7.2916666666666671E-2</v>
      </c>
      <c r="AL109" s="25">
        <f t="shared" si="31"/>
        <v>444</v>
      </c>
      <c r="AM109" s="25">
        <f t="shared" si="32"/>
        <v>314.5</v>
      </c>
      <c r="AN109" s="16">
        <f t="shared" si="33"/>
        <v>0.90612244897959182</v>
      </c>
      <c r="AO109" s="38"/>
      <c r="AP109" s="19"/>
      <c r="AQ109" s="34"/>
      <c r="AR109" s="30" t="s">
        <v>242</v>
      </c>
    </row>
    <row r="110" spans="2:44" ht="15" customHeight="1" x14ac:dyDescent="0.3">
      <c r="B110" s="98">
        <v>46036</v>
      </c>
      <c r="C110" s="21">
        <f t="shared" si="1"/>
        <v>1</v>
      </c>
      <c r="D110" s="18" t="s">
        <v>99</v>
      </c>
      <c r="E110" s="14">
        <v>89</v>
      </c>
      <c r="F110" s="14"/>
      <c r="G110" s="14"/>
      <c r="H110" s="14"/>
      <c r="I110" s="14">
        <v>60</v>
      </c>
      <c r="J110" s="14">
        <v>1</v>
      </c>
      <c r="K110" s="14"/>
      <c r="L110" s="14"/>
      <c r="M110" s="14"/>
      <c r="N110" s="14"/>
      <c r="O110" s="14"/>
      <c r="P110" s="14"/>
      <c r="Q110" s="14">
        <f>7+226+65</f>
        <v>298</v>
      </c>
      <c r="R110" s="14"/>
      <c r="S110" s="14"/>
      <c r="T110" s="14"/>
      <c r="U110" s="14"/>
      <c r="V110" s="14">
        <v>30</v>
      </c>
      <c r="W110" s="14"/>
      <c r="X110" s="22">
        <f t="shared" si="34"/>
        <v>478</v>
      </c>
      <c r="Y110" s="14"/>
      <c r="Z110" s="31">
        <f>17+5+16</f>
        <v>38</v>
      </c>
      <c r="AA110" s="23">
        <v>0.29166666666666669</v>
      </c>
      <c r="AB110" s="23">
        <v>0.79166666666666663</v>
      </c>
      <c r="AC110" s="23" cm="1">
        <f t="array" ref="AC110">_xlfn.IFS($AJ110="","",$AJ110&gt;=8,TIME(1,0,0),$AJ110&lt;=5,"")</f>
        <v>4.1666666666666664E-2</v>
      </c>
      <c r="AD110" s="23" t="str">
        <f t="shared" si="27"/>
        <v/>
      </c>
      <c r="AE110" s="23" cm="1">
        <f t="array" ref="AE110">_xlfn.IFS($AA110="","",AND($AJ110&lt;=12,$AJ110&gt;10),TIME(0,35,0),AND($AJ110&lt;=10,$AJ110&gt;5),TIME(0,20,0),$AJ110&gt;12,TIME(0,20,0),AND(AJ110&gt;3,$AJ110&lt;=5),TIME(0,10,0),$AJ110&lt;3,"")</f>
        <v>2.4305555555555556E-2</v>
      </c>
      <c r="AF110" s="23">
        <f t="shared" si="28"/>
        <v>6.9444444444444441E-3</v>
      </c>
      <c r="AG110" s="23"/>
      <c r="AH110" s="30"/>
      <c r="AI110" s="30"/>
      <c r="AJ110" s="24">
        <f t="shared" si="29"/>
        <v>11.999999999999998</v>
      </c>
      <c r="AK110" s="23">
        <f t="shared" si="30"/>
        <v>7.2916666666666671E-2</v>
      </c>
      <c r="AL110" s="25">
        <f t="shared" si="31"/>
        <v>455.99999999999994</v>
      </c>
      <c r="AM110" s="25">
        <f t="shared" si="32"/>
        <v>389.49999999999994</v>
      </c>
      <c r="AN110" s="16">
        <f t="shared" si="33"/>
        <v>0.95397489539748948</v>
      </c>
      <c r="AO110" s="38"/>
      <c r="AP110" s="19"/>
      <c r="AQ110" s="34"/>
      <c r="AR110" s="30"/>
    </row>
    <row r="111" spans="2:44" ht="15" customHeight="1" x14ac:dyDescent="0.3">
      <c r="B111" s="98">
        <v>46036</v>
      </c>
      <c r="C111" s="21">
        <f t="shared" si="1"/>
        <v>1</v>
      </c>
      <c r="D111" s="18" t="s">
        <v>99</v>
      </c>
      <c r="E111" s="14">
        <v>175</v>
      </c>
      <c r="F111" s="14">
        <v>1</v>
      </c>
      <c r="G111" s="14"/>
      <c r="H111" s="14"/>
      <c r="I111" s="14">
        <v>52</v>
      </c>
      <c r="J111" s="14">
        <v>1</v>
      </c>
      <c r="K111" s="14">
        <v>1</v>
      </c>
      <c r="L111" s="14"/>
      <c r="M111" s="14"/>
      <c r="N111" s="14"/>
      <c r="O111" s="14"/>
      <c r="P111" s="14"/>
      <c r="Q111" s="14">
        <f>229+25+2</f>
        <v>256</v>
      </c>
      <c r="R111" s="14"/>
      <c r="S111" s="14"/>
      <c r="T111" s="14"/>
      <c r="U111" s="14"/>
      <c r="V111" s="14">
        <v>2</v>
      </c>
      <c r="W111" s="14"/>
      <c r="X111" s="22">
        <f t="shared" si="34"/>
        <v>488</v>
      </c>
      <c r="Y111" s="14"/>
      <c r="Z111" s="31">
        <f>19+9+10</f>
        <v>38</v>
      </c>
      <c r="AA111" s="23">
        <v>0.79166666666666663</v>
      </c>
      <c r="AB111" s="23">
        <v>0.29166666666666669</v>
      </c>
      <c r="AC111" s="23" cm="1">
        <f t="array" ref="AC111">_xlfn.IFS($AJ111="","",$AJ111&gt;=8,TIME(1,0,0),$AJ111&lt;=5,"")</f>
        <v>4.1666666666666664E-2</v>
      </c>
      <c r="AD111" s="23" t="str">
        <f t="shared" si="27"/>
        <v/>
      </c>
      <c r="AE111" s="23" cm="1">
        <f t="array" ref="AE111">_xlfn.IFS($AA111="","",AND($AJ111&lt;=12,$AJ111&gt;10),TIME(0,35,0),AND($AJ111&lt;=10,$AJ111&gt;5),TIME(0,20,0),$AJ111&gt;12,TIME(0,20,0),AND(AJ111&gt;3,$AJ111&lt;=5),TIME(0,10,0),$AJ111&lt;3,"")</f>
        <v>2.4305555555555556E-2</v>
      </c>
      <c r="AF111" s="23">
        <f t="shared" si="28"/>
        <v>6.9444444444444441E-3</v>
      </c>
      <c r="AG111" s="23"/>
      <c r="AH111" s="30"/>
      <c r="AI111" s="30"/>
      <c r="AJ111" s="24">
        <f t="shared" si="29"/>
        <v>12</v>
      </c>
      <c r="AK111" s="23">
        <f t="shared" si="30"/>
        <v>7.2916666666666671E-2</v>
      </c>
      <c r="AL111" s="25">
        <f t="shared" si="31"/>
        <v>456</v>
      </c>
      <c r="AM111" s="25">
        <f t="shared" si="32"/>
        <v>389.5</v>
      </c>
      <c r="AN111" s="16">
        <f t="shared" si="33"/>
        <v>0.93442622950819676</v>
      </c>
      <c r="AO111" s="16">
        <f>IF(COUNTIF(B104:B111,B104)=8,1/SUM(AN104:AN111),"")</f>
        <v>0.16178275092344852</v>
      </c>
      <c r="AP111" s="19"/>
      <c r="AQ111" s="34"/>
      <c r="AR111" s="30"/>
    </row>
    <row r="112" spans="2:44" ht="15" customHeight="1" x14ac:dyDescent="0.3">
      <c r="B112" s="97">
        <v>46037</v>
      </c>
      <c r="C112" s="21">
        <f t="shared" si="1"/>
        <v>1</v>
      </c>
      <c r="D112" s="36" t="s">
        <v>96</v>
      </c>
      <c r="E112" s="14">
        <v>267</v>
      </c>
      <c r="F112" s="14"/>
      <c r="G112" s="14"/>
      <c r="H112" s="14"/>
      <c r="I112" s="14"/>
      <c r="J112" s="14">
        <v>100</v>
      </c>
      <c r="K112" s="14"/>
      <c r="L112" s="14"/>
      <c r="M112" s="14"/>
      <c r="N112" s="14"/>
      <c r="O112" s="14"/>
      <c r="P112" s="14"/>
      <c r="Q112" s="14">
        <v>271</v>
      </c>
      <c r="R112" s="14"/>
      <c r="S112" s="14"/>
      <c r="T112" s="14"/>
      <c r="U112" s="14">
        <v>154</v>
      </c>
      <c r="V112" s="14"/>
      <c r="W112" s="14"/>
      <c r="X112" s="22">
        <f t="shared" ref="X112:X175" si="35">SUM(E112:W112)</f>
        <v>792</v>
      </c>
      <c r="Y112" s="14"/>
      <c r="Z112" s="31">
        <f>18+10+16+2+11</f>
        <v>57</v>
      </c>
      <c r="AA112" s="23">
        <v>0.29166666666666669</v>
      </c>
      <c r="AB112" s="23">
        <v>0.79166666666666663</v>
      </c>
      <c r="AC112" s="23" cm="1">
        <f t="array" ref="AC112">_xlfn.IFS($AJ112="","",$AJ112&gt;=8,TIME(1,0,0),$AJ112&lt;=5,"")</f>
        <v>4.1666666666666664E-2</v>
      </c>
      <c r="AD112" s="23" t="str">
        <f t="shared" si="27"/>
        <v/>
      </c>
      <c r="AE112" s="23" cm="1">
        <f t="array" ref="AE112">_xlfn.IFS($AA112="","",AND($AJ112&lt;=12,$AJ112&gt;10),TIME(0,35,0),AND($AJ112&lt;=10,$AJ112&gt;5),TIME(0,20,0),$AJ112&gt;12,TIME(0,20,0),AND(AJ112&gt;3,$AJ112&lt;=5),TIME(0,10,0),$AJ112&lt;3,"")</f>
        <v>2.4305555555555556E-2</v>
      </c>
      <c r="AF112" s="23">
        <f t="shared" si="28"/>
        <v>6.9444444444444441E-3</v>
      </c>
      <c r="AG112" s="23"/>
      <c r="AH112" s="30"/>
      <c r="AI112" s="23">
        <v>0.125</v>
      </c>
      <c r="AJ112" s="24">
        <f t="shared" si="29"/>
        <v>11.999999999999998</v>
      </c>
      <c r="AK112" s="23">
        <f t="shared" si="30"/>
        <v>7.2916666666666671E-2</v>
      </c>
      <c r="AL112" s="25">
        <f t="shared" si="31"/>
        <v>683.99999999999989</v>
      </c>
      <c r="AM112" s="25">
        <f t="shared" si="32"/>
        <v>584.24999999999989</v>
      </c>
      <c r="AN112" s="16">
        <f t="shared" si="33"/>
        <v>0.86363636363636354</v>
      </c>
      <c r="AO112" s="38"/>
      <c r="AP112" s="19"/>
      <c r="AQ112" s="34"/>
      <c r="AR112" s="30" t="s">
        <v>243</v>
      </c>
    </row>
    <row r="113" spans="2:44" ht="15" customHeight="1" x14ac:dyDescent="0.3">
      <c r="B113" s="97">
        <v>46037</v>
      </c>
      <c r="C113" s="21">
        <f t="shared" si="1"/>
        <v>1</v>
      </c>
      <c r="D113" s="36" t="s">
        <v>96</v>
      </c>
      <c r="E113" s="14"/>
      <c r="F113" s="14"/>
      <c r="G113" s="14"/>
      <c r="H113" s="14"/>
      <c r="I113" s="14"/>
      <c r="J113" s="14"/>
      <c r="K113" s="14"/>
      <c r="L113" s="14"/>
      <c r="M113" s="14"/>
      <c r="N113" s="14"/>
      <c r="O113" s="14"/>
      <c r="P113" s="14"/>
      <c r="Q113" s="14">
        <v>301</v>
      </c>
      <c r="R113" s="14"/>
      <c r="S113" s="14"/>
      <c r="T113" s="14"/>
      <c r="U113" s="14"/>
      <c r="V113" s="14"/>
      <c r="W113" s="14"/>
      <c r="X113" s="22">
        <f t="shared" si="35"/>
        <v>301</v>
      </c>
      <c r="Y113" s="14"/>
      <c r="Z113" s="31">
        <f>22+9</f>
        <v>31</v>
      </c>
      <c r="AA113" s="23">
        <v>0.79166666666666663</v>
      </c>
      <c r="AB113" s="23">
        <v>0.29166666666666669</v>
      </c>
      <c r="AC113" s="23" cm="1">
        <f t="array" ref="AC113">_xlfn.IFS($AJ113="","",$AJ113&gt;=8,TIME(1,0,0),$AJ113&lt;=5,"")</f>
        <v>4.1666666666666664E-2</v>
      </c>
      <c r="AD113" s="23" t="str">
        <f t="shared" si="27"/>
        <v/>
      </c>
      <c r="AE113" s="23" cm="1">
        <f t="array" ref="AE113">_xlfn.IFS($AA113="","",AND($AJ113&lt;=12,$AJ113&gt;10),TIME(0,35,0),AND($AJ113&lt;=10,$AJ113&gt;5),TIME(0,20,0),$AJ113&gt;12,TIME(0,20,0),AND(AJ113&gt;3,$AJ113&lt;=5),TIME(0,10,0),$AJ113&lt;3,"")</f>
        <v>2.4305555555555556E-2</v>
      </c>
      <c r="AF113" s="23">
        <f t="shared" si="28"/>
        <v>6.9444444444444441E-3</v>
      </c>
      <c r="AG113" s="23"/>
      <c r="AH113" s="30"/>
      <c r="AI113" s="30"/>
      <c r="AJ113" s="24">
        <f t="shared" si="29"/>
        <v>12</v>
      </c>
      <c r="AK113" s="23">
        <f t="shared" si="30"/>
        <v>7.2916666666666671E-2</v>
      </c>
      <c r="AL113" s="25">
        <f t="shared" si="31"/>
        <v>372</v>
      </c>
      <c r="AM113" s="25">
        <f t="shared" si="32"/>
        <v>317.75</v>
      </c>
      <c r="AN113" s="16">
        <f t="shared" si="33"/>
        <v>1.2358803986710964</v>
      </c>
      <c r="AO113" s="38"/>
      <c r="AP113" s="19"/>
      <c r="AQ113" s="34"/>
      <c r="AR113" s="30"/>
    </row>
    <row r="114" spans="2:44" ht="15" customHeight="1" x14ac:dyDescent="0.3">
      <c r="B114" s="97">
        <v>46037</v>
      </c>
      <c r="C114" s="21">
        <f t="shared" si="1"/>
        <v>1</v>
      </c>
      <c r="D114" s="18" t="s">
        <v>97</v>
      </c>
      <c r="E114" s="14">
        <v>143</v>
      </c>
      <c r="F114" s="14"/>
      <c r="G114" s="14"/>
      <c r="H114" s="14"/>
      <c r="I114" s="14">
        <v>74</v>
      </c>
      <c r="J114" s="14"/>
      <c r="K114" s="14"/>
      <c r="L114" s="14"/>
      <c r="M114" s="14"/>
      <c r="N114" s="14"/>
      <c r="O114" s="14"/>
      <c r="P114" s="14"/>
      <c r="Q114" s="14">
        <v>248</v>
      </c>
      <c r="R114" s="14"/>
      <c r="S114" s="14"/>
      <c r="T114" s="14"/>
      <c r="U114" s="14">
        <v>53</v>
      </c>
      <c r="V114" s="14"/>
      <c r="W114" s="14"/>
      <c r="X114" s="22">
        <f t="shared" si="35"/>
        <v>518</v>
      </c>
      <c r="Y114" s="14"/>
      <c r="Z114" s="31">
        <f>4+2</f>
        <v>6</v>
      </c>
      <c r="AA114" s="23">
        <v>0.29166666666666669</v>
      </c>
      <c r="AB114" s="23">
        <v>0.79166666666666663</v>
      </c>
      <c r="AC114" s="23" cm="1">
        <f t="array" ref="AC114">_xlfn.IFS($AJ114="","",$AJ114&gt;=8,TIME(1,0,0),$AJ114&lt;=5,"")</f>
        <v>4.1666666666666664E-2</v>
      </c>
      <c r="AD114" s="23" t="str">
        <f t="shared" si="27"/>
        <v/>
      </c>
      <c r="AE114" s="23" cm="1">
        <f t="array" ref="AE114">_xlfn.IFS($AA114="","",AND($AJ114&lt;=12,$AJ114&gt;10),TIME(0,35,0),AND($AJ114&lt;=10,$AJ114&gt;5),TIME(0,20,0),$AJ114&gt;12,TIME(0,20,0),AND(AJ114&gt;3,$AJ114&lt;=5),TIME(0,10,0),$AJ114&lt;3,"")</f>
        <v>2.4305555555555556E-2</v>
      </c>
      <c r="AF114" s="23">
        <f t="shared" si="28"/>
        <v>6.9444444444444441E-3</v>
      </c>
      <c r="AG114" s="23">
        <v>6.25E-2</v>
      </c>
      <c r="AH114" s="30"/>
      <c r="AI114" s="23">
        <v>0.41666666666666669</v>
      </c>
      <c r="AJ114" s="24">
        <f t="shared" si="29"/>
        <v>11.999999999999998</v>
      </c>
      <c r="AK114" s="23">
        <f t="shared" si="30"/>
        <v>7.2916666666666671E-2</v>
      </c>
      <c r="AL114" s="25">
        <f t="shared" si="31"/>
        <v>71.999999999999986</v>
      </c>
      <c r="AM114" s="25">
        <f t="shared" si="32"/>
        <v>52.499999999999986</v>
      </c>
      <c r="AN114" s="16">
        <f t="shared" si="33"/>
        <v>0.13899613899613897</v>
      </c>
      <c r="AO114" s="38"/>
      <c r="AP114" s="19"/>
      <c r="AQ114" s="34"/>
      <c r="AR114" s="30" t="s">
        <v>244</v>
      </c>
    </row>
    <row r="115" spans="2:44" ht="15" customHeight="1" x14ac:dyDescent="0.3">
      <c r="B115" s="97">
        <v>46037</v>
      </c>
      <c r="C115" s="21">
        <f t="shared" si="1"/>
        <v>1</v>
      </c>
      <c r="D115" s="18" t="s">
        <v>97</v>
      </c>
      <c r="E115" s="14">
        <v>97</v>
      </c>
      <c r="F115" s="14"/>
      <c r="G115" s="14"/>
      <c r="H115" s="14"/>
      <c r="I115" s="14"/>
      <c r="J115" s="14">
        <v>79</v>
      </c>
      <c r="K115" s="14"/>
      <c r="L115" s="14"/>
      <c r="M115" s="14"/>
      <c r="N115" s="14"/>
      <c r="O115" s="14"/>
      <c r="P115" s="14"/>
      <c r="Q115" s="14">
        <v>309</v>
      </c>
      <c r="R115" s="14"/>
      <c r="S115" s="14"/>
      <c r="T115" s="14"/>
      <c r="U115" s="14">
        <v>75</v>
      </c>
      <c r="V115" s="14"/>
      <c r="W115" s="14"/>
      <c r="X115" s="22">
        <f t="shared" si="35"/>
        <v>560</v>
      </c>
      <c r="Y115" s="14"/>
      <c r="Z115" s="31">
        <f>4+2</f>
        <v>6</v>
      </c>
      <c r="AA115" s="23">
        <v>0.79166666666666663</v>
      </c>
      <c r="AB115" s="23">
        <v>0.29166666666666669</v>
      </c>
      <c r="AC115" s="23" cm="1">
        <f t="array" ref="AC115">_xlfn.IFS($AJ115="","",$AJ115&gt;=8,TIME(1,0,0),$AJ115&lt;=5,"")</f>
        <v>4.1666666666666664E-2</v>
      </c>
      <c r="AD115" s="23" t="str">
        <f t="shared" si="27"/>
        <v/>
      </c>
      <c r="AE115" s="23" cm="1">
        <f t="array" ref="AE115">_xlfn.IFS($AA115="","",AND($AJ115&lt;=12,$AJ115&gt;10),TIME(0,35,0),AND($AJ115&lt;=10,$AJ115&gt;5),TIME(0,20,0),$AJ115&gt;12,TIME(0,20,0),AND(AJ115&gt;3,$AJ115&lt;=5),TIME(0,10,0),$AJ115&lt;3,"")</f>
        <v>2.4305555555555556E-2</v>
      </c>
      <c r="AF115" s="23">
        <f t="shared" si="28"/>
        <v>6.9444444444444441E-3</v>
      </c>
      <c r="AG115" s="23"/>
      <c r="AH115" s="30"/>
      <c r="AI115" s="23">
        <v>6.9444444444444448E-2</v>
      </c>
      <c r="AJ115" s="24">
        <f t="shared" si="29"/>
        <v>12</v>
      </c>
      <c r="AK115" s="23">
        <f t="shared" si="30"/>
        <v>7.2916666666666671E-2</v>
      </c>
      <c r="AL115" s="25">
        <f t="shared" si="31"/>
        <v>72</v>
      </c>
      <c r="AM115" s="25">
        <f t="shared" si="32"/>
        <v>61.5</v>
      </c>
      <c r="AN115" s="16">
        <f t="shared" si="33"/>
        <v>0.12857142857142856</v>
      </c>
      <c r="AO115" s="38"/>
      <c r="AP115" s="19"/>
      <c r="AQ115" s="34"/>
      <c r="AR115" s="30" t="s">
        <v>245</v>
      </c>
    </row>
    <row r="116" spans="2:44" ht="15" customHeight="1" x14ac:dyDescent="0.3">
      <c r="B116" s="97">
        <v>46037</v>
      </c>
      <c r="C116" s="21">
        <f t="shared" si="1"/>
        <v>1</v>
      </c>
      <c r="D116" s="18" t="s">
        <v>98</v>
      </c>
      <c r="E116" s="14">
        <v>115</v>
      </c>
      <c r="F116" s="14"/>
      <c r="G116" s="14"/>
      <c r="H116" s="14"/>
      <c r="I116" s="14">
        <v>71</v>
      </c>
      <c r="J116" s="14"/>
      <c r="K116" s="14"/>
      <c r="L116" s="14"/>
      <c r="M116" s="14"/>
      <c r="N116" s="14"/>
      <c r="O116" s="14"/>
      <c r="P116" s="14"/>
      <c r="Q116" s="14">
        <v>236</v>
      </c>
      <c r="R116" s="14"/>
      <c r="S116" s="14"/>
      <c r="T116" s="14"/>
      <c r="U116" s="14">
        <v>36</v>
      </c>
      <c r="V116" s="14">
        <v>65</v>
      </c>
      <c r="W116" s="14"/>
      <c r="X116" s="22">
        <f>SUM(E116:W116)</f>
        <v>523</v>
      </c>
      <c r="Y116" s="14"/>
      <c r="Z116" s="31">
        <f>18+7+11</f>
        <v>36</v>
      </c>
      <c r="AA116" s="23">
        <v>0.29166666666666669</v>
      </c>
      <c r="AB116" s="23">
        <v>0.79166666666666663</v>
      </c>
      <c r="AC116" s="23" cm="1">
        <f t="array" ref="AC116">_xlfn.IFS($AJ116="","",$AJ116&gt;=8,TIME(1,0,0),$AJ116&lt;=5,"")</f>
        <v>4.1666666666666664E-2</v>
      </c>
      <c r="AD116" s="23" t="str">
        <f t="shared" si="27"/>
        <v/>
      </c>
      <c r="AE116" s="23" cm="1">
        <f t="array" ref="AE116">_xlfn.IFS($AA116="","",AND($AJ116&lt;=12,$AJ116&gt;10),TIME(0,35,0),AND($AJ116&lt;=10,$AJ116&gt;5),TIME(0,20,0),$AJ116&gt;12,TIME(0,20,0),AND(AJ116&gt;3,$AJ116&lt;=5),TIME(0,10,0),$AJ116&lt;3,"")</f>
        <v>2.4305555555555556E-2</v>
      </c>
      <c r="AF116" s="23">
        <f t="shared" si="28"/>
        <v>6.9444444444444441E-3</v>
      </c>
      <c r="AG116" s="23">
        <v>5.5555555555555552E-2</v>
      </c>
      <c r="AH116" s="30"/>
      <c r="AI116" s="30"/>
      <c r="AJ116" s="24">
        <f t="shared" si="29"/>
        <v>11.999999999999998</v>
      </c>
      <c r="AK116" s="23">
        <f t="shared" si="30"/>
        <v>7.2916666666666671E-2</v>
      </c>
      <c r="AL116" s="25">
        <f t="shared" si="31"/>
        <v>431.99999999999994</v>
      </c>
      <c r="AM116" s="25">
        <f t="shared" si="32"/>
        <v>320.99999999999989</v>
      </c>
      <c r="AN116" s="16">
        <f t="shared" si="33"/>
        <v>0.82600382409177808</v>
      </c>
      <c r="AO116" s="38"/>
      <c r="AP116" s="19"/>
      <c r="AQ116" s="34"/>
      <c r="AR116" s="30" t="s">
        <v>246</v>
      </c>
    </row>
    <row r="117" spans="2:44" ht="15" customHeight="1" x14ac:dyDescent="0.3">
      <c r="B117" s="97">
        <v>46037</v>
      </c>
      <c r="C117" s="21">
        <f t="shared" si="1"/>
        <v>1</v>
      </c>
      <c r="D117" s="18" t="s">
        <v>98</v>
      </c>
      <c r="E117" s="14">
        <v>132</v>
      </c>
      <c r="F117" s="14"/>
      <c r="G117" s="14"/>
      <c r="H117" s="14"/>
      <c r="I117" s="14">
        <v>9</v>
      </c>
      <c r="J117" s="14">
        <v>71</v>
      </c>
      <c r="K117" s="14"/>
      <c r="L117" s="14"/>
      <c r="M117" s="14"/>
      <c r="N117" s="14"/>
      <c r="O117" s="14"/>
      <c r="P117" s="14"/>
      <c r="Q117" s="14">
        <v>278</v>
      </c>
      <c r="R117" s="14"/>
      <c r="S117" s="14"/>
      <c r="T117" s="14"/>
      <c r="U117" s="14">
        <v>26</v>
      </c>
      <c r="V117" s="14">
        <v>7</v>
      </c>
      <c r="W117" s="14"/>
      <c r="X117" s="22">
        <f>SUM(E117:W117)</f>
        <v>523</v>
      </c>
      <c r="Y117" s="14"/>
      <c r="Z117" s="31">
        <f>18+2+18</f>
        <v>38</v>
      </c>
      <c r="AA117" s="23">
        <v>0.79166666666666663</v>
      </c>
      <c r="AB117" s="23">
        <v>0.29166666666666669</v>
      </c>
      <c r="AC117" s="23" cm="1">
        <f t="array" ref="AC117">_xlfn.IFS($AJ117="","",$AJ117&gt;=8,TIME(1,0,0),$AJ117&lt;=5,"")</f>
        <v>4.1666666666666664E-2</v>
      </c>
      <c r="AD117" s="23" t="str">
        <f t="shared" si="27"/>
        <v/>
      </c>
      <c r="AE117" s="23" cm="1">
        <f t="array" ref="AE117">_xlfn.IFS($AA117="","",AND($AJ117&lt;=12,$AJ117&gt;10),TIME(0,35,0),AND($AJ117&lt;=10,$AJ117&gt;5),TIME(0,20,0),$AJ117&gt;12,TIME(0,20,0),AND(AJ117&gt;3,$AJ117&lt;=5),TIME(0,10,0),$AJ117&lt;3,"")</f>
        <v>2.4305555555555556E-2</v>
      </c>
      <c r="AF117" s="23">
        <f t="shared" si="28"/>
        <v>6.9444444444444441E-3</v>
      </c>
      <c r="AG117" s="23">
        <v>5.9027777777777776E-2</v>
      </c>
      <c r="AH117" s="30"/>
      <c r="AI117" s="30"/>
      <c r="AJ117" s="24">
        <f t="shared" si="29"/>
        <v>12</v>
      </c>
      <c r="AK117" s="23">
        <f t="shared" si="30"/>
        <v>7.2916666666666671E-2</v>
      </c>
      <c r="AL117" s="25">
        <f t="shared" si="31"/>
        <v>456</v>
      </c>
      <c r="AM117" s="25">
        <f t="shared" si="32"/>
        <v>335.66666666666663</v>
      </c>
      <c r="AN117" s="16">
        <f t="shared" si="33"/>
        <v>0.87189292543021035</v>
      </c>
      <c r="AO117" s="38"/>
      <c r="AP117" s="19"/>
      <c r="AQ117" s="34"/>
      <c r="AR117" s="30" t="s">
        <v>247</v>
      </c>
    </row>
    <row r="118" spans="2:44" ht="15" customHeight="1" x14ac:dyDescent="0.3">
      <c r="B118" s="97">
        <v>46037</v>
      </c>
      <c r="C118" s="21">
        <f t="shared" si="1"/>
        <v>1</v>
      </c>
      <c r="D118" s="18" t="s">
        <v>99</v>
      </c>
      <c r="E118" s="14">
        <v>122</v>
      </c>
      <c r="F118" s="14">
        <v>6</v>
      </c>
      <c r="G118" s="14"/>
      <c r="H118" s="14"/>
      <c r="I118" s="14">
        <v>85</v>
      </c>
      <c r="J118" s="14">
        <v>2</v>
      </c>
      <c r="K118" s="14">
        <v>3</v>
      </c>
      <c r="L118" s="14"/>
      <c r="M118" s="14"/>
      <c r="N118" s="14"/>
      <c r="O118" s="14"/>
      <c r="P118" s="14"/>
      <c r="Q118" s="14">
        <f>125+199+4</f>
        <v>328</v>
      </c>
      <c r="R118" s="14"/>
      <c r="S118" s="14"/>
      <c r="T118" s="14"/>
      <c r="U118" s="14"/>
      <c r="V118" s="14">
        <v>43</v>
      </c>
      <c r="W118" s="14"/>
      <c r="X118" s="22">
        <f t="shared" si="35"/>
        <v>589</v>
      </c>
      <c r="Y118" s="14"/>
      <c r="Z118" s="31">
        <f>17+4+15</f>
        <v>36</v>
      </c>
      <c r="AA118" s="23">
        <v>0.29166666666666669</v>
      </c>
      <c r="AB118" s="23">
        <v>0.79166666666666663</v>
      </c>
      <c r="AC118" s="23" cm="1">
        <f t="array" ref="AC118">_xlfn.IFS($AJ118="","",$AJ118&gt;=8,TIME(1,0,0),$AJ118&lt;=5,"")</f>
        <v>4.1666666666666664E-2</v>
      </c>
      <c r="AD118" s="23" t="str">
        <f t="shared" si="27"/>
        <v/>
      </c>
      <c r="AE118" s="23" cm="1">
        <f t="array" ref="AE118">_xlfn.IFS($AA118="","",AND($AJ118&lt;=12,$AJ118&gt;10),TIME(0,35,0),AND($AJ118&lt;=10,$AJ118&gt;5),TIME(0,20,0),$AJ118&gt;12,TIME(0,20,0),AND(AJ118&gt;3,$AJ118&lt;=5),TIME(0,10,0),$AJ118&lt;3,"")</f>
        <v>2.4305555555555556E-2</v>
      </c>
      <c r="AF118" s="23">
        <f t="shared" si="28"/>
        <v>6.9444444444444441E-3</v>
      </c>
      <c r="AG118" s="23"/>
      <c r="AH118" s="30"/>
      <c r="AI118" s="30"/>
      <c r="AJ118" s="24">
        <f t="shared" si="29"/>
        <v>11.999999999999998</v>
      </c>
      <c r="AK118" s="23">
        <f t="shared" si="30"/>
        <v>7.2916666666666671E-2</v>
      </c>
      <c r="AL118" s="25">
        <f t="shared" si="31"/>
        <v>431.99999999999994</v>
      </c>
      <c r="AM118" s="25">
        <f t="shared" si="32"/>
        <v>368.99999999999994</v>
      </c>
      <c r="AN118" s="16">
        <f t="shared" si="33"/>
        <v>0.73344651952461792</v>
      </c>
      <c r="AO118" s="38"/>
      <c r="AP118" s="19"/>
      <c r="AQ118" s="34"/>
      <c r="AR118" s="30"/>
    </row>
    <row r="119" spans="2:44" ht="15" customHeight="1" x14ac:dyDescent="0.3">
      <c r="B119" s="97">
        <v>46037</v>
      </c>
      <c r="C119" s="21">
        <f t="shared" si="1"/>
        <v>1</v>
      </c>
      <c r="D119" s="18" t="s">
        <v>99</v>
      </c>
      <c r="E119" s="14">
        <v>143</v>
      </c>
      <c r="F119" s="14"/>
      <c r="G119" s="14"/>
      <c r="H119" s="14"/>
      <c r="I119" s="14">
        <v>51</v>
      </c>
      <c r="J119" s="14">
        <v>17</v>
      </c>
      <c r="K119" s="14"/>
      <c r="L119" s="14"/>
      <c r="M119" s="14"/>
      <c r="N119" s="14"/>
      <c r="O119" s="14"/>
      <c r="P119" s="14"/>
      <c r="Q119" s="14">
        <f>233+17+2</f>
        <v>252</v>
      </c>
      <c r="R119" s="14"/>
      <c r="S119" s="14"/>
      <c r="T119" s="14"/>
      <c r="U119" s="14">
        <v>36</v>
      </c>
      <c r="V119" s="14">
        <f>32+8</f>
        <v>40</v>
      </c>
      <c r="W119" s="14"/>
      <c r="X119" s="22">
        <f t="shared" si="35"/>
        <v>539</v>
      </c>
      <c r="Y119" s="14"/>
      <c r="Z119" s="31">
        <f>19+8+9</f>
        <v>36</v>
      </c>
      <c r="AA119" s="23">
        <v>0.79166666666666663</v>
      </c>
      <c r="AB119" s="23">
        <v>0.29166666666666669</v>
      </c>
      <c r="AC119" s="23" cm="1">
        <f t="array" ref="AC119">_xlfn.IFS($AJ119="","",$AJ119&gt;=8,TIME(1,0,0),$AJ119&lt;=5,"")</f>
        <v>4.1666666666666664E-2</v>
      </c>
      <c r="AD119" s="23" t="str">
        <f t="shared" si="27"/>
        <v/>
      </c>
      <c r="AE119" s="23" cm="1">
        <f t="array" ref="AE119">_xlfn.IFS($AA119="","",AND($AJ119&lt;=12,$AJ119&gt;10),TIME(0,35,0),AND($AJ119&lt;=10,$AJ119&gt;5),TIME(0,20,0),$AJ119&gt;12,TIME(0,20,0),AND(AJ119&gt;3,$AJ119&lt;=5),TIME(0,10,0),$AJ119&lt;3,"")</f>
        <v>2.4305555555555556E-2</v>
      </c>
      <c r="AF119" s="23">
        <f t="shared" si="28"/>
        <v>6.9444444444444441E-3</v>
      </c>
      <c r="AG119" s="23"/>
      <c r="AH119" s="30"/>
      <c r="AI119" s="30"/>
      <c r="AJ119" s="24">
        <f t="shared" si="29"/>
        <v>12</v>
      </c>
      <c r="AK119" s="23">
        <f t="shared" si="30"/>
        <v>7.2916666666666671E-2</v>
      </c>
      <c r="AL119" s="25">
        <f t="shared" si="31"/>
        <v>432</v>
      </c>
      <c r="AM119" s="25">
        <f t="shared" si="32"/>
        <v>369</v>
      </c>
      <c r="AN119" s="16">
        <f t="shared" si="33"/>
        <v>0.80148423005565861</v>
      </c>
      <c r="AO119" s="16">
        <f>IF(COUNTIF(B112:B119,B112)=8,1/SUM(AN112:AN119),"")</f>
        <v>0.17857424019167623</v>
      </c>
      <c r="AP119" s="19"/>
      <c r="AQ119" s="34"/>
      <c r="AR119" s="30"/>
    </row>
    <row r="120" spans="2:44" ht="15" customHeight="1" x14ac:dyDescent="0.3">
      <c r="B120" s="98">
        <v>46038</v>
      </c>
      <c r="C120" s="21">
        <f t="shared" si="1"/>
        <v>1</v>
      </c>
      <c r="D120" s="36" t="s">
        <v>96</v>
      </c>
      <c r="E120" s="14">
        <v>273</v>
      </c>
      <c r="F120" s="14"/>
      <c r="G120" s="14"/>
      <c r="H120" s="14"/>
      <c r="I120" s="14">
        <v>50</v>
      </c>
      <c r="J120" s="14">
        <v>70</v>
      </c>
      <c r="K120" s="14"/>
      <c r="L120" s="14"/>
      <c r="M120" s="14"/>
      <c r="N120" s="14"/>
      <c r="O120" s="14"/>
      <c r="P120" s="14"/>
      <c r="Q120" s="14">
        <v>296</v>
      </c>
      <c r="R120" s="14"/>
      <c r="S120" s="14"/>
      <c r="T120" s="14"/>
      <c r="U120" s="14">
        <v>110</v>
      </c>
      <c r="V120" s="14"/>
      <c r="W120" s="14"/>
      <c r="X120" s="22">
        <f t="shared" si="35"/>
        <v>799</v>
      </c>
      <c r="Y120" s="14"/>
      <c r="Z120" s="31">
        <f>15+1+12+16+1+12</f>
        <v>57</v>
      </c>
      <c r="AA120" s="23">
        <v>0.29166666666666669</v>
      </c>
      <c r="AB120" s="23">
        <v>0.79166666666666663</v>
      </c>
      <c r="AC120" s="23" cm="1">
        <f t="array" ref="AC120">_xlfn.IFS($AJ120="","",$AJ120&gt;=8,TIME(1,0,0),$AJ120&lt;=5,"")</f>
        <v>4.1666666666666664E-2</v>
      </c>
      <c r="AD120" s="23" t="str">
        <f t="shared" si="27"/>
        <v/>
      </c>
      <c r="AE120" s="23" cm="1">
        <f t="array" ref="AE120">_xlfn.IFS($AA120="","",AND($AJ120&lt;=12,$AJ120&gt;10),TIME(0,35,0),AND($AJ120&lt;=10,$AJ120&gt;5),TIME(0,20,0),$AJ120&gt;12,TIME(0,20,0),AND(AJ120&gt;3,$AJ120&lt;=5),TIME(0,10,0),$AJ120&lt;3,"")</f>
        <v>2.4305555555555556E-2</v>
      </c>
      <c r="AF120" s="23">
        <f t="shared" si="28"/>
        <v>6.9444444444444441E-3</v>
      </c>
      <c r="AG120" s="23"/>
      <c r="AH120" s="30"/>
      <c r="AI120" s="30"/>
      <c r="AJ120" s="24">
        <f t="shared" si="29"/>
        <v>11.999999999999998</v>
      </c>
      <c r="AK120" s="23">
        <f t="shared" si="30"/>
        <v>7.2916666666666671E-2</v>
      </c>
      <c r="AL120" s="25">
        <f t="shared" si="31"/>
        <v>683.99999999999989</v>
      </c>
      <c r="AM120" s="25">
        <f t="shared" si="32"/>
        <v>584.24999999999989</v>
      </c>
      <c r="AN120" s="16">
        <f t="shared" si="33"/>
        <v>0.85607008760951175</v>
      </c>
      <c r="AO120" s="38"/>
      <c r="AP120" s="19"/>
      <c r="AQ120" s="34"/>
      <c r="AR120" s="30"/>
    </row>
    <row r="121" spans="2:44" ht="15" customHeight="1" x14ac:dyDescent="0.3">
      <c r="B121" s="98">
        <v>46038</v>
      </c>
      <c r="C121" s="21">
        <f t="shared" si="1"/>
        <v>1</v>
      </c>
      <c r="D121" s="36" t="s">
        <v>96</v>
      </c>
      <c r="E121" s="14"/>
      <c r="F121" s="14"/>
      <c r="G121" s="14"/>
      <c r="H121" s="14"/>
      <c r="I121" s="14"/>
      <c r="J121" s="14"/>
      <c r="K121" s="14"/>
      <c r="L121" s="14"/>
      <c r="M121" s="14"/>
      <c r="N121" s="14"/>
      <c r="O121" s="14"/>
      <c r="P121" s="14"/>
      <c r="Q121" s="14">
        <f>18+257+23</f>
        <v>298</v>
      </c>
      <c r="R121" s="14"/>
      <c r="S121" s="14"/>
      <c r="T121" s="14"/>
      <c r="U121" s="14"/>
      <c r="V121" s="14"/>
      <c r="W121" s="14"/>
      <c r="X121" s="22">
        <f t="shared" si="35"/>
        <v>298</v>
      </c>
      <c r="Y121" s="14"/>
      <c r="Z121" s="31">
        <f>23+7</f>
        <v>30</v>
      </c>
      <c r="AA121" s="23">
        <v>0.79166666666666663</v>
      </c>
      <c r="AB121" s="23">
        <v>0.29166666666666669</v>
      </c>
      <c r="AC121" s="23" cm="1">
        <f t="array" ref="AC121">_xlfn.IFS($AJ121="","",$AJ121&gt;=8,TIME(1,0,0),$AJ121&lt;=5,"")</f>
        <v>4.1666666666666664E-2</v>
      </c>
      <c r="AD121" s="23" t="str">
        <f t="shared" si="27"/>
        <v/>
      </c>
      <c r="AE121" s="23" cm="1">
        <f t="array" ref="AE121">_xlfn.IFS($AA121="","",AND($AJ121&lt;=12,$AJ121&gt;10),TIME(0,35,0),AND($AJ121&lt;=10,$AJ121&gt;5),TIME(0,20,0),$AJ121&gt;12,TIME(0,20,0),AND(AJ121&gt;3,$AJ121&lt;=5),TIME(0,10,0),$AJ121&lt;3,"")</f>
        <v>2.4305555555555556E-2</v>
      </c>
      <c r="AF121" s="23">
        <f t="shared" si="28"/>
        <v>6.9444444444444441E-3</v>
      </c>
      <c r="AG121" s="23"/>
      <c r="AH121" s="30"/>
      <c r="AI121" s="30"/>
      <c r="AJ121" s="24">
        <f t="shared" si="29"/>
        <v>12</v>
      </c>
      <c r="AK121" s="23">
        <f t="shared" si="30"/>
        <v>7.2916666666666671E-2</v>
      </c>
      <c r="AL121" s="25">
        <f t="shared" si="31"/>
        <v>360</v>
      </c>
      <c r="AM121" s="25">
        <f t="shared" si="32"/>
        <v>307.5</v>
      </c>
      <c r="AN121" s="16">
        <f t="shared" si="33"/>
        <v>1.2080536912751678</v>
      </c>
      <c r="AO121" s="38"/>
      <c r="AP121" s="19"/>
      <c r="AQ121" s="34"/>
      <c r="AR121" s="30"/>
    </row>
    <row r="122" spans="2:44" ht="15" customHeight="1" x14ac:dyDescent="0.3">
      <c r="B122" s="98">
        <v>46038</v>
      </c>
      <c r="C122" s="21">
        <f t="shared" si="1"/>
        <v>1</v>
      </c>
      <c r="D122" s="18" t="s">
        <v>97</v>
      </c>
      <c r="E122" s="14">
        <v>172</v>
      </c>
      <c r="F122" s="14"/>
      <c r="G122" s="14"/>
      <c r="H122" s="14"/>
      <c r="I122" s="14"/>
      <c r="J122" s="14">
        <v>38</v>
      </c>
      <c r="K122" s="14"/>
      <c r="L122" s="14"/>
      <c r="M122" s="14"/>
      <c r="N122" s="14"/>
      <c r="O122" s="14"/>
      <c r="P122" s="14"/>
      <c r="Q122" s="14">
        <v>244</v>
      </c>
      <c r="R122" s="14"/>
      <c r="S122" s="14"/>
      <c r="T122" s="14"/>
      <c r="U122" s="14">
        <v>52</v>
      </c>
      <c r="V122" s="14"/>
      <c r="W122" s="14"/>
      <c r="X122" s="22">
        <f t="shared" si="35"/>
        <v>506</v>
      </c>
      <c r="Y122" s="14"/>
      <c r="Z122" s="31">
        <f>4+2</f>
        <v>6</v>
      </c>
      <c r="AA122" s="23">
        <v>0.29166666666666669</v>
      </c>
      <c r="AB122" s="23">
        <v>0.79166666666666663</v>
      </c>
      <c r="AC122" s="23" cm="1">
        <f t="array" ref="AC122">_xlfn.IFS($AJ122="","",$AJ122&gt;=8,TIME(1,0,0),$AJ122&lt;=5,"")</f>
        <v>4.1666666666666664E-2</v>
      </c>
      <c r="AD122" s="23" t="str">
        <f t="shared" si="27"/>
        <v/>
      </c>
      <c r="AE122" s="23" cm="1">
        <f t="array" ref="AE122">_xlfn.IFS($AA122="","",AND($AJ122&lt;=12,$AJ122&gt;10),TIME(0,35,0),AND($AJ122&lt;=10,$AJ122&gt;5),TIME(0,20,0),$AJ122&gt;12,TIME(0,20,0),AND(AJ122&gt;3,$AJ122&lt;=5),TIME(0,10,0),$AJ122&lt;3,"")</f>
        <v>2.4305555555555556E-2</v>
      </c>
      <c r="AF122" s="23">
        <f t="shared" si="28"/>
        <v>6.9444444444444441E-3</v>
      </c>
      <c r="AG122" s="23">
        <v>0.1111111111111111</v>
      </c>
      <c r="AH122" s="30"/>
      <c r="AI122" s="23">
        <v>0.41666666666666669</v>
      </c>
      <c r="AJ122" s="24">
        <f t="shared" si="29"/>
        <v>11.999999999999998</v>
      </c>
      <c r="AK122" s="23">
        <f t="shared" si="30"/>
        <v>7.2916666666666671E-2</v>
      </c>
      <c r="AL122" s="25">
        <f t="shared" si="31"/>
        <v>71.999999999999986</v>
      </c>
      <c r="AM122" s="25">
        <f t="shared" si="32"/>
        <v>45.499999999999986</v>
      </c>
      <c r="AN122" s="16">
        <f t="shared" si="33"/>
        <v>0.14229249011857706</v>
      </c>
      <c r="AO122" s="38"/>
      <c r="AP122" s="19"/>
      <c r="AQ122" s="34"/>
      <c r="AR122" s="30" t="s">
        <v>248</v>
      </c>
    </row>
    <row r="123" spans="2:44" ht="15" customHeight="1" x14ac:dyDescent="0.3">
      <c r="B123" s="98">
        <v>46038</v>
      </c>
      <c r="C123" s="21">
        <f t="shared" si="1"/>
        <v>1</v>
      </c>
      <c r="D123" s="18" t="s">
        <v>97</v>
      </c>
      <c r="E123" s="14">
        <v>64</v>
      </c>
      <c r="F123" s="14"/>
      <c r="G123" s="14"/>
      <c r="H123" s="14"/>
      <c r="I123" s="14">
        <v>67</v>
      </c>
      <c r="J123" s="14"/>
      <c r="K123" s="14"/>
      <c r="L123" s="14"/>
      <c r="M123" s="14"/>
      <c r="N123" s="14"/>
      <c r="O123" s="14"/>
      <c r="P123" s="14"/>
      <c r="Q123" s="14">
        <v>266</v>
      </c>
      <c r="R123" s="14"/>
      <c r="S123" s="14"/>
      <c r="T123" s="14"/>
      <c r="U123" s="14">
        <v>65</v>
      </c>
      <c r="V123" s="14"/>
      <c r="W123" s="14"/>
      <c r="X123" s="22">
        <f t="shared" si="35"/>
        <v>462</v>
      </c>
      <c r="Y123" s="14"/>
      <c r="Z123" s="31">
        <f>4+1</f>
        <v>5</v>
      </c>
      <c r="AA123" s="23">
        <v>0.79166666666666663</v>
      </c>
      <c r="AB123" s="23">
        <v>0.29166666666666669</v>
      </c>
      <c r="AC123" s="23" cm="1">
        <f t="array" ref="AC123">_xlfn.IFS($AJ123="","",$AJ123&gt;=8,TIME(1,0,0),$AJ123&lt;=5,"")</f>
        <v>4.1666666666666664E-2</v>
      </c>
      <c r="AD123" s="23" t="str">
        <f t="shared" si="27"/>
        <v/>
      </c>
      <c r="AE123" s="23" cm="1">
        <f t="array" ref="AE123">_xlfn.IFS($AA123="","",AND($AJ123&lt;=12,$AJ123&gt;10),TIME(0,35,0),AND($AJ123&lt;=10,$AJ123&gt;5),TIME(0,20,0),$AJ123&gt;12,TIME(0,20,0),AND(AJ123&gt;3,$AJ123&lt;=5),TIME(0,10,0),$AJ123&lt;3,"")</f>
        <v>2.4305555555555556E-2</v>
      </c>
      <c r="AF123" s="23">
        <f t="shared" si="28"/>
        <v>6.9444444444444441E-3</v>
      </c>
      <c r="AG123" s="23">
        <v>8.6805555555555552E-2</v>
      </c>
      <c r="AH123" s="30"/>
      <c r="AI123" s="30"/>
      <c r="AJ123" s="24">
        <f t="shared" si="29"/>
        <v>12</v>
      </c>
      <c r="AK123" s="23">
        <f t="shared" si="30"/>
        <v>7.2916666666666671E-2</v>
      </c>
      <c r="AL123" s="25">
        <f t="shared" si="31"/>
        <v>60</v>
      </c>
      <c r="AM123" s="25">
        <f t="shared" si="32"/>
        <v>40.833333333333343</v>
      </c>
      <c r="AN123" s="16">
        <f t="shared" si="33"/>
        <v>0.12987012987012986</v>
      </c>
      <c r="AO123" s="38"/>
      <c r="AP123" s="19"/>
      <c r="AQ123" s="34"/>
      <c r="AR123" s="30" t="s">
        <v>249</v>
      </c>
    </row>
    <row r="124" spans="2:44" ht="15" customHeight="1" x14ac:dyDescent="0.3">
      <c r="B124" s="98">
        <v>46038</v>
      </c>
      <c r="C124" s="21">
        <f t="shared" si="1"/>
        <v>1</v>
      </c>
      <c r="D124" s="18" t="s">
        <v>98</v>
      </c>
      <c r="E124" s="14">
        <v>139</v>
      </c>
      <c r="F124" s="14"/>
      <c r="G124" s="14"/>
      <c r="H124" s="14"/>
      <c r="I124" s="14">
        <v>5</v>
      </c>
      <c r="J124" s="14">
        <v>28</v>
      </c>
      <c r="K124" s="14"/>
      <c r="L124" s="14"/>
      <c r="M124" s="14"/>
      <c r="N124" s="14"/>
      <c r="O124" s="14"/>
      <c r="P124" s="14"/>
      <c r="Q124" s="14">
        <v>210</v>
      </c>
      <c r="R124" s="14"/>
      <c r="S124" s="14"/>
      <c r="T124" s="14"/>
      <c r="U124" s="14">
        <v>74</v>
      </c>
      <c r="V124" s="14"/>
      <c r="W124" s="14"/>
      <c r="X124" s="22">
        <f t="shared" si="35"/>
        <v>456</v>
      </c>
      <c r="Y124" s="14"/>
      <c r="Z124" s="31">
        <f>18+8+10</f>
        <v>36</v>
      </c>
      <c r="AA124" s="23">
        <v>0.29166666666666669</v>
      </c>
      <c r="AB124" s="23">
        <v>0.79166666666666663</v>
      </c>
      <c r="AC124" s="23" cm="1">
        <f t="array" ref="AC124">_xlfn.IFS($AJ124="","",$AJ124&gt;=8,TIME(1,0,0),$AJ124&lt;=5,"")</f>
        <v>4.1666666666666664E-2</v>
      </c>
      <c r="AD124" s="23" t="str">
        <f t="shared" si="27"/>
        <v/>
      </c>
      <c r="AE124" s="23" cm="1">
        <f t="array" ref="AE124">_xlfn.IFS($AA124="","",AND($AJ124&lt;=12,$AJ124&gt;10),TIME(0,35,0),AND($AJ124&lt;=10,$AJ124&gt;5),TIME(0,20,0),$AJ124&gt;12,TIME(0,20,0),AND(AJ124&gt;3,$AJ124&lt;=5),TIME(0,10,0),$AJ124&lt;3,"")</f>
        <v>2.4305555555555556E-2</v>
      </c>
      <c r="AF124" s="23">
        <f t="shared" si="28"/>
        <v>6.9444444444444441E-3</v>
      </c>
      <c r="AG124" s="23">
        <v>7.6388888888888895E-2</v>
      </c>
      <c r="AH124" s="30"/>
      <c r="AI124" s="30"/>
      <c r="AJ124" s="24">
        <f t="shared" si="29"/>
        <v>11.999999999999998</v>
      </c>
      <c r="AK124" s="23">
        <f t="shared" si="30"/>
        <v>7.2916666666666671E-2</v>
      </c>
      <c r="AL124" s="25">
        <f t="shared" si="31"/>
        <v>431.99999999999994</v>
      </c>
      <c r="AM124" s="25">
        <f t="shared" si="32"/>
        <v>302.99999999999989</v>
      </c>
      <c r="AN124" s="16">
        <f t="shared" si="33"/>
        <v>0.94736842105263142</v>
      </c>
      <c r="AO124" s="38"/>
      <c r="AP124" s="19"/>
      <c r="AQ124" s="34"/>
      <c r="AR124" s="30" t="s">
        <v>250</v>
      </c>
    </row>
    <row r="125" spans="2:44" ht="15" customHeight="1" x14ac:dyDescent="0.3">
      <c r="B125" s="98">
        <v>46038</v>
      </c>
      <c r="C125" s="21">
        <f t="shared" si="1"/>
        <v>1</v>
      </c>
      <c r="D125" s="18" t="s">
        <v>98</v>
      </c>
      <c r="E125" s="14">
        <v>128</v>
      </c>
      <c r="F125" s="14"/>
      <c r="G125" s="14"/>
      <c r="H125" s="14"/>
      <c r="I125" s="14">
        <v>47</v>
      </c>
      <c r="J125" s="14">
        <v>31</v>
      </c>
      <c r="K125" s="14"/>
      <c r="L125" s="14"/>
      <c r="M125" s="14"/>
      <c r="N125" s="14"/>
      <c r="O125" s="14"/>
      <c r="P125" s="14"/>
      <c r="Q125" s="14">
        <v>324</v>
      </c>
      <c r="R125" s="14"/>
      <c r="S125" s="14"/>
      <c r="T125" s="14"/>
      <c r="U125" s="14"/>
      <c r="V125" s="14"/>
      <c r="W125" s="14"/>
      <c r="X125" s="22">
        <f t="shared" si="35"/>
        <v>530</v>
      </c>
      <c r="Y125" s="14"/>
      <c r="Z125" s="31">
        <f>18+2+18</f>
        <v>38</v>
      </c>
      <c r="AA125" s="23">
        <v>0.79166666666666663</v>
      </c>
      <c r="AB125" s="23">
        <v>0.29166666666666669</v>
      </c>
      <c r="AC125" s="23" cm="1">
        <f t="array" ref="AC125">_xlfn.IFS($AJ125="","",$AJ125&gt;=8,TIME(1,0,0),$AJ125&lt;=5,"")</f>
        <v>4.1666666666666664E-2</v>
      </c>
      <c r="AD125" s="23" t="str">
        <f t="shared" si="27"/>
        <v/>
      </c>
      <c r="AE125" s="23" cm="1">
        <f t="array" ref="AE125">_xlfn.IFS($AA125="","",AND($AJ125&lt;=12,$AJ125&gt;10),TIME(0,35,0),AND($AJ125&lt;=10,$AJ125&gt;5),TIME(0,20,0),$AJ125&gt;12,TIME(0,20,0),AND(AJ125&gt;3,$AJ125&lt;=5),TIME(0,10,0),$AJ125&lt;3,"")</f>
        <v>2.4305555555555556E-2</v>
      </c>
      <c r="AF125" s="23">
        <f t="shared" si="28"/>
        <v>6.9444444444444441E-3</v>
      </c>
      <c r="AG125" s="23">
        <v>6.9444444444444448E-2</v>
      </c>
      <c r="AH125" s="30"/>
      <c r="AI125" s="30"/>
      <c r="AJ125" s="24">
        <f t="shared" si="29"/>
        <v>12</v>
      </c>
      <c r="AK125" s="23">
        <f t="shared" si="30"/>
        <v>7.2916666666666671E-2</v>
      </c>
      <c r="AL125" s="25">
        <f t="shared" si="31"/>
        <v>456</v>
      </c>
      <c r="AM125" s="25">
        <f t="shared" si="32"/>
        <v>326.16666666666669</v>
      </c>
      <c r="AN125" s="16">
        <f t="shared" si="33"/>
        <v>0.86037735849056607</v>
      </c>
      <c r="AO125" s="38"/>
      <c r="AP125" s="19"/>
      <c r="AQ125" s="34"/>
      <c r="AR125" s="30" t="s">
        <v>251</v>
      </c>
    </row>
    <row r="126" spans="2:44" ht="15" customHeight="1" x14ac:dyDescent="0.3">
      <c r="B126" s="98">
        <v>46038</v>
      </c>
      <c r="C126" s="21">
        <f t="shared" si="1"/>
        <v>1</v>
      </c>
      <c r="D126" s="18" t="s">
        <v>99</v>
      </c>
      <c r="E126" s="14">
        <v>84</v>
      </c>
      <c r="F126" s="14">
        <v>5</v>
      </c>
      <c r="G126" s="14"/>
      <c r="H126" s="14"/>
      <c r="I126" s="14">
        <v>2</v>
      </c>
      <c r="J126" s="14">
        <v>64</v>
      </c>
      <c r="K126" s="14"/>
      <c r="L126" s="14"/>
      <c r="M126" s="14"/>
      <c r="N126" s="14"/>
      <c r="O126" s="14"/>
      <c r="P126" s="14"/>
      <c r="Q126" s="14">
        <f>260+2</f>
        <v>262</v>
      </c>
      <c r="R126" s="14"/>
      <c r="S126" s="14"/>
      <c r="T126" s="14">
        <v>24</v>
      </c>
      <c r="U126" s="14">
        <v>3</v>
      </c>
      <c r="V126" s="14"/>
      <c r="W126" s="14"/>
      <c r="X126" s="22">
        <f t="shared" si="35"/>
        <v>444</v>
      </c>
      <c r="Y126" s="14"/>
      <c r="Z126" s="31">
        <f>17+4+16</f>
        <v>37</v>
      </c>
      <c r="AA126" s="23">
        <v>0.29166666666666669</v>
      </c>
      <c r="AB126" s="23">
        <v>0.79166666666666663</v>
      </c>
      <c r="AC126" s="23" cm="1">
        <f t="array" ref="AC126">_xlfn.IFS($AJ126="","",$AJ126&gt;=8,TIME(1,0,0),$AJ126&lt;=5,"")</f>
        <v>4.1666666666666664E-2</v>
      </c>
      <c r="AD126" s="23" t="str">
        <f t="shared" si="27"/>
        <v/>
      </c>
      <c r="AE126" s="23" cm="1">
        <f t="array" ref="AE126">_xlfn.IFS($AA126="","",AND($AJ126&lt;=12,$AJ126&gt;10),TIME(0,35,0),AND($AJ126&lt;=10,$AJ126&gt;5),TIME(0,20,0),$AJ126&gt;12,TIME(0,20,0),AND(AJ126&gt;3,$AJ126&lt;=5),TIME(0,10,0),$AJ126&lt;3,"")</f>
        <v>2.4305555555555556E-2</v>
      </c>
      <c r="AF126" s="23">
        <f t="shared" si="28"/>
        <v>6.9444444444444441E-3</v>
      </c>
      <c r="AG126" s="23"/>
      <c r="AH126" s="30"/>
      <c r="AI126" s="30"/>
      <c r="AJ126" s="24">
        <f t="shared" si="29"/>
        <v>11.999999999999998</v>
      </c>
      <c r="AK126" s="23">
        <f t="shared" si="30"/>
        <v>7.2916666666666671E-2</v>
      </c>
      <c r="AL126" s="25">
        <f t="shared" si="31"/>
        <v>443.99999999999994</v>
      </c>
      <c r="AM126" s="25">
        <f t="shared" si="32"/>
        <v>379.24999999999994</v>
      </c>
      <c r="AN126" s="16">
        <f t="shared" si="33"/>
        <v>0.99999999999999989</v>
      </c>
      <c r="AO126" s="38"/>
      <c r="AP126" s="19"/>
      <c r="AQ126" s="34"/>
      <c r="AR126" s="30" t="s">
        <v>252</v>
      </c>
    </row>
    <row r="127" spans="2:44" ht="15" customHeight="1" x14ac:dyDescent="0.3">
      <c r="B127" s="98">
        <v>46038</v>
      </c>
      <c r="C127" s="21">
        <f t="shared" si="1"/>
        <v>1</v>
      </c>
      <c r="D127" s="18" t="s">
        <v>99</v>
      </c>
      <c r="E127" s="14">
        <v>194</v>
      </c>
      <c r="F127" s="14"/>
      <c r="G127" s="14"/>
      <c r="H127" s="14"/>
      <c r="I127" s="14">
        <v>25</v>
      </c>
      <c r="J127" s="14">
        <v>25</v>
      </c>
      <c r="K127" s="14">
        <v>1</v>
      </c>
      <c r="L127" s="14"/>
      <c r="M127" s="14"/>
      <c r="N127" s="14"/>
      <c r="O127" s="14"/>
      <c r="P127" s="14"/>
      <c r="Q127" s="14">
        <f>248+11</f>
        <v>259</v>
      </c>
      <c r="R127" s="14"/>
      <c r="S127" s="14"/>
      <c r="T127" s="14"/>
      <c r="U127" s="14">
        <v>70</v>
      </c>
      <c r="V127" s="14"/>
      <c r="W127" s="14"/>
      <c r="X127" s="22">
        <f t="shared" si="35"/>
        <v>574</v>
      </c>
      <c r="Y127" s="14"/>
      <c r="Z127" s="31">
        <f>19+9+8</f>
        <v>36</v>
      </c>
      <c r="AA127" s="23">
        <v>0.79166666666666663</v>
      </c>
      <c r="AB127" s="23">
        <v>0.29166666666666669</v>
      </c>
      <c r="AC127" s="23" cm="1">
        <f t="array" ref="AC127">_xlfn.IFS($AJ127="","",$AJ127&gt;=8,TIME(1,0,0),$AJ127&lt;=5,"")</f>
        <v>4.1666666666666664E-2</v>
      </c>
      <c r="AD127" s="23" t="str">
        <f t="shared" si="27"/>
        <v/>
      </c>
      <c r="AE127" s="23" cm="1">
        <f t="array" ref="AE127">_xlfn.IFS($AA127="","",AND($AJ127&lt;=12,$AJ127&gt;10),TIME(0,35,0),AND($AJ127&lt;=10,$AJ127&gt;5),TIME(0,20,0),$AJ127&gt;12,TIME(0,20,0),AND(AJ127&gt;3,$AJ127&lt;=5),TIME(0,10,0),$AJ127&lt;3,"")</f>
        <v>2.4305555555555556E-2</v>
      </c>
      <c r="AF127" s="23">
        <f t="shared" si="28"/>
        <v>6.9444444444444441E-3</v>
      </c>
      <c r="AG127" s="23"/>
      <c r="AH127" s="30"/>
      <c r="AI127" s="30"/>
      <c r="AJ127" s="24">
        <f t="shared" si="29"/>
        <v>12</v>
      </c>
      <c r="AK127" s="23">
        <f t="shared" si="30"/>
        <v>7.2916666666666671E-2</v>
      </c>
      <c r="AL127" s="25">
        <f t="shared" si="31"/>
        <v>432</v>
      </c>
      <c r="AM127" s="25">
        <f t="shared" si="32"/>
        <v>369</v>
      </c>
      <c r="AN127" s="16">
        <f t="shared" si="33"/>
        <v>0.7526132404181185</v>
      </c>
      <c r="AO127" s="16">
        <f>IF(COUNTIF(B120:B127,B120)=8,1/SUM(AN120:AN127),"")</f>
        <v>0.1695879485657831</v>
      </c>
      <c r="AP127" s="19"/>
      <c r="AQ127" s="34"/>
      <c r="AR127" s="30"/>
    </row>
    <row r="128" spans="2:44" ht="15" customHeight="1" x14ac:dyDescent="0.3">
      <c r="B128" s="97">
        <v>46039</v>
      </c>
      <c r="C128" s="21">
        <f t="shared" si="1"/>
        <v>1</v>
      </c>
      <c r="D128" s="36" t="s">
        <v>96</v>
      </c>
      <c r="E128" s="14">
        <v>304</v>
      </c>
      <c r="F128" s="14"/>
      <c r="G128" s="14"/>
      <c r="H128" s="14"/>
      <c r="I128" s="14">
        <v>41</v>
      </c>
      <c r="J128" s="14">
        <v>60</v>
      </c>
      <c r="K128" s="14"/>
      <c r="L128" s="14"/>
      <c r="M128" s="14"/>
      <c r="N128" s="14"/>
      <c r="O128" s="14"/>
      <c r="P128" s="14"/>
      <c r="Q128" s="14">
        <f>74+63</f>
        <v>137</v>
      </c>
      <c r="R128" s="14"/>
      <c r="S128" s="14"/>
      <c r="T128" s="14"/>
      <c r="U128" s="14">
        <v>161</v>
      </c>
      <c r="V128" s="14"/>
      <c r="W128" s="14"/>
      <c r="X128" s="22">
        <f t="shared" si="35"/>
        <v>703</v>
      </c>
      <c r="Y128" s="14"/>
      <c r="Z128" s="31">
        <f>14+1+12+16+1+12</f>
        <v>56</v>
      </c>
      <c r="AA128" s="23">
        <v>0.29166666666666669</v>
      </c>
      <c r="AB128" s="23">
        <v>0.79166666666666663</v>
      </c>
      <c r="AC128" s="23" cm="1">
        <f t="array" ref="AC128">_xlfn.IFS($AJ128="","",$AJ128&gt;=8,TIME(1,0,0),$AJ128&lt;=5,"")</f>
        <v>4.1666666666666664E-2</v>
      </c>
      <c r="AD128" s="23" t="str">
        <f t="shared" si="27"/>
        <v/>
      </c>
      <c r="AE128" s="23" cm="1">
        <f t="array" ref="AE128">_xlfn.IFS($AA128="","",AND($AJ128&lt;=12,$AJ128&gt;10),TIME(0,35,0),AND($AJ128&lt;=10,$AJ128&gt;5),TIME(0,20,0),$AJ128&gt;12,TIME(0,20,0),AND(AJ128&gt;3,$AJ128&lt;=5),TIME(0,10,0),$AJ128&lt;3,"")</f>
        <v>2.4305555555555556E-2</v>
      </c>
      <c r="AF128" s="23">
        <f t="shared" si="28"/>
        <v>6.9444444444444441E-3</v>
      </c>
      <c r="AG128" s="23"/>
      <c r="AH128" s="30"/>
      <c r="AI128" s="23">
        <v>0.18055555555555555</v>
      </c>
      <c r="AJ128" s="24">
        <f t="shared" si="29"/>
        <v>11.999999999999998</v>
      </c>
      <c r="AK128" s="23">
        <f t="shared" si="30"/>
        <v>7.2916666666666671E-2</v>
      </c>
      <c r="AL128" s="25">
        <f t="shared" si="31"/>
        <v>671.99999999999989</v>
      </c>
      <c r="AM128" s="25">
        <f t="shared" si="32"/>
        <v>573.99999999999989</v>
      </c>
      <c r="AN128" s="16">
        <f t="shared" si="33"/>
        <v>0.95590327169274525</v>
      </c>
      <c r="AO128" s="38"/>
      <c r="AP128" s="19"/>
      <c r="AQ128" s="34"/>
      <c r="AR128" s="30" t="s">
        <v>253</v>
      </c>
    </row>
    <row r="129" spans="2:44" ht="15" customHeight="1" x14ac:dyDescent="0.3">
      <c r="B129" s="97">
        <v>46039</v>
      </c>
      <c r="C129" s="21">
        <f t="shared" si="1"/>
        <v>1</v>
      </c>
      <c r="D129" s="36" t="s">
        <v>96</v>
      </c>
      <c r="E129" s="14"/>
      <c r="F129" s="14"/>
      <c r="G129" s="14"/>
      <c r="H129" s="14"/>
      <c r="I129" s="14"/>
      <c r="J129" s="14"/>
      <c r="K129" s="14"/>
      <c r="L129" s="14"/>
      <c r="M129" s="14"/>
      <c r="N129" s="14"/>
      <c r="O129" s="14"/>
      <c r="P129" s="14"/>
      <c r="Q129" s="14">
        <f>262+29</f>
        <v>291</v>
      </c>
      <c r="R129" s="14"/>
      <c r="S129" s="14"/>
      <c r="T129" s="14"/>
      <c r="U129" s="14"/>
      <c r="V129" s="14"/>
      <c r="W129" s="14"/>
      <c r="X129" s="22">
        <f t="shared" si="35"/>
        <v>291</v>
      </c>
      <c r="Y129" s="14"/>
      <c r="Z129" s="31">
        <f>23+8</f>
        <v>31</v>
      </c>
      <c r="AA129" s="23">
        <v>0.79166666666666663</v>
      </c>
      <c r="AB129" s="23">
        <v>0.29166666666666669</v>
      </c>
      <c r="AC129" s="23" cm="1">
        <f t="array" ref="AC129">_xlfn.IFS($AJ129="","",$AJ129&gt;=8,TIME(1,0,0),$AJ129&lt;=5,"")</f>
        <v>4.1666666666666664E-2</v>
      </c>
      <c r="AD129" s="23" t="str">
        <f t="shared" si="27"/>
        <v/>
      </c>
      <c r="AE129" s="23" cm="1">
        <f t="array" ref="AE129">_xlfn.IFS($AA129="","",AND($AJ129&lt;=12,$AJ129&gt;10),TIME(0,35,0),AND($AJ129&lt;=10,$AJ129&gt;5),TIME(0,20,0),$AJ129&gt;12,TIME(0,20,0),AND(AJ129&gt;3,$AJ129&lt;=5),TIME(0,10,0),$AJ129&lt;3,"")</f>
        <v>2.4305555555555556E-2</v>
      </c>
      <c r="AF129" s="23">
        <f t="shared" si="28"/>
        <v>6.9444444444444441E-3</v>
      </c>
      <c r="AG129" s="23"/>
      <c r="AH129" s="30"/>
      <c r="AI129" s="30"/>
      <c r="AJ129" s="24">
        <f t="shared" si="29"/>
        <v>12</v>
      </c>
      <c r="AK129" s="23">
        <f t="shared" si="30"/>
        <v>7.2916666666666671E-2</v>
      </c>
      <c r="AL129" s="25">
        <f t="shared" si="31"/>
        <v>372</v>
      </c>
      <c r="AM129" s="25">
        <f t="shared" si="32"/>
        <v>317.75</v>
      </c>
      <c r="AN129" s="16">
        <f t="shared" si="33"/>
        <v>1.2783505154639174</v>
      </c>
      <c r="AO129" s="38"/>
      <c r="AP129" s="19"/>
      <c r="AQ129" s="34"/>
      <c r="AR129" s="30"/>
    </row>
    <row r="130" spans="2:44" ht="15" customHeight="1" x14ac:dyDescent="0.3">
      <c r="B130" s="97">
        <v>46039</v>
      </c>
      <c r="C130" s="21">
        <f t="shared" si="1"/>
        <v>1</v>
      </c>
      <c r="D130" s="18" t="s">
        <v>97</v>
      </c>
      <c r="E130" s="14">
        <v>129</v>
      </c>
      <c r="F130" s="14"/>
      <c r="G130" s="14"/>
      <c r="H130" s="14"/>
      <c r="I130" s="14"/>
      <c r="J130" s="14">
        <v>53</v>
      </c>
      <c r="K130" s="14"/>
      <c r="L130" s="14"/>
      <c r="M130" s="14"/>
      <c r="N130" s="14"/>
      <c r="O130" s="14"/>
      <c r="P130" s="14"/>
      <c r="Q130" s="14">
        <v>148</v>
      </c>
      <c r="R130" s="14"/>
      <c r="S130" s="14"/>
      <c r="T130" s="14"/>
      <c r="U130" s="14">
        <v>50</v>
      </c>
      <c r="V130" s="14"/>
      <c r="W130" s="14"/>
      <c r="X130" s="22">
        <f t="shared" si="35"/>
        <v>380</v>
      </c>
      <c r="Y130" s="14"/>
      <c r="Z130" s="31">
        <f>4+2</f>
        <v>6</v>
      </c>
      <c r="AA130" s="23">
        <v>0.29166666666666669</v>
      </c>
      <c r="AB130" s="23">
        <v>0.79166666666666663</v>
      </c>
      <c r="AC130" s="23" cm="1">
        <f t="array" ref="AC130">_xlfn.IFS($AJ130="","",$AJ130&gt;=8,TIME(1,0,0),$AJ130&lt;=5,"")</f>
        <v>4.1666666666666664E-2</v>
      </c>
      <c r="AD130" s="23" t="str">
        <f t="shared" si="27"/>
        <v/>
      </c>
      <c r="AE130" s="23" cm="1">
        <f t="array" ref="AE130">_xlfn.IFS($AA130="","",AND($AJ130&lt;=12,$AJ130&gt;10),TIME(0,35,0),AND($AJ130&lt;=10,$AJ130&gt;5),TIME(0,20,0),$AJ130&gt;12,TIME(0,20,0),AND(AJ130&gt;3,$AJ130&lt;=5),TIME(0,10,0),$AJ130&lt;3,"")</f>
        <v>2.4305555555555556E-2</v>
      </c>
      <c r="AF130" s="23">
        <f t="shared" si="28"/>
        <v>6.9444444444444441E-3</v>
      </c>
      <c r="AG130" s="23">
        <v>0.18055555555555555</v>
      </c>
      <c r="AH130" s="30"/>
      <c r="AI130" s="23">
        <v>0.16666666666666666</v>
      </c>
      <c r="AJ130" s="24">
        <f t="shared" si="29"/>
        <v>11.999999999999998</v>
      </c>
      <c r="AK130" s="23">
        <f t="shared" si="30"/>
        <v>7.2916666666666671E-2</v>
      </c>
      <c r="AL130" s="25">
        <f t="shared" si="31"/>
        <v>71.999999999999986</v>
      </c>
      <c r="AM130" s="25">
        <f t="shared" si="32"/>
        <v>35.499999999999993</v>
      </c>
      <c r="AN130" s="16">
        <f t="shared" si="33"/>
        <v>0.18947368421052627</v>
      </c>
      <c r="AO130" s="38"/>
      <c r="AP130" s="19"/>
      <c r="AQ130" s="34"/>
      <c r="AR130" s="30" t="s">
        <v>254</v>
      </c>
    </row>
    <row r="131" spans="2:44" ht="15" customHeight="1" x14ac:dyDescent="0.3">
      <c r="B131" s="97">
        <v>46039</v>
      </c>
      <c r="C131" s="21">
        <f t="shared" si="1"/>
        <v>1</v>
      </c>
      <c r="D131" s="18" t="s">
        <v>97</v>
      </c>
      <c r="E131" s="14">
        <v>110</v>
      </c>
      <c r="F131" s="14"/>
      <c r="G131" s="14"/>
      <c r="H131" s="14"/>
      <c r="I131" s="14"/>
      <c r="J131" s="14">
        <v>61</v>
      </c>
      <c r="K131" s="14"/>
      <c r="L131" s="14"/>
      <c r="M131" s="14"/>
      <c r="N131" s="14"/>
      <c r="O131" s="14"/>
      <c r="P131" s="14"/>
      <c r="Q131" s="14">
        <v>242</v>
      </c>
      <c r="R131" s="14"/>
      <c r="S131" s="14"/>
      <c r="T131" s="14"/>
      <c r="U131" s="14">
        <v>23</v>
      </c>
      <c r="V131" s="14"/>
      <c r="W131" s="14"/>
      <c r="X131" s="22">
        <f t="shared" si="35"/>
        <v>436</v>
      </c>
      <c r="Y131" s="14"/>
      <c r="Z131" s="31">
        <f>4+1</f>
        <v>5</v>
      </c>
      <c r="AA131" s="23">
        <v>0.79166666666666663</v>
      </c>
      <c r="AB131" s="23">
        <v>0.29166666666666669</v>
      </c>
      <c r="AC131" s="23" cm="1">
        <f t="array" ref="AC131">_xlfn.IFS($AJ131="","",$AJ131&gt;=8,TIME(1,0,0),$AJ131&lt;=5,"")</f>
        <v>4.1666666666666664E-2</v>
      </c>
      <c r="AD131" s="23" t="str">
        <f t="shared" si="27"/>
        <v/>
      </c>
      <c r="AE131" s="23" cm="1">
        <f t="array" ref="AE131">_xlfn.IFS($AA131="","",AND($AJ131&lt;=12,$AJ131&gt;10),TIME(0,35,0),AND($AJ131&lt;=10,$AJ131&gt;5),TIME(0,20,0),$AJ131&gt;12,TIME(0,20,0),AND(AJ131&gt;3,$AJ131&lt;=5),TIME(0,10,0),$AJ131&lt;3,"")</f>
        <v>2.4305555555555556E-2</v>
      </c>
      <c r="AF131" s="23">
        <f t="shared" si="28"/>
        <v>6.9444444444444441E-3</v>
      </c>
      <c r="AG131" s="23">
        <v>9.375E-2</v>
      </c>
      <c r="AH131" s="30"/>
      <c r="AI131" s="23">
        <v>8.3333333333333329E-2</v>
      </c>
      <c r="AJ131" s="24">
        <f t="shared" si="29"/>
        <v>12</v>
      </c>
      <c r="AK131" s="23">
        <f t="shared" si="30"/>
        <v>7.2916666666666671E-2</v>
      </c>
      <c r="AL131" s="25">
        <f t="shared" si="31"/>
        <v>60</v>
      </c>
      <c r="AM131" s="25">
        <f t="shared" si="32"/>
        <v>40</v>
      </c>
      <c r="AN131" s="16">
        <f t="shared" si="33"/>
        <v>0.13761467889908258</v>
      </c>
      <c r="AO131" s="38"/>
      <c r="AP131" s="19"/>
      <c r="AQ131" s="34"/>
      <c r="AR131" s="30" t="s">
        <v>255</v>
      </c>
    </row>
    <row r="132" spans="2:44" ht="15" customHeight="1" x14ac:dyDescent="0.3">
      <c r="B132" s="97">
        <v>46039</v>
      </c>
      <c r="C132" s="21">
        <f t="shared" si="1"/>
        <v>1</v>
      </c>
      <c r="D132" s="18" t="s">
        <v>98</v>
      </c>
      <c r="E132" s="14">
        <v>83</v>
      </c>
      <c r="F132" s="14"/>
      <c r="G132" s="14"/>
      <c r="H132" s="14"/>
      <c r="I132" s="14">
        <v>10</v>
      </c>
      <c r="J132" s="14">
        <v>38</v>
      </c>
      <c r="K132" s="14"/>
      <c r="L132" s="14"/>
      <c r="M132" s="14"/>
      <c r="N132" s="14"/>
      <c r="O132" s="14"/>
      <c r="P132" s="14"/>
      <c r="Q132" s="14">
        <v>108</v>
      </c>
      <c r="R132" s="14"/>
      <c r="S132" s="14"/>
      <c r="T132" s="14"/>
      <c r="U132" s="14">
        <v>102</v>
      </c>
      <c r="V132" s="14"/>
      <c r="W132" s="14"/>
      <c r="X132" s="22">
        <f t="shared" si="35"/>
        <v>341</v>
      </c>
      <c r="Y132" s="14"/>
      <c r="Z132" s="31">
        <f>18+8+10</f>
        <v>36</v>
      </c>
      <c r="AA132" s="23">
        <v>0.29166666666666669</v>
      </c>
      <c r="AB132" s="23">
        <v>0.79166666666666663</v>
      </c>
      <c r="AC132" s="23" cm="1">
        <f t="array" ref="AC132">_xlfn.IFS($AJ132="","",$AJ132&gt;=8,TIME(1,0,0),$AJ132&lt;=5,"")</f>
        <v>4.1666666666666664E-2</v>
      </c>
      <c r="AD132" s="23" t="str">
        <f t="shared" si="27"/>
        <v/>
      </c>
      <c r="AE132" s="23" cm="1">
        <f t="array" ref="AE132">_xlfn.IFS($AA132="","",AND($AJ132&lt;=12,$AJ132&gt;10),TIME(0,35,0),AND($AJ132&lt;=10,$AJ132&gt;5),TIME(0,20,0),$AJ132&gt;12,TIME(0,20,0),AND(AJ132&gt;3,$AJ132&lt;=5),TIME(0,10,0),$AJ132&lt;3,"")</f>
        <v>2.4305555555555556E-2</v>
      </c>
      <c r="AF132" s="23">
        <f t="shared" si="28"/>
        <v>6.9444444444444441E-3</v>
      </c>
      <c r="AG132" s="23">
        <v>0.16666666666666666</v>
      </c>
      <c r="AH132" s="30"/>
      <c r="AI132" s="30"/>
      <c r="AJ132" s="24">
        <f t="shared" si="29"/>
        <v>11.999999999999998</v>
      </c>
      <c r="AK132" s="23">
        <f t="shared" si="30"/>
        <v>7.2916666666666671E-2</v>
      </c>
      <c r="AL132" s="25">
        <f t="shared" si="31"/>
        <v>431.99999999999994</v>
      </c>
      <c r="AM132" s="25">
        <f t="shared" si="32"/>
        <v>224.99999999999994</v>
      </c>
      <c r="AN132" s="16">
        <f t="shared" si="33"/>
        <v>1.2668621700879763</v>
      </c>
      <c r="AO132" s="38"/>
      <c r="AP132" s="19"/>
      <c r="AQ132" s="34"/>
      <c r="AR132" s="30" t="s">
        <v>256</v>
      </c>
    </row>
    <row r="133" spans="2:44" ht="15" customHeight="1" x14ac:dyDescent="0.3">
      <c r="B133" s="97">
        <v>46039</v>
      </c>
      <c r="C133" s="21">
        <f t="shared" si="1"/>
        <v>1</v>
      </c>
      <c r="D133" s="18" t="s">
        <v>98</v>
      </c>
      <c r="E133" s="14">
        <v>100</v>
      </c>
      <c r="F133" s="14"/>
      <c r="G133" s="14"/>
      <c r="H133" s="14"/>
      <c r="I133" s="14">
        <v>16</v>
      </c>
      <c r="J133" s="14">
        <v>42</v>
      </c>
      <c r="K133" s="14"/>
      <c r="L133" s="14"/>
      <c r="M133" s="14"/>
      <c r="N133" s="14"/>
      <c r="O133" s="14"/>
      <c r="P133" s="14"/>
      <c r="Q133" s="14">
        <v>209</v>
      </c>
      <c r="R133" s="14"/>
      <c r="S133" s="14"/>
      <c r="T133" s="14"/>
      <c r="U133" s="14">
        <v>4</v>
      </c>
      <c r="V133" s="14"/>
      <c r="W133" s="14"/>
      <c r="X133" s="22">
        <f t="shared" si="35"/>
        <v>371</v>
      </c>
      <c r="Y133" s="14"/>
      <c r="Z133" s="31">
        <f>16+2+15+2</f>
        <v>35</v>
      </c>
      <c r="AA133" s="23">
        <v>0.79166666666666663</v>
      </c>
      <c r="AB133" s="23">
        <v>0.29166666666666669</v>
      </c>
      <c r="AC133" s="23" cm="1">
        <f t="array" ref="AC133">_xlfn.IFS($AJ133="","",$AJ133&gt;=8,TIME(1,0,0),$AJ133&lt;=5,"")</f>
        <v>4.1666666666666664E-2</v>
      </c>
      <c r="AD133" s="23" t="str">
        <f t="shared" si="27"/>
        <v/>
      </c>
      <c r="AE133" s="23" cm="1">
        <f t="array" ref="AE133">_xlfn.IFS($AA133="","",AND($AJ133&lt;=12,$AJ133&gt;10),TIME(0,35,0),AND($AJ133&lt;=10,$AJ133&gt;5),TIME(0,20,0),$AJ133&gt;12,TIME(0,20,0),AND(AJ133&gt;3,$AJ133&lt;=5),TIME(0,10,0),$AJ133&lt;3,"")</f>
        <v>2.4305555555555556E-2</v>
      </c>
      <c r="AF133" s="23">
        <f t="shared" si="28"/>
        <v>6.9444444444444441E-3</v>
      </c>
      <c r="AG133" s="23">
        <v>6.5972222222222224E-2</v>
      </c>
      <c r="AH133" s="30"/>
      <c r="AI133" s="30"/>
      <c r="AJ133" s="24">
        <f t="shared" si="29"/>
        <v>12</v>
      </c>
      <c r="AK133" s="23">
        <f t="shared" si="30"/>
        <v>7.2916666666666671E-2</v>
      </c>
      <c r="AL133" s="25">
        <f t="shared" si="31"/>
        <v>420</v>
      </c>
      <c r="AM133" s="25">
        <f t="shared" si="32"/>
        <v>303.33333333333331</v>
      </c>
      <c r="AN133" s="16">
        <f t="shared" si="33"/>
        <v>1.1320754716981132</v>
      </c>
      <c r="AO133" s="38"/>
      <c r="AP133" s="19"/>
      <c r="AQ133" s="34"/>
      <c r="AR133" s="30" t="s">
        <v>257</v>
      </c>
    </row>
    <row r="134" spans="2:44" ht="15" customHeight="1" x14ac:dyDescent="0.3">
      <c r="B134" s="97">
        <v>46039</v>
      </c>
      <c r="C134" s="21">
        <f t="shared" si="1"/>
        <v>1</v>
      </c>
      <c r="D134" s="18" t="s">
        <v>99</v>
      </c>
      <c r="E134" s="14">
        <v>50</v>
      </c>
      <c r="F134" s="14"/>
      <c r="G134" s="14"/>
      <c r="H134" s="14"/>
      <c r="I134" s="14">
        <v>28</v>
      </c>
      <c r="J134" s="14">
        <v>18</v>
      </c>
      <c r="K134" s="14"/>
      <c r="L134" s="14"/>
      <c r="M134" s="14"/>
      <c r="N134" s="14"/>
      <c r="O134" s="14"/>
      <c r="P134" s="14"/>
      <c r="Q134" s="14">
        <f>160+16</f>
        <v>176</v>
      </c>
      <c r="R134" s="14"/>
      <c r="S134" s="14"/>
      <c r="T134" s="14"/>
      <c r="U134" s="14"/>
      <c r="V134" s="14"/>
      <c r="W134" s="14"/>
      <c r="X134" s="22">
        <f t="shared" si="35"/>
        <v>272</v>
      </c>
      <c r="Y134" s="14"/>
      <c r="Z134" s="31">
        <f>15+5+11</f>
        <v>31</v>
      </c>
      <c r="AA134" s="23">
        <v>0.29166666666666669</v>
      </c>
      <c r="AB134" s="23">
        <v>0.79166666666666663</v>
      </c>
      <c r="AC134" s="23" cm="1">
        <f t="array" ref="AC134">_xlfn.IFS($AJ134="","",$AJ134&gt;=8,TIME(1,0,0),$AJ134&lt;=5,"")</f>
        <v>4.1666666666666664E-2</v>
      </c>
      <c r="AD134" s="23" t="str">
        <f t="shared" si="27"/>
        <v/>
      </c>
      <c r="AE134" s="23" cm="1">
        <f t="array" ref="AE134">_xlfn.IFS($AA134="","",AND($AJ134&lt;=12,$AJ134&gt;10),TIME(0,35,0),AND($AJ134&lt;=10,$AJ134&gt;5),TIME(0,20,0),$AJ134&gt;12,TIME(0,20,0),AND(AJ134&gt;3,$AJ134&lt;=5),TIME(0,10,0),$AJ134&lt;3,"")</f>
        <v>2.4305555555555556E-2</v>
      </c>
      <c r="AF134" s="23">
        <f t="shared" si="28"/>
        <v>6.9444444444444441E-3</v>
      </c>
      <c r="AG134" s="23">
        <v>0.10416666666666667</v>
      </c>
      <c r="AH134" s="30"/>
      <c r="AI134" s="30"/>
      <c r="AJ134" s="24">
        <f t="shared" si="29"/>
        <v>11.999999999999998</v>
      </c>
      <c r="AK134" s="23">
        <f t="shared" si="30"/>
        <v>7.2916666666666671E-2</v>
      </c>
      <c r="AL134" s="25">
        <f t="shared" si="31"/>
        <v>371.99999999999994</v>
      </c>
      <c r="AM134" s="25">
        <f t="shared" si="32"/>
        <v>240.24999999999994</v>
      </c>
      <c r="AN134" s="16">
        <f t="shared" si="33"/>
        <v>1.3676470588235292</v>
      </c>
      <c r="AO134" s="38"/>
      <c r="AP134" s="19"/>
      <c r="AQ134" s="34"/>
      <c r="AR134" s="30" t="s">
        <v>258</v>
      </c>
    </row>
    <row r="135" spans="2:44" ht="15" customHeight="1" x14ac:dyDescent="0.3">
      <c r="B135" s="97">
        <v>46039</v>
      </c>
      <c r="C135" s="21">
        <f t="shared" si="1"/>
        <v>1</v>
      </c>
      <c r="D135" s="18" t="s">
        <v>99</v>
      </c>
      <c r="E135" s="14">
        <v>144</v>
      </c>
      <c r="F135" s="14">
        <v>1</v>
      </c>
      <c r="G135" s="14"/>
      <c r="H135" s="14"/>
      <c r="I135" s="14">
        <v>9</v>
      </c>
      <c r="J135" s="14">
        <v>59</v>
      </c>
      <c r="K135" s="14"/>
      <c r="L135" s="14"/>
      <c r="M135" s="14"/>
      <c r="N135" s="14"/>
      <c r="O135" s="14"/>
      <c r="P135" s="14"/>
      <c r="Q135" s="14">
        <f>59+161+3</f>
        <v>223</v>
      </c>
      <c r="R135" s="14"/>
      <c r="S135" s="14"/>
      <c r="T135" s="14"/>
      <c r="U135" s="14">
        <v>98</v>
      </c>
      <c r="V135" s="14"/>
      <c r="W135" s="14"/>
      <c r="X135" s="22">
        <f t="shared" si="35"/>
        <v>534</v>
      </c>
      <c r="Y135" s="14"/>
      <c r="Z135" s="31">
        <f>18+8+9</f>
        <v>35</v>
      </c>
      <c r="AA135" s="23">
        <v>0.79166666666666663</v>
      </c>
      <c r="AB135" s="23">
        <v>0.29166666666666669</v>
      </c>
      <c r="AC135" s="23" cm="1">
        <f t="array" ref="AC135">_xlfn.IFS($AJ135="","",$AJ135&gt;=8,TIME(1,0,0),$AJ135&lt;=5,"")</f>
        <v>4.1666666666666664E-2</v>
      </c>
      <c r="AD135" s="23" t="str">
        <f t="shared" si="27"/>
        <v/>
      </c>
      <c r="AE135" s="23" cm="1">
        <f t="array" ref="AE135">_xlfn.IFS($AA135="","",AND($AJ135&lt;=12,$AJ135&gt;10),TIME(0,35,0),AND($AJ135&lt;=10,$AJ135&gt;5),TIME(0,20,0),$AJ135&gt;12,TIME(0,20,0),AND(AJ135&gt;3,$AJ135&lt;=5),TIME(0,10,0),$AJ135&lt;3,"")</f>
        <v>2.4305555555555556E-2</v>
      </c>
      <c r="AF135" s="23">
        <f t="shared" si="28"/>
        <v>6.9444444444444441E-3</v>
      </c>
      <c r="AG135" s="23">
        <v>9.375E-2</v>
      </c>
      <c r="AH135" s="30"/>
      <c r="AI135" s="30"/>
      <c r="AJ135" s="24">
        <f t="shared" si="29"/>
        <v>12</v>
      </c>
      <c r="AK135" s="23">
        <f t="shared" si="30"/>
        <v>7.2916666666666671E-2</v>
      </c>
      <c r="AL135" s="25">
        <f t="shared" si="31"/>
        <v>420</v>
      </c>
      <c r="AM135" s="25">
        <f t="shared" si="32"/>
        <v>280</v>
      </c>
      <c r="AN135" s="16">
        <f t="shared" si="33"/>
        <v>0.7865168539325843</v>
      </c>
      <c r="AO135" s="16">
        <f>IF(COUNTIF(B128:B135,B128)=8,1/SUM(AN128:AN135),"")</f>
        <v>0.14055912752870967</v>
      </c>
      <c r="AP135" s="19"/>
      <c r="AQ135" s="34"/>
      <c r="AR135" s="30" t="s">
        <v>259</v>
      </c>
    </row>
    <row r="136" spans="2:44" ht="15" customHeight="1" x14ac:dyDescent="0.3">
      <c r="B136" s="98">
        <v>46040</v>
      </c>
      <c r="C136" s="21">
        <f t="shared" si="1"/>
        <v>1</v>
      </c>
      <c r="D136" s="36" t="s">
        <v>96</v>
      </c>
      <c r="E136" s="14">
        <v>53</v>
      </c>
      <c r="F136" s="14"/>
      <c r="G136" s="14"/>
      <c r="H136" s="14"/>
      <c r="I136" s="14"/>
      <c r="J136" s="14">
        <v>155</v>
      </c>
      <c r="K136" s="14"/>
      <c r="L136" s="14"/>
      <c r="M136" s="14"/>
      <c r="N136" s="14"/>
      <c r="O136" s="14"/>
      <c r="P136" s="14"/>
      <c r="Q136" s="14">
        <v>114</v>
      </c>
      <c r="R136" s="14"/>
      <c r="S136" s="14"/>
      <c r="T136" s="14"/>
      <c r="U136" s="14"/>
      <c r="V136" s="14"/>
      <c r="W136" s="14"/>
      <c r="X136" s="22">
        <f t="shared" si="35"/>
        <v>322</v>
      </c>
      <c r="Y136" s="14"/>
      <c r="Z136" s="31">
        <f>27+6</f>
        <v>33</v>
      </c>
      <c r="AA136" s="23">
        <v>0.29166666666666669</v>
      </c>
      <c r="AB136" s="23">
        <v>0.70833333333333337</v>
      </c>
      <c r="AC136" s="23" cm="1">
        <f t="array" ref="AC136">_xlfn.IFS($AJ136="","",$AJ136&gt;=8,TIME(1,0,0),$AJ136&lt;=5,"")</f>
        <v>4.1666666666666664E-2</v>
      </c>
      <c r="AD136" s="23" t="str">
        <f t="shared" si="27"/>
        <v/>
      </c>
      <c r="AE136" s="23" cm="1">
        <f t="array" ref="AE136">_xlfn.IFS($AA136="","",AND($AJ136&lt;=12,$AJ136&gt;10),TIME(0,35,0),AND($AJ136&lt;=10,$AJ136&gt;5),TIME(0,20,0),$AJ136&gt;12,TIME(0,20,0),AND(AJ136&gt;3,$AJ136&lt;=5),TIME(0,10,0),$AJ136&lt;3,"")</f>
        <v>1.3888888888888888E-2</v>
      </c>
      <c r="AF136" s="23">
        <f t="shared" si="28"/>
        <v>6.9444444444444441E-3</v>
      </c>
      <c r="AG136" s="23"/>
      <c r="AH136" s="30"/>
      <c r="AI136" s="30"/>
      <c r="AJ136" s="24">
        <f t="shared" si="29"/>
        <v>10</v>
      </c>
      <c r="AK136" s="23">
        <f t="shared" si="30"/>
        <v>6.25E-2</v>
      </c>
      <c r="AL136" s="25">
        <f t="shared" si="31"/>
        <v>330</v>
      </c>
      <c r="AM136" s="25">
        <f t="shared" si="32"/>
        <v>280.5</v>
      </c>
      <c r="AN136" s="16">
        <f t="shared" si="33"/>
        <v>1.0248447204968945</v>
      </c>
      <c r="AO136" s="38"/>
      <c r="AP136" s="19"/>
      <c r="AQ136" s="34"/>
      <c r="AR136" s="30"/>
    </row>
    <row r="137" spans="2:44" ht="15" customHeight="1" x14ac:dyDescent="0.3">
      <c r="B137" s="98">
        <v>46040</v>
      </c>
      <c r="C137" s="21">
        <f t="shared" si="1"/>
        <v>1</v>
      </c>
      <c r="D137" s="18" t="s">
        <v>97</v>
      </c>
      <c r="E137" s="14">
        <v>113</v>
      </c>
      <c r="F137" s="14"/>
      <c r="G137" s="14"/>
      <c r="H137" s="14"/>
      <c r="I137" s="14"/>
      <c r="J137" s="14">
        <v>39</v>
      </c>
      <c r="K137" s="14"/>
      <c r="L137" s="14"/>
      <c r="M137" s="14"/>
      <c r="N137" s="14"/>
      <c r="O137" s="14"/>
      <c r="P137" s="14"/>
      <c r="Q137" s="14">
        <v>169</v>
      </c>
      <c r="R137" s="14"/>
      <c r="S137" s="14"/>
      <c r="T137" s="14"/>
      <c r="U137" s="14">
        <v>43</v>
      </c>
      <c r="V137" s="14"/>
      <c r="W137" s="14"/>
      <c r="X137" s="22">
        <f t="shared" si="35"/>
        <v>364</v>
      </c>
      <c r="Y137" s="14"/>
      <c r="Z137" s="31">
        <f>4+2</f>
        <v>6</v>
      </c>
      <c r="AA137" s="23">
        <v>0.29166666666666669</v>
      </c>
      <c r="AB137" s="23">
        <v>0.70833333333333337</v>
      </c>
      <c r="AC137" s="23" cm="1">
        <f t="array" ref="AC137">_xlfn.IFS($AJ137="","",$AJ137&gt;=8,TIME(1,0,0),$AJ137&lt;=5,"")</f>
        <v>4.1666666666666664E-2</v>
      </c>
      <c r="AD137" s="23" t="str">
        <f t="shared" si="27"/>
        <v/>
      </c>
      <c r="AE137" s="23" cm="1">
        <f t="array" ref="AE137">_xlfn.IFS($AA137="","",AND($AJ137&lt;=12,$AJ137&gt;10),TIME(0,35,0),AND($AJ137&lt;=10,$AJ137&gt;5),TIME(0,20,0),$AJ137&gt;12,TIME(0,20,0),AND(AJ137&gt;3,$AJ137&lt;=5),TIME(0,10,0),$AJ137&lt;3,"")</f>
        <v>1.3888888888888888E-2</v>
      </c>
      <c r="AF137" s="23">
        <f t="shared" si="28"/>
        <v>6.9444444444444441E-3</v>
      </c>
      <c r="AG137" s="23">
        <v>9.0277777777777776E-2</v>
      </c>
      <c r="AH137" s="30"/>
      <c r="AI137" s="23">
        <v>4.1666666666666664E-2</v>
      </c>
      <c r="AJ137" s="24">
        <f t="shared" si="29"/>
        <v>10</v>
      </c>
      <c r="AK137" s="23">
        <f t="shared" si="30"/>
        <v>6.25E-2</v>
      </c>
      <c r="AL137" s="25">
        <f t="shared" si="31"/>
        <v>60</v>
      </c>
      <c r="AM137" s="25">
        <f t="shared" si="32"/>
        <v>38</v>
      </c>
      <c r="AN137" s="16">
        <f t="shared" si="33"/>
        <v>0.16483516483516483</v>
      </c>
      <c r="AO137" s="38"/>
      <c r="AP137" s="19"/>
      <c r="AQ137" s="34"/>
      <c r="AR137" s="30" t="s">
        <v>260</v>
      </c>
    </row>
    <row r="138" spans="2:44" ht="15" customHeight="1" x14ac:dyDescent="0.3">
      <c r="B138" s="98">
        <v>46040</v>
      </c>
      <c r="C138" s="21">
        <f t="shared" si="1"/>
        <v>1</v>
      </c>
      <c r="D138" s="18" t="s">
        <v>98</v>
      </c>
      <c r="E138" s="14">
        <v>115</v>
      </c>
      <c r="F138" s="14"/>
      <c r="G138" s="14"/>
      <c r="H138" s="14"/>
      <c r="I138" s="14">
        <v>14</v>
      </c>
      <c r="J138" s="14">
        <v>28</v>
      </c>
      <c r="K138" s="14"/>
      <c r="L138" s="14"/>
      <c r="M138" s="14"/>
      <c r="N138" s="14"/>
      <c r="O138" s="14"/>
      <c r="P138" s="14"/>
      <c r="Q138" s="14">
        <v>143</v>
      </c>
      <c r="R138" s="14"/>
      <c r="S138" s="14"/>
      <c r="T138" s="14"/>
      <c r="U138" s="14">
        <v>64</v>
      </c>
      <c r="V138" s="14"/>
      <c r="W138" s="14"/>
      <c r="X138" s="22">
        <f t="shared" si="35"/>
        <v>364</v>
      </c>
      <c r="Y138" s="14"/>
      <c r="Z138" s="31">
        <f>24+10+4</f>
        <v>38</v>
      </c>
      <c r="AA138" s="23">
        <v>0.29166666666666669</v>
      </c>
      <c r="AB138" s="23">
        <v>0.70833333333333337</v>
      </c>
      <c r="AC138" s="23" cm="1">
        <f t="array" ref="AC138">_xlfn.IFS($AJ138="","",$AJ138&gt;=8,TIME(1,0,0),$AJ138&lt;=5,"")</f>
        <v>4.1666666666666664E-2</v>
      </c>
      <c r="AD138" s="23" t="str">
        <f t="shared" si="27"/>
        <v/>
      </c>
      <c r="AE138" s="23" cm="1">
        <f t="array" ref="AE138">_xlfn.IFS($AA138="","",AND($AJ138&lt;=12,$AJ138&gt;10),TIME(0,35,0),AND($AJ138&lt;=10,$AJ138&gt;5),TIME(0,20,0),$AJ138&gt;12,TIME(0,20,0),AND(AJ138&gt;3,$AJ138&lt;=5),TIME(0,10,0),$AJ138&lt;3,"")</f>
        <v>1.3888888888888888E-2</v>
      </c>
      <c r="AF138" s="23">
        <f t="shared" si="28"/>
        <v>6.9444444444444441E-3</v>
      </c>
      <c r="AG138" s="23"/>
      <c r="AH138" s="30"/>
      <c r="AI138" s="30"/>
      <c r="AJ138" s="24">
        <f t="shared" si="29"/>
        <v>10</v>
      </c>
      <c r="AK138" s="23">
        <f t="shared" si="30"/>
        <v>6.25E-2</v>
      </c>
      <c r="AL138" s="25">
        <f t="shared" si="31"/>
        <v>380</v>
      </c>
      <c r="AM138" s="25">
        <f t="shared" si="32"/>
        <v>323</v>
      </c>
      <c r="AN138" s="16">
        <f t="shared" si="33"/>
        <v>1.043956043956044</v>
      </c>
      <c r="AO138" s="38"/>
      <c r="AP138" s="19"/>
      <c r="AQ138" s="34"/>
      <c r="AR138" s="30"/>
    </row>
    <row r="139" spans="2:44" ht="15" customHeight="1" x14ac:dyDescent="0.3">
      <c r="B139" s="98">
        <v>46040</v>
      </c>
      <c r="C139" s="21">
        <f t="shared" si="1"/>
        <v>1</v>
      </c>
      <c r="D139" s="18" t="s">
        <v>99</v>
      </c>
      <c r="E139" s="14">
        <v>84</v>
      </c>
      <c r="F139" s="14">
        <v>3</v>
      </c>
      <c r="G139" s="14"/>
      <c r="H139" s="14"/>
      <c r="I139" s="14">
        <v>14</v>
      </c>
      <c r="J139" s="14">
        <v>30</v>
      </c>
      <c r="K139" s="14">
        <v>2</v>
      </c>
      <c r="L139" s="14"/>
      <c r="M139" s="14"/>
      <c r="N139" s="14"/>
      <c r="O139" s="14"/>
      <c r="P139" s="14"/>
      <c r="Q139" s="14">
        <f>30+111+41+42</f>
        <v>224</v>
      </c>
      <c r="R139" s="14"/>
      <c r="S139" s="14"/>
      <c r="T139" s="14"/>
      <c r="U139" s="14">
        <v>6</v>
      </c>
      <c r="V139" s="14">
        <v>2</v>
      </c>
      <c r="W139" s="14"/>
      <c r="X139" s="22">
        <f t="shared" si="35"/>
        <v>365</v>
      </c>
      <c r="Y139" s="14"/>
      <c r="Z139" s="31">
        <f>16+3+2+13</f>
        <v>34</v>
      </c>
      <c r="AA139" s="23">
        <v>0.29166666666666669</v>
      </c>
      <c r="AB139" s="23">
        <v>0.70833333333333337</v>
      </c>
      <c r="AC139" s="23" cm="1">
        <f t="array" ref="AC139">_xlfn.IFS($AJ139="","",$AJ139&gt;=8,TIME(1,0,0),$AJ139&lt;=5,"")</f>
        <v>4.1666666666666664E-2</v>
      </c>
      <c r="AD139" s="23" t="str">
        <f t="shared" si="27"/>
        <v/>
      </c>
      <c r="AE139" s="23" cm="1">
        <f t="array" ref="AE139">_xlfn.IFS($AA139="","",AND($AJ139&lt;=12,$AJ139&gt;10),TIME(0,35,0),AND($AJ139&lt;=10,$AJ139&gt;5),TIME(0,20,0),$AJ139&gt;12,TIME(0,20,0),AND(AJ139&gt;3,$AJ139&lt;=5),TIME(0,10,0),$AJ139&lt;3,"")</f>
        <v>1.3888888888888888E-2</v>
      </c>
      <c r="AF139" s="23">
        <f t="shared" si="28"/>
        <v>6.9444444444444441E-3</v>
      </c>
      <c r="AG139" s="23"/>
      <c r="AH139" s="30"/>
      <c r="AI139" s="30"/>
      <c r="AJ139" s="24">
        <f t="shared" si="29"/>
        <v>10</v>
      </c>
      <c r="AK139" s="23">
        <f t="shared" si="30"/>
        <v>6.25E-2</v>
      </c>
      <c r="AL139" s="25">
        <f t="shared" si="31"/>
        <v>340</v>
      </c>
      <c r="AM139" s="25">
        <f t="shared" si="32"/>
        <v>289</v>
      </c>
      <c r="AN139" s="16">
        <f t="shared" si="33"/>
        <v>0.93150684931506844</v>
      </c>
      <c r="AO139" s="16">
        <f>IF(COUNTIF(B136:B139,B136)=4,1/SUM(AN136:AN139),"")</f>
        <v>0.31594151352670291</v>
      </c>
      <c r="AP139" s="19"/>
      <c r="AQ139" s="34"/>
      <c r="AR139" s="30"/>
    </row>
    <row r="140" spans="2:44" ht="15" customHeight="1" x14ac:dyDescent="0.3">
      <c r="B140" s="97">
        <v>46041</v>
      </c>
      <c r="C140" s="21">
        <f t="shared" si="1"/>
        <v>1</v>
      </c>
      <c r="D140" s="36" t="s">
        <v>96</v>
      </c>
      <c r="E140" s="14">
        <v>337</v>
      </c>
      <c r="F140" s="14"/>
      <c r="G140" s="14"/>
      <c r="H140" s="14"/>
      <c r="I140" s="14"/>
      <c r="J140" s="14">
        <v>53</v>
      </c>
      <c r="K140" s="14"/>
      <c r="L140" s="14"/>
      <c r="M140" s="14"/>
      <c r="N140" s="14"/>
      <c r="O140" s="14"/>
      <c r="P140" s="14"/>
      <c r="Q140" s="14">
        <v>277</v>
      </c>
      <c r="R140" s="14"/>
      <c r="S140" s="14"/>
      <c r="T140" s="14"/>
      <c r="U140" s="14">
        <v>58</v>
      </c>
      <c r="V140" s="14"/>
      <c r="W140" s="14"/>
      <c r="X140" s="22">
        <f t="shared" si="35"/>
        <v>725</v>
      </c>
      <c r="Y140" s="14"/>
      <c r="Z140" s="31">
        <f>16+1+10+16+1+11</f>
        <v>55</v>
      </c>
      <c r="AA140" s="23">
        <v>0.29166666666666669</v>
      </c>
      <c r="AB140" s="23">
        <v>0.79166666666666663</v>
      </c>
      <c r="AC140" s="23" cm="1">
        <f t="array" ref="AC140">_xlfn.IFS($AJ140="","",$AJ140&gt;=8,TIME(1,0,0),$AJ140&lt;=5,"")</f>
        <v>4.1666666666666664E-2</v>
      </c>
      <c r="AD140" s="23" t="str">
        <f t="shared" si="27"/>
        <v/>
      </c>
      <c r="AE140" s="23" cm="1">
        <f t="array" ref="AE140">_xlfn.IFS($AA140="","",AND($AJ140&lt;=12,$AJ140&gt;10),TIME(0,35,0),AND($AJ140&lt;=10,$AJ140&gt;5),TIME(0,20,0),$AJ140&gt;12,TIME(0,20,0),AND(AJ140&gt;3,$AJ140&lt;=5),TIME(0,10,0),$AJ140&lt;3,"")</f>
        <v>2.4305555555555556E-2</v>
      </c>
      <c r="AF140" s="23">
        <f t="shared" si="28"/>
        <v>6.9444444444444441E-3</v>
      </c>
      <c r="AG140" s="23"/>
      <c r="AH140" s="30"/>
      <c r="AI140" s="30"/>
      <c r="AJ140" s="24">
        <f t="shared" si="29"/>
        <v>11.999999999999998</v>
      </c>
      <c r="AK140" s="23">
        <f t="shared" si="30"/>
        <v>7.2916666666666671E-2</v>
      </c>
      <c r="AL140" s="25">
        <f t="shared" si="31"/>
        <v>659.99999999999989</v>
      </c>
      <c r="AM140" s="25">
        <f t="shared" si="32"/>
        <v>563.74999999999989</v>
      </c>
      <c r="AN140" s="16">
        <f t="shared" si="33"/>
        <v>0.91034482758620672</v>
      </c>
      <c r="AO140" s="38"/>
      <c r="AP140" s="19"/>
      <c r="AQ140" s="34"/>
      <c r="AR140" s="30"/>
    </row>
    <row r="141" spans="2:44" ht="15" customHeight="1" x14ac:dyDescent="0.3">
      <c r="B141" s="97">
        <v>46041</v>
      </c>
      <c r="C141" s="21">
        <f t="shared" si="1"/>
        <v>1</v>
      </c>
      <c r="D141" s="36" t="s">
        <v>96</v>
      </c>
      <c r="E141" s="14">
        <v>33</v>
      </c>
      <c r="F141" s="14"/>
      <c r="G141" s="14"/>
      <c r="H141" s="14"/>
      <c r="I141" s="14"/>
      <c r="J141" s="14">
        <v>27</v>
      </c>
      <c r="K141" s="14"/>
      <c r="L141" s="14"/>
      <c r="M141" s="14"/>
      <c r="N141" s="14"/>
      <c r="O141" s="14"/>
      <c r="P141" s="14"/>
      <c r="Q141" s="14">
        <v>248</v>
      </c>
      <c r="R141" s="14"/>
      <c r="S141" s="14"/>
      <c r="T141" s="14"/>
      <c r="U141" s="14"/>
      <c r="V141" s="14"/>
      <c r="W141" s="14"/>
      <c r="X141" s="22">
        <f t="shared" si="35"/>
        <v>308</v>
      </c>
      <c r="Y141" s="14"/>
      <c r="Z141" s="31">
        <f>19+12</f>
        <v>31</v>
      </c>
      <c r="AA141" s="23">
        <v>0.79166666666666663</v>
      </c>
      <c r="AB141" s="23">
        <v>0.29166666666666669</v>
      </c>
      <c r="AC141" s="23" cm="1">
        <f t="array" ref="AC141">_xlfn.IFS($AJ141="","",$AJ141&gt;=8,TIME(1,0,0),$AJ141&lt;=5,"")</f>
        <v>4.1666666666666664E-2</v>
      </c>
      <c r="AD141" s="23" t="str">
        <f t="shared" si="27"/>
        <v/>
      </c>
      <c r="AE141" s="23" cm="1">
        <f t="array" ref="AE141">_xlfn.IFS($AA141="","",AND($AJ141&lt;=12,$AJ141&gt;10),TIME(0,35,0),AND($AJ141&lt;=10,$AJ141&gt;5),TIME(0,20,0),$AJ141&gt;12,TIME(0,20,0),AND(AJ141&gt;3,$AJ141&lt;=5),TIME(0,10,0),$AJ141&lt;3,"")</f>
        <v>2.4305555555555556E-2</v>
      </c>
      <c r="AF141" s="23">
        <f t="shared" si="28"/>
        <v>6.9444444444444441E-3</v>
      </c>
      <c r="AG141" s="23"/>
      <c r="AH141" s="30"/>
      <c r="AI141" s="30"/>
      <c r="AJ141" s="24">
        <f t="shared" si="29"/>
        <v>12</v>
      </c>
      <c r="AK141" s="23">
        <f t="shared" si="30"/>
        <v>7.2916666666666671E-2</v>
      </c>
      <c r="AL141" s="25">
        <f t="shared" si="31"/>
        <v>372</v>
      </c>
      <c r="AM141" s="25">
        <f t="shared" si="32"/>
        <v>317.75</v>
      </c>
      <c r="AN141" s="16">
        <f t="shared" si="33"/>
        <v>1.2077922077922079</v>
      </c>
      <c r="AO141" s="38"/>
      <c r="AP141" s="19"/>
      <c r="AQ141" s="34"/>
      <c r="AR141" s="30" t="s">
        <v>261</v>
      </c>
    </row>
    <row r="142" spans="2:44" ht="15" customHeight="1" x14ac:dyDescent="0.3">
      <c r="B142" s="97">
        <v>46041</v>
      </c>
      <c r="C142" s="21">
        <f t="shared" si="1"/>
        <v>1</v>
      </c>
      <c r="D142" s="18" t="s">
        <v>97</v>
      </c>
      <c r="E142" s="14">
        <v>185</v>
      </c>
      <c r="F142" s="14"/>
      <c r="G142" s="14"/>
      <c r="H142" s="14"/>
      <c r="I142" s="14"/>
      <c r="J142" s="14">
        <v>57</v>
      </c>
      <c r="K142" s="14"/>
      <c r="L142" s="14"/>
      <c r="M142" s="14"/>
      <c r="N142" s="14"/>
      <c r="O142" s="14"/>
      <c r="P142" s="14"/>
      <c r="Q142" s="14">
        <v>253</v>
      </c>
      <c r="R142" s="14"/>
      <c r="S142" s="14"/>
      <c r="T142" s="14"/>
      <c r="U142" s="14">
        <v>45</v>
      </c>
      <c r="V142" s="14"/>
      <c r="W142" s="14"/>
      <c r="X142" s="22">
        <f t="shared" si="35"/>
        <v>540</v>
      </c>
      <c r="Y142" s="14"/>
      <c r="Z142" s="31">
        <f>4+2</f>
        <v>6</v>
      </c>
      <c r="AA142" s="23">
        <v>0.29166666666666669</v>
      </c>
      <c r="AB142" s="23">
        <v>0.79166666666666663</v>
      </c>
      <c r="AC142" s="23" cm="1">
        <f t="array" ref="AC142">_xlfn.IFS($AJ142="","",$AJ142&gt;=8,TIME(1,0,0),$AJ142&lt;=5,"")</f>
        <v>4.1666666666666664E-2</v>
      </c>
      <c r="AD142" s="23" t="str">
        <f t="shared" si="27"/>
        <v/>
      </c>
      <c r="AE142" s="23" cm="1">
        <f t="array" ref="AE142">_xlfn.IFS($AA142="","",AND($AJ142&lt;=12,$AJ142&gt;10),TIME(0,35,0),AND($AJ142&lt;=10,$AJ142&gt;5),TIME(0,20,0),$AJ142&gt;12,TIME(0,20,0),AND(AJ142&gt;3,$AJ142&lt;=5),TIME(0,10,0),$AJ142&lt;3,"")</f>
        <v>2.4305555555555556E-2</v>
      </c>
      <c r="AF142" s="23">
        <f t="shared" si="28"/>
        <v>6.9444444444444441E-3</v>
      </c>
      <c r="AG142" s="23">
        <v>0.10416666666666667</v>
      </c>
      <c r="AH142" s="30"/>
      <c r="AI142" s="23">
        <v>0.125</v>
      </c>
      <c r="AJ142" s="24">
        <f t="shared" si="29"/>
        <v>11.999999999999998</v>
      </c>
      <c r="AK142" s="23">
        <f t="shared" si="30"/>
        <v>7.2916666666666671E-2</v>
      </c>
      <c r="AL142" s="25">
        <f t="shared" si="31"/>
        <v>71.999999999999986</v>
      </c>
      <c r="AM142" s="25">
        <f t="shared" si="32"/>
        <v>46.499999999999986</v>
      </c>
      <c r="AN142" s="16">
        <f t="shared" si="33"/>
        <v>0.1333333333333333</v>
      </c>
      <c r="AO142" s="38"/>
      <c r="AP142" s="19"/>
      <c r="AQ142" s="34"/>
      <c r="AR142" s="30" t="s">
        <v>262</v>
      </c>
    </row>
    <row r="143" spans="2:44" ht="15" customHeight="1" x14ac:dyDescent="0.3">
      <c r="B143" s="97">
        <v>46041</v>
      </c>
      <c r="C143" s="21">
        <f t="shared" si="1"/>
        <v>1</v>
      </c>
      <c r="D143" s="18" t="s">
        <v>97</v>
      </c>
      <c r="E143" s="14">
        <v>158</v>
      </c>
      <c r="F143" s="14"/>
      <c r="G143" s="14"/>
      <c r="H143" s="14"/>
      <c r="I143" s="14"/>
      <c r="J143" s="14">
        <v>54</v>
      </c>
      <c r="K143" s="14"/>
      <c r="L143" s="14"/>
      <c r="M143" s="14"/>
      <c r="N143" s="14"/>
      <c r="O143" s="14"/>
      <c r="P143" s="14"/>
      <c r="Q143" s="14">
        <v>232</v>
      </c>
      <c r="R143" s="14"/>
      <c r="S143" s="14"/>
      <c r="T143" s="14"/>
      <c r="U143" s="14">
        <v>23</v>
      </c>
      <c r="V143" s="14"/>
      <c r="W143" s="14"/>
      <c r="X143" s="22">
        <f t="shared" si="35"/>
        <v>467</v>
      </c>
      <c r="Y143" s="14"/>
      <c r="Z143" s="31">
        <f>4+2</f>
        <v>6</v>
      </c>
      <c r="AA143" s="23">
        <v>0.79166666666666663</v>
      </c>
      <c r="AB143" s="23">
        <v>0.29166666666666669</v>
      </c>
      <c r="AC143" s="23" cm="1">
        <f t="array" ref="AC143">_xlfn.IFS($AJ143="","",$AJ143&gt;=8,TIME(1,0,0),$AJ143&lt;=5,"")</f>
        <v>4.1666666666666664E-2</v>
      </c>
      <c r="AD143" s="23" t="str">
        <f t="shared" si="27"/>
        <v/>
      </c>
      <c r="AE143" s="23" cm="1">
        <f t="array" ref="AE143">_xlfn.IFS($AA143="","",AND($AJ143&lt;=12,$AJ143&gt;10),TIME(0,35,0),AND($AJ143&lt;=10,$AJ143&gt;5),TIME(0,20,0),$AJ143&gt;12,TIME(0,20,0),AND(AJ143&gt;3,$AJ143&lt;=5),TIME(0,10,0),$AJ143&lt;3,"")</f>
        <v>2.4305555555555556E-2</v>
      </c>
      <c r="AF143" s="23">
        <f t="shared" si="28"/>
        <v>6.9444444444444441E-3</v>
      </c>
      <c r="AG143" s="23">
        <v>0.13194444444444445</v>
      </c>
      <c r="AH143" s="30"/>
      <c r="AI143" s="23">
        <v>0.20833333333333334</v>
      </c>
      <c r="AJ143" s="24">
        <f t="shared" si="29"/>
        <v>12</v>
      </c>
      <c r="AK143" s="23">
        <f t="shared" si="30"/>
        <v>7.2916666666666671E-2</v>
      </c>
      <c r="AL143" s="25">
        <f t="shared" si="31"/>
        <v>72</v>
      </c>
      <c r="AM143" s="25">
        <f t="shared" si="32"/>
        <v>42.5</v>
      </c>
      <c r="AN143" s="16">
        <f t="shared" si="33"/>
        <v>0.15417558886509636</v>
      </c>
      <c r="AO143" s="38"/>
      <c r="AP143" s="19"/>
      <c r="AQ143" s="34"/>
      <c r="AR143" s="30" t="s">
        <v>263</v>
      </c>
    </row>
    <row r="144" spans="2:44" ht="15" customHeight="1" x14ac:dyDescent="0.3">
      <c r="B144" s="97">
        <v>46041</v>
      </c>
      <c r="C144" s="21">
        <f t="shared" si="1"/>
        <v>1</v>
      </c>
      <c r="D144" s="18" t="s">
        <v>98</v>
      </c>
      <c r="E144" s="14">
        <v>182</v>
      </c>
      <c r="F144" s="14"/>
      <c r="G144" s="14"/>
      <c r="H144" s="14"/>
      <c r="I144" s="14"/>
      <c r="J144" s="14">
        <v>62</v>
      </c>
      <c r="K144" s="14"/>
      <c r="L144" s="14"/>
      <c r="M144" s="14"/>
      <c r="N144" s="14"/>
      <c r="O144" s="14"/>
      <c r="P144" s="14"/>
      <c r="Q144" s="14">
        <f>280+5</f>
        <v>285</v>
      </c>
      <c r="R144" s="14"/>
      <c r="S144" s="14"/>
      <c r="T144" s="14"/>
      <c r="U144" s="14">
        <v>15</v>
      </c>
      <c r="V144" s="14">
        <v>3</v>
      </c>
      <c r="W144" s="14"/>
      <c r="X144" s="22">
        <f t="shared" si="35"/>
        <v>547</v>
      </c>
      <c r="Y144" s="14"/>
      <c r="Z144" s="31">
        <f>17+2+19</f>
        <v>38</v>
      </c>
      <c r="AA144" s="23">
        <v>0.29166666666666669</v>
      </c>
      <c r="AB144" s="23">
        <v>0.79166666666666663</v>
      </c>
      <c r="AC144" s="23" cm="1">
        <f t="array" ref="AC144">_xlfn.IFS($AJ144="","",$AJ144&gt;=8,TIME(1,0,0),$AJ144&lt;=5,"")</f>
        <v>4.1666666666666664E-2</v>
      </c>
      <c r="AD144" s="23" t="str">
        <f t="shared" si="27"/>
        <v/>
      </c>
      <c r="AE144" s="23" cm="1">
        <f t="array" ref="AE144">_xlfn.IFS($AA144="","",AND($AJ144&lt;=12,$AJ144&gt;10),TIME(0,35,0),AND($AJ144&lt;=10,$AJ144&gt;5),TIME(0,20,0),$AJ144&gt;12,TIME(0,20,0),AND(AJ144&gt;3,$AJ144&lt;=5),TIME(0,10,0),$AJ144&lt;3,"")</f>
        <v>2.4305555555555556E-2</v>
      </c>
      <c r="AF144" s="23">
        <f t="shared" si="28"/>
        <v>6.9444444444444441E-3</v>
      </c>
      <c r="AG144" s="23">
        <v>6.25E-2</v>
      </c>
      <c r="AH144" s="30"/>
      <c r="AI144" s="30"/>
      <c r="AJ144" s="24">
        <f t="shared" si="29"/>
        <v>11.999999999999998</v>
      </c>
      <c r="AK144" s="23">
        <f t="shared" si="30"/>
        <v>7.2916666666666671E-2</v>
      </c>
      <c r="AL144" s="25">
        <f t="shared" si="31"/>
        <v>455.99999999999994</v>
      </c>
      <c r="AM144" s="25">
        <f t="shared" si="32"/>
        <v>332.49999999999994</v>
      </c>
      <c r="AN144" s="16">
        <f t="shared" si="33"/>
        <v>0.83363802559414979</v>
      </c>
      <c r="AO144" s="38"/>
      <c r="AP144" s="19"/>
      <c r="AQ144" s="34"/>
      <c r="AR144" s="30" t="s">
        <v>264</v>
      </c>
    </row>
    <row r="145" spans="2:44" ht="15" customHeight="1" x14ac:dyDescent="0.3">
      <c r="B145" s="97">
        <v>46041</v>
      </c>
      <c r="C145" s="21">
        <f t="shared" si="1"/>
        <v>1</v>
      </c>
      <c r="D145" s="18" t="s">
        <v>98</v>
      </c>
      <c r="E145" s="14">
        <v>153</v>
      </c>
      <c r="F145" s="14"/>
      <c r="G145" s="14"/>
      <c r="H145" s="14"/>
      <c r="I145" s="14"/>
      <c r="J145" s="14">
        <v>54</v>
      </c>
      <c r="K145" s="14"/>
      <c r="L145" s="14"/>
      <c r="M145" s="14"/>
      <c r="N145" s="14"/>
      <c r="O145" s="14"/>
      <c r="P145" s="14"/>
      <c r="Q145" s="14">
        <f>170+13</f>
        <v>183</v>
      </c>
      <c r="R145" s="14"/>
      <c r="S145" s="14"/>
      <c r="T145" s="14">
        <v>3</v>
      </c>
      <c r="U145" s="14">
        <v>81</v>
      </c>
      <c r="V145" s="14"/>
      <c r="W145" s="14"/>
      <c r="X145" s="22">
        <f t="shared" si="35"/>
        <v>474</v>
      </c>
      <c r="Y145" s="14"/>
      <c r="Z145" s="31">
        <f>16+7+10</f>
        <v>33</v>
      </c>
      <c r="AA145" s="23">
        <v>0.79166666666666663</v>
      </c>
      <c r="AB145" s="23">
        <v>0.29166666666666669</v>
      </c>
      <c r="AC145" s="23" cm="1">
        <f t="array" ref="AC145">_xlfn.IFS($AJ145="","",$AJ145&gt;=8,TIME(1,0,0),$AJ145&lt;=5,"")</f>
        <v>4.1666666666666664E-2</v>
      </c>
      <c r="AD145" s="23" t="str">
        <f t="shared" si="27"/>
        <v/>
      </c>
      <c r="AE145" s="23" cm="1">
        <f t="array" ref="AE145">_xlfn.IFS($AA145="","",AND($AJ145&lt;=12,$AJ145&gt;10),TIME(0,35,0),AND($AJ145&lt;=10,$AJ145&gt;5),TIME(0,20,0),$AJ145&gt;12,TIME(0,20,0),AND(AJ145&gt;3,$AJ145&lt;=5),TIME(0,10,0),$AJ145&lt;3,"")</f>
        <v>2.4305555555555556E-2</v>
      </c>
      <c r="AF145" s="23">
        <f t="shared" si="28"/>
        <v>6.9444444444444441E-3</v>
      </c>
      <c r="AG145" s="23">
        <v>3.125E-2</v>
      </c>
      <c r="AH145" s="30"/>
      <c r="AI145" s="30"/>
      <c r="AJ145" s="24">
        <f t="shared" si="29"/>
        <v>12</v>
      </c>
      <c r="AK145" s="23">
        <f t="shared" si="30"/>
        <v>7.2916666666666671E-2</v>
      </c>
      <c r="AL145" s="25">
        <f t="shared" si="31"/>
        <v>396</v>
      </c>
      <c r="AM145" s="25">
        <f t="shared" si="32"/>
        <v>313.5</v>
      </c>
      <c r="AN145" s="16">
        <f t="shared" si="33"/>
        <v>0.83544303797468356</v>
      </c>
      <c r="AO145" s="38"/>
      <c r="AP145" s="19"/>
      <c r="AQ145" s="34"/>
      <c r="AR145" s="30" t="s">
        <v>265</v>
      </c>
    </row>
    <row r="146" spans="2:44" ht="15" customHeight="1" x14ac:dyDescent="0.3">
      <c r="B146" s="97">
        <v>46041</v>
      </c>
      <c r="C146" s="21">
        <f t="shared" si="1"/>
        <v>1</v>
      </c>
      <c r="D146" s="18" t="s">
        <v>99</v>
      </c>
      <c r="E146" s="14">
        <v>151</v>
      </c>
      <c r="F146" s="14"/>
      <c r="G146" s="14">
        <v>1</v>
      </c>
      <c r="H146" s="14"/>
      <c r="I146" s="14">
        <v>13</v>
      </c>
      <c r="J146" s="14">
        <v>46</v>
      </c>
      <c r="K146" s="14"/>
      <c r="L146" s="14"/>
      <c r="M146" s="14"/>
      <c r="N146" s="14"/>
      <c r="O146" s="14"/>
      <c r="P146" s="14"/>
      <c r="Q146" s="14">
        <f>210+7+26+5</f>
        <v>248</v>
      </c>
      <c r="R146" s="14"/>
      <c r="S146" s="14"/>
      <c r="T146" s="14"/>
      <c r="U146" s="14">
        <v>55</v>
      </c>
      <c r="V146" s="14"/>
      <c r="W146" s="14"/>
      <c r="X146" s="22">
        <f t="shared" si="35"/>
        <v>514</v>
      </c>
      <c r="Y146" s="14"/>
      <c r="Z146" s="31">
        <f>19+8+10</f>
        <v>37</v>
      </c>
      <c r="AA146" s="23">
        <v>0.29166666666666669</v>
      </c>
      <c r="AB146" s="23">
        <v>0.79166666666666663</v>
      </c>
      <c r="AC146" s="23" cm="1">
        <f t="array" ref="AC146">_xlfn.IFS($AJ146="","",$AJ146&gt;=8,TIME(1,0,0),$AJ146&lt;=5,"")</f>
        <v>4.1666666666666664E-2</v>
      </c>
      <c r="AD146" s="23" t="str">
        <f t="shared" si="27"/>
        <v/>
      </c>
      <c r="AE146" s="23" cm="1">
        <f t="array" ref="AE146">_xlfn.IFS($AA146="","",AND($AJ146&lt;=12,$AJ146&gt;10),TIME(0,35,0),AND($AJ146&lt;=10,$AJ146&gt;5),TIME(0,20,0),$AJ146&gt;12,TIME(0,20,0),AND(AJ146&gt;3,$AJ146&lt;=5),TIME(0,10,0),$AJ146&lt;3,"")</f>
        <v>2.4305555555555556E-2</v>
      </c>
      <c r="AF146" s="23">
        <f t="shared" si="28"/>
        <v>6.9444444444444441E-3</v>
      </c>
      <c r="AG146" s="23">
        <v>5.9027777777777776E-2</v>
      </c>
      <c r="AH146" s="30"/>
      <c r="AI146" s="30"/>
      <c r="AJ146" s="24">
        <f t="shared" si="29"/>
        <v>11.999999999999998</v>
      </c>
      <c r="AK146" s="23">
        <f t="shared" si="30"/>
        <v>7.2916666666666671E-2</v>
      </c>
      <c r="AL146" s="25">
        <f t="shared" si="31"/>
        <v>443.99999999999994</v>
      </c>
      <c r="AM146" s="25">
        <f t="shared" si="32"/>
        <v>326.83333333333331</v>
      </c>
      <c r="AN146" s="16">
        <f t="shared" si="33"/>
        <v>0.86381322957198436</v>
      </c>
      <c r="AO146" s="38"/>
      <c r="AP146" s="19"/>
      <c r="AQ146" s="34"/>
      <c r="AR146" s="30" t="s">
        <v>266</v>
      </c>
    </row>
    <row r="147" spans="2:44" ht="15" customHeight="1" x14ac:dyDescent="0.3">
      <c r="B147" s="97">
        <v>46041</v>
      </c>
      <c r="C147" s="21">
        <f t="shared" si="1"/>
        <v>1</v>
      </c>
      <c r="D147" s="18" t="s">
        <v>99</v>
      </c>
      <c r="E147" s="14">
        <v>168</v>
      </c>
      <c r="F147" s="14"/>
      <c r="G147" s="14"/>
      <c r="H147" s="14"/>
      <c r="I147" s="14"/>
      <c r="J147" s="14">
        <v>61</v>
      </c>
      <c r="K147" s="14"/>
      <c r="L147" s="14"/>
      <c r="M147" s="14"/>
      <c r="N147" s="14"/>
      <c r="O147" s="14"/>
      <c r="P147" s="14"/>
      <c r="Q147" s="14">
        <f>138+33+5</f>
        <v>176</v>
      </c>
      <c r="R147" s="14"/>
      <c r="S147" s="14"/>
      <c r="T147" s="14"/>
      <c r="U147" s="14">
        <v>44</v>
      </c>
      <c r="V147" s="14">
        <f>12+8</f>
        <v>20</v>
      </c>
      <c r="W147" s="14"/>
      <c r="X147" s="22">
        <f t="shared" si="35"/>
        <v>469</v>
      </c>
      <c r="Y147" s="14"/>
      <c r="Z147" s="31">
        <f>16+5+15</f>
        <v>36</v>
      </c>
      <c r="AA147" s="23">
        <v>0.79166666666666663</v>
      </c>
      <c r="AB147" s="23">
        <v>0.29166666666666669</v>
      </c>
      <c r="AC147" s="23" cm="1">
        <f t="array" ref="AC147">_xlfn.IFS($AJ147="","",$AJ147&gt;=8,TIME(1,0,0),$AJ147&lt;=5,"")</f>
        <v>4.1666666666666664E-2</v>
      </c>
      <c r="AD147" s="23" t="str">
        <f t="shared" si="27"/>
        <v/>
      </c>
      <c r="AE147" s="23" cm="1">
        <f t="array" ref="AE147">_xlfn.IFS($AA147="","",AND($AJ147&lt;=12,$AJ147&gt;10),TIME(0,35,0),AND($AJ147&lt;=10,$AJ147&gt;5),TIME(0,20,0),$AJ147&gt;12,TIME(0,20,0),AND(AJ147&gt;3,$AJ147&lt;=5),TIME(0,10,0),$AJ147&lt;3,"")</f>
        <v>2.4305555555555556E-2</v>
      </c>
      <c r="AF147" s="23">
        <f t="shared" si="28"/>
        <v>6.9444444444444441E-3</v>
      </c>
      <c r="AG147" s="23"/>
      <c r="AH147" s="30"/>
      <c r="AI147" s="30"/>
      <c r="AJ147" s="24">
        <f t="shared" si="29"/>
        <v>12</v>
      </c>
      <c r="AK147" s="23">
        <f t="shared" si="30"/>
        <v>7.2916666666666671E-2</v>
      </c>
      <c r="AL147" s="25">
        <f t="shared" si="31"/>
        <v>432</v>
      </c>
      <c r="AM147" s="25">
        <f t="shared" si="32"/>
        <v>369</v>
      </c>
      <c r="AN147" s="16">
        <f t="shared" si="33"/>
        <v>0.9211087420042644</v>
      </c>
      <c r="AO147" s="16">
        <f>IF(COUNTIF(B140:B147,B140)=8,1/SUM(AN140:AN147),"")</f>
        <v>0.17065868642337903</v>
      </c>
      <c r="AP147" s="19"/>
      <c r="AQ147" s="34"/>
      <c r="AR147" s="30"/>
    </row>
    <row r="148" spans="2:44" ht="15" customHeight="1" x14ac:dyDescent="0.3">
      <c r="B148" s="98">
        <v>46042</v>
      </c>
      <c r="C148" s="21">
        <f t="shared" si="1"/>
        <v>1</v>
      </c>
      <c r="D148" s="36" t="s">
        <v>96</v>
      </c>
      <c r="E148" s="14">
        <v>273</v>
      </c>
      <c r="F148" s="14"/>
      <c r="G148" s="14"/>
      <c r="H148" s="14"/>
      <c r="I148" s="14"/>
      <c r="J148" s="14">
        <v>66</v>
      </c>
      <c r="K148" s="14"/>
      <c r="L148" s="14"/>
      <c r="M148" s="14"/>
      <c r="N148" s="14"/>
      <c r="O148" s="14"/>
      <c r="P148" s="14"/>
      <c r="Q148" s="14">
        <v>194</v>
      </c>
      <c r="R148" s="14"/>
      <c r="S148" s="14"/>
      <c r="T148" s="14"/>
      <c r="U148" s="14">
        <v>100</v>
      </c>
      <c r="V148" s="14"/>
      <c r="W148" s="14"/>
      <c r="X148" s="22">
        <f t="shared" si="35"/>
        <v>633</v>
      </c>
      <c r="Y148" s="14"/>
      <c r="Z148" s="31">
        <f>15+1+11+19+1+10</f>
        <v>57</v>
      </c>
      <c r="AA148" s="23">
        <v>0.29166666666666669</v>
      </c>
      <c r="AB148" s="23">
        <v>0.79166666666666663</v>
      </c>
      <c r="AC148" s="23" cm="1">
        <f t="array" ref="AC148">_xlfn.IFS($AJ148="","",$AJ148&gt;=8,TIME(1,0,0),$AJ148&lt;=5,"")</f>
        <v>4.1666666666666664E-2</v>
      </c>
      <c r="AD148" s="23" t="str">
        <f t="shared" si="27"/>
        <v/>
      </c>
      <c r="AE148" s="23" cm="1">
        <f t="array" ref="AE148">_xlfn.IFS($AA148="","",AND($AJ148&lt;=12,$AJ148&gt;10),TIME(0,35,0),AND($AJ148&lt;=10,$AJ148&gt;5),TIME(0,20,0),$AJ148&gt;12,TIME(0,20,0),AND(AJ148&gt;3,$AJ148&lt;=5),TIME(0,10,0),$AJ148&lt;3,"")</f>
        <v>2.4305555555555556E-2</v>
      </c>
      <c r="AF148" s="23">
        <f t="shared" si="28"/>
        <v>6.9444444444444441E-3</v>
      </c>
      <c r="AG148" s="23"/>
      <c r="AH148" s="30"/>
      <c r="AI148" s="23">
        <v>0.16666666666666666</v>
      </c>
      <c r="AJ148" s="24">
        <f t="shared" si="29"/>
        <v>11.999999999999998</v>
      </c>
      <c r="AK148" s="23">
        <f t="shared" si="30"/>
        <v>7.2916666666666671E-2</v>
      </c>
      <c r="AL148" s="25">
        <f t="shared" si="31"/>
        <v>683.99999999999989</v>
      </c>
      <c r="AM148" s="25">
        <f t="shared" si="32"/>
        <v>584.24999999999989</v>
      </c>
      <c r="AN148" s="16">
        <f t="shared" si="33"/>
        <v>1.0805687203791468</v>
      </c>
      <c r="AO148" s="38"/>
      <c r="AP148" s="19"/>
      <c r="AQ148" s="34"/>
      <c r="AR148" s="30" t="s">
        <v>267</v>
      </c>
    </row>
    <row r="149" spans="2:44" ht="15" customHeight="1" x14ac:dyDescent="0.3">
      <c r="B149" s="98">
        <v>46042</v>
      </c>
      <c r="C149" s="21">
        <f t="shared" si="1"/>
        <v>1</v>
      </c>
      <c r="D149" s="36" t="s">
        <v>96</v>
      </c>
      <c r="E149" s="14"/>
      <c r="F149" s="14"/>
      <c r="G149" s="14"/>
      <c r="H149" s="14"/>
      <c r="I149" s="14"/>
      <c r="J149" s="14"/>
      <c r="K149" s="14"/>
      <c r="L149" s="14"/>
      <c r="M149" s="14"/>
      <c r="N149" s="14"/>
      <c r="O149" s="14"/>
      <c r="P149" s="14"/>
      <c r="Q149" s="14">
        <f>205+46</f>
        <v>251</v>
      </c>
      <c r="R149" s="14"/>
      <c r="S149" s="14"/>
      <c r="T149" s="14"/>
      <c r="U149" s="14"/>
      <c r="V149" s="14"/>
      <c r="W149" s="14"/>
      <c r="X149" s="22">
        <f t="shared" si="35"/>
        <v>251</v>
      </c>
      <c r="Y149" s="14"/>
      <c r="Z149" s="31">
        <f>20+5</f>
        <v>25</v>
      </c>
      <c r="AA149" s="23">
        <v>0.79166666666666663</v>
      </c>
      <c r="AB149" s="23">
        <v>0.29166666666666669</v>
      </c>
      <c r="AC149" s="23" cm="1">
        <f t="array" ref="AC149">_xlfn.IFS($AJ149="","",$AJ149&gt;=8,TIME(1,0,0),$AJ149&lt;=5,"")</f>
        <v>4.1666666666666664E-2</v>
      </c>
      <c r="AD149" s="23" t="str">
        <f t="shared" si="27"/>
        <v/>
      </c>
      <c r="AE149" s="23" cm="1">
        <f t="array" ref="AE149">_xlfn.IFS($AA149="","",AND($AJ149&lt;=12,$AJ149&gt;10),TIME(0,35,0),AND($AJ149&lt;=10,$AJ149&gt;5),TIME(0,20,0),$AJ149&gt;12,TIME(0,20,0),AND(AJ149&gt;3,$AJ149&lt;=5),TIME(0,10,0),$AJ149&lt;3,"")</f>
        <v>2.4305555555555556E-2</v>
      </c>
      <c r="AF149" s="23">
        <f t="shared" si="28"/>
        <v>6.9444444444444441E-3</v>
      </c>
      <c r="AG149" s="23"/>
      <c r="AH149" s="30"/>
      <c r="AI149" s="30"/>
      <c r="AJ149" s="24">
        <f t="shared" si="29"/>
        <v>12</v>
      </c>
      <c r="AK149" s="23">
        <f t="shared" si="30"/>
        <v>7.2916666666666671E-2</v>
      </c>
      <c r="AL149" s="25">
        <f t="shared" si="31"/>
        <v>300</v>
      </c>
      <c r="AM149" s="25">
        <f t="shared" si="32"/>
        <v>256.25</v>
      </c>
      <c r="AN149" s="16">
        <f t="shared" si="33"/>
        <v>1.1952191235059761</v>
      </c>
      <c r="AO149" s="38"/>
      <c r="AP149" s="19"/>
      <c r="AQ149" s="34"/>
      <c r="AR149" s="30"/>
    </row>
    <row r="150" spans="2:44" ht="15" customHeight="1" x14ac:dyDescent="0.3">
      <c r="B150" s="98">
        <v>46042</v>
      </c>
      <c r="C150" s="21">
        <f t="shared" si="1"/>
        <v>1</v>
      </c>
      <c r="D150" s="18" t="s">
        <v>97</v>
      </c>
      <c r="E150" s="14">
        <v>169</v>
      </c>
      <c r="F150" s="14"/>
      <c r="G150" s="14"/>
      <c r="H150" s="14"/>
      <c r="I150" s="14"/>
      <c r="J150" s="14">
        <v>60</v>
      </c>
      <c r="K150" s="14"/>
      <c r="L150" s="14"/>
      <c r="M150" s="14"/>
      <c r="N150" s="14"/>
      <c r="O150" s="14"/>
      <c r="P150" s="14"/>
      <c r="Q150" s="14">
        <v>257</v>
      </c>
      <c r="R150" s="14"/>
      <c r="S150" s="14"/>
      <c r="T150" s="14"/>
      <c r="U150" s="14">
        <v>66</v>
      </c>
      <c r="V150" s="14"/>
      <c r="W150" s="14"/>
      <c r="X150" s="22">
        <f t="shared" si="35"/>
        <v>552</v>
      </c>
      <c r="Y150" s="14"/>
      <c r="Z150" s="31">
        <f>3+1+2</f>
        <v>6</v>
      </c>
      <c r="AA150" s="23">
        <v>0.29166666666666669</v>
      </c>
      <c r="AB150" s="23">
        <v>0.79166666666666663</v>
      </c>
      <c r="AC150" s="23" cm="1">
        <f t="array" ref="AC150">_xlfn.IFS($AJ150="","",$AJ150&gt;=8,TIME(1,0,0),$AJ150&lt;=5,"")</f>
        <v>4.1666666666666664E-2</v>
      </c>
      <c r="AD150" s="23" t="str">
        <f t="shared" si="27"/>
        <v/>
      </c>
      <c r="AE150" s="23" cm="1">
        <f t="array" ref="AE150">_xlfn.IFS($AA150="","",AND($AJ150&lt;=12,$AJ150&gt;10),TIME(0,35,0),AND($AJ150&lt;=10,$AJ150&gt;5),TIME(0,20,0),$AJ150&gt;12,TIME(0,20,0),AND(AJ150&gt;3,$AJ150&lt;=5),TIME(0,10,0),$AJ150&lt;3,"")</f>
        <v>2.4305555555555556E-2</v>
      </c>
      <c r="AF150" s="23">
        <f t="shared" si="28"/>
        <v>6.9444444444444441E-3</v>
      </c>
      <c r="AG150" s="23">
        <v>9.375E-2</v>
      </c>
      <c r="AH150" s="30"/>
      <c r="AI150" s="30"/>
      <c r="AJ150" s="24">
        <f t="shared" si="29"/>
        <v>11.999999999999998</v>
      </c>
      <c r="AK150" s="23">
        <f t="shared" si="30"/>
        <v>7.2916666666666671E-2</v>
      </c>
      <c r="AL150" s="25">
        <f t="shared" si="31"/>
        <v>71.999999999999986</v>
      </c>
      <c r="AM150" s="25">
        <f t="shared" si="32"/>
        <v>47.999999999999986</v>
      </c>
      <c r="AN150" s="16">
        <f t="shared" si="33"/>
        <v>0.13043478260869562</v>
      </c>
      <c r="AO150" s="38"/>
      <c r="AP150" s="19"/>
      <c r="AQ150" s="34"/>
      <c r="AR150" s="30" t="s">
        <v>268</v>
      </c>
    </row>
    <row r="151" spans="2:44" ht="15" customHeight="1" x14ac:dyDescent="0.3">
      <c r="B151" s="98">
        <v>46042</v>
      </c>
      <c r="C151" s="21">
        <f t="shared" si="1"/>
        <v>1</v>
      </c>
      <c r="D151" s="18" t="s">
        <v>97</v>
      </c>
      <c r="E151" s="14"/>
      <c r="F151" s="14"/>
      <c r="G151" s="14"/>
      <c r="H151" s="14"/>
      <c r="I151" s="14"/>
      <c r="J151" s="14">
        <v>34</v>
      </c>
      <c r="K151" s="14"/>
      <c r="L151" s="14"/>
      <c r="M151" s="14"/>
      <c r="N151" s="14"/>
      <c r="O151" s="14"/>
      <c r="P151" s="14"/>
      <c r="Q151" s="14">
        <v>264</v>
      </c>
      <c r="R151" s="14"/>
      <c r="S151" s="14"/>
      <c r="T151" s="14"/>
      <c r="U151" s="14">
        <v>68</v>
      </c>
      <c r="V151" s="14"/>
      <c r="W151" s="14"/>
      <c r="X151" s="22">
        <f t="shared" si="35"/>
        <v>366</v>
      </c>
      <c r="Y151" s="14"/>
      <c r="Z151" s="31">
        <f>4+1</f>
        <v>5</v>
      </c>
      <c r="AA151" s="23">
        <v>0.79166666666666663</v>
      </c>
      <c r="AB151" s="23">
        <v>0.29166666666666669</v>
      </c>
      <c r="AC151" s="23" cm="1">
        <f t="array" ref="AC151">_xlfn.IFS($AJ151="","",$AJ151&gt;=8,TIME(1,0,0),$AJ151&lt;=5,"")</f>
        <v>4.1666666666666664E-2</v>
      </c>
      <c r="AD151" s="23" t="str">
        <f t="shared" si="27"/>
        <v/>
      </c>
      <c r="AE151" s="23" cm="1">
        <f t="array" ref="AE151">_xlfn.IFS($AA151="","",AND($AJ151&lt;=12,$AJ151&gt;10),TIME(0,35,0),AND($AJ151&lt;=10,$AJ151&gt;5),TIME(0,20,0),$AJ151&gt;12,TIME(0,20,0),AND(AJ151&gt;3,$AJ151&lt;=5),TIME(0,10,0),$AJ151&lt;3,"")</f>
        <v>2.4305555555555556E-2</v>
      </c>
      <c r="AF151" s="23">
        <f t="shared" si="28"/>
        <v>6.9444444444444441E-3</v>
      </c>
      <c r="AG151" s="23">
        <v>9.7222222222222224E-2</v>
      </c>
      <c r="AH151" s="30"/>
      <c r="AI151" s="23">
        <v>0.16666666666666666</v>
      </c>
      <c r="AJ151" s="24">
        <f t="shared" si="29"/>
        <v>12</v>
      </c>
      <c r="AK151" s="23">
        <f t="shared" si="30"/>
        <v>7.2916666666666671E-2</v>
      </c>
      <c r="AL151" s="25">
        <f t="shared" si="31"/>
        <v>60</v>
      </c>
      <c r="AM151" s="25">
        <f t="shared" si="32"/>
        <v>39.583333333333329</v>
      </c>
      <c r="AN151" s="16">
        <f t="shared" si="33"/>
        <v>0.16393442622950818</v>
      </c>
      <c r="AO151" s="38"/>
      <c r="AP151" s="19"/>
      <c r="AQ151" s="34"/>
      <c r="AR151" s="30" t="s">
        <v>269</v>
      </c>
    </row>
    <row r="152" spans="2:44" ht="15" customHeight="1" x14ac:dyDescent="0.3">
      <c r="B152" s="98">
        <v>46042</v>
      </c>
      <c r="C152" s="21">
        <f t="shared" si="1"/>
        <v>1</v>
      </c>
      <c r="D152" s="18" t="s">
        <v>98</v>
      </c>
      <c r="E152" s="14">
        <v>146</v>
      </c>
      <c r="F152" s="14"/>
      <c r="G152" s="14"/>
      <c r="H152" s="14"/>
      <c r="I152" s="14"/>
      <c r="J152" s="14">
        <v>54</v>
      </c>
      <c r="K152" s="14"/>
      <c r="L152" s="14"/>
      <c r="M152" s="14"/>
      <c r="N152" s="14"/>
      <c r="O152" s="14"/>
      <c r="P152" s="14"/>
      <c r="Q152" s="14">
        <v>333</v>
      </c>
      <c r="R152" s="14"/>
      <c r="S152" s="14"/>
      <c r="T152" s="14"/>
      <c r="U152" s="14">
        <v>21</v>
      </c>
      <c r="V152" s="14"/>
      <c r="W152" s="14"/>
      <c r="X152" s="22">
        <f t="shared" si="35"/>
        <v>554</v>
      </c>
      <c r="Y152" s="14"/>
      <c r="Z152" s="31">
        <f>17+2+18</f>
        <v>37</v>
      </c>
      <c r="AA152" s="23">
        <v>0.29166666666666669</v>
      </c>
      <c r="AB152" s="23">
        <v>0.79166666666666663</v>
      </c>
      <c r="AC152" s="23" cm="1">
        <f t="array" ref="AC152">_xlfn.IFS($AJ152="","",$AJ152&gt;=8,TIME(1,0,0),$AJ152&lt;=5,"")</f>
        <v>4.1666666666666664E-2</v>
      </c>
      <c r="AD152" s="23" t="str">
        <f t="shared" si="27"/>
        <v/>
      </c>
      <c r="AE152" s="23" cm="1">
        <f t="array" ref="AE152">_xlfn.IFS($AA152="","",AND($AJ152&lt;=12,$AJ152&gt;10),TIME(0,35,0),AND($AJ152&lt;=10,$AJ152&gt;5),TIME(0,20,0),$AJ152&gt;12,TIME(0,20,0),AND(AJ152&gt;3,$AJ152&lt;=5),TIME(0,10,0),$AJ152&lt;3,"")</f>
        <v>2.4305555555555556E-2</v>
      </c>
      <c r="AF152" s="23">
        <f t="shared" si="28"/>
        <v>6.9444444444444441E-3</v>
      </c>
      <c r="AG152" s="23">
        <v>3.125E-2</v>
      </c>
      <c r="AH152" s="30"/>
      <c r="AI152" s="30"/>
      <c r="AJ152" s="24">
        <f t="shared" si="29"/>
        <v>11.999999999999998</v>
      </c>
      <c r="AK152" s="23">
        <f t="shared" si="30"/>
        <v>7.2916666666666671E-2</v>
      </c>
      <c r="AL152" s="25">
        <f t="shared" si="31"/>
        <v>443.99999999999994</v>
      </c>
      <c r="AM152" s="25">
        <f t="shared" si="32"/>
        <v>351.49999999999994</v>
      </c>
      <c r="AN152" s="16">
        <f t="shared" si="33"/>
        <v>0.80144404332129948</v>
      </c>
      <c r="AO152" s="38"/>
      <c r="AP152" s="19"/>
      <c r="AQ152" s="34"/>
      <c r="AR152" s="30" t="s">
        <v>270</v>
      </c>
    </row>
    <row r="153" spans="2:44" ht="15" customHeight="1" x14ac:dyDescent="0.3">
      <c r="B153" s="98">
        <v>46042</v>
      </c>
      <c r="C153" s="21">
        <f t="shared" si="1"/>
        <v>1</v>
      </c>
      <c r="D153" s="18" t="s">
        <v>98</v>
      </c>
      <c r="E153" s="14">
        <v>223</v>
      </c>
      <c r="F153" s="14"/>
      <c r="G153" s="14"/>
      <c r="H153" s="14"/>
      <c r="I153" s="14"/>
      <c r="J153" s="14">
        <v>74</v>
      </c>
      <c r="K153" s="14"/>
      <c r="L153" s="14"/>
      <c r="M153" s="14"/>
      <c r="N153" s="14"/>
      <c r="O153" s="14"/>
      <c r="P153" s="14"/>
      <c r="Q153" s="14">
        <v>174</v>
      </c>
      <c r="R153" s="14"/>
      <c r="S153" s="14"/>
      <c r="T153" s="14">
        <v>1</v>
      </c>
      <c r="U153" s="14">
        <v>104</v>
      </c>
      <c r="V153" s="14">
        <v>1</v>
      </c>
      <c r="W153" s="14"/>
      <c r="X153" s="22">
        <f t="shared" si="35"/>
        <v>577</v>
      </c>
      <c r="Y153" s="14"/>
      <c r="Z153" s="31">
        <f>16+7+11</f>
        <v>34</v>
      </c>
      <c r="AA153" s="23">
        <v>0.79166666666666663</v>
      </c>
      <c r="AB153" s="23">
        <v>0.29166666666666669</v>
      </c>
      <c r="AC153" s="23" cm="1">
        <f t="array" ref="AC153">_xlfn.IFS($AJ153="","",$AJ153&gt;=8,TIME(1,0,0),$AJ153&lt;=5,"")</f>
        <v>4.1666666666666664E-2</v>
      </c>
      <c r="AD153" s="23" t="str">
        <f t="shared" si="27"/>
        <v/>
      </c>
      <c r="AE153" s="23" cm="1">
        <f t="array" ref="AE153">_xlfn.IFS($AA153="","",AND($AJ153&lt;=12,$AJ153&gt;10),TIME(0,35,0),AND($AJ153&lt;=10,$AJ153&gt;5),TIME(0,20,0),$AJ153&gt;12,TIME(0,20,0),AND(AJ153&gt;3,$AJ153&lt;=5),TIME(0,10,0),$AJ153&lt;3,"")</f>
        <v>2.4305555555555556E-2</v>
      </c>
      <c r="AF153" s="23">
        <f t="shared" si="28"/>
        <v>6.9444444444444441E-3</v>
      </c>
      <c r="AG153" s="23">
        <v>2.7777777777777776E-2</v>
      </c>
      <c r="AH153" s="30"/>
      <c r="AI153" s="30"/>
      <c r="AJ153" s="24">
        <f t="shared" si="29"/>
        <v>12</v>
      </c>
      <c r="AK153" s="23">
        <f t="shared" si="30"/>
        <v>7.2916666666666671E-2</v>
      </c>
      <c r="AL153" s="25">
        <f t="shared" si="31"/>
        <v>408</v>
      </c>
      <c r="AM153" s="25">
        <f t="shared" si="32"/>
        <v>325.83333333333331</v>
      </c>
      <c r="AN153" s="16">
        <f t="shared" si="33"/>
        <v>0.70710571923743504</v>
      </c>
      <c r="AO153" s="38"/>
      <c r="AP153" s="19"/>
      <c r="AQ153" s="34"/>
      <c r="AR153" s="30" t="s">
        <v>271</v>
      </c>
    </row>
    <row r="154" spans="2:44" ht="15" customHeight="1" x14ac:dyDescent="0.3">
      <c r="B154" s="98">
        <v>46042</v>
      </c>
      <c r="C154" s="21">
        <f t="shared" si="1"/>
        <v>1</v>
      </c>
      <c r="D154" s="18" t="s">
        <v>99</v>
      </c>
      <c r="E154" s="14">
        <v>156</v>
      </c>
      <c r="F154" s="14">
        <v>1</v>
      </c>
      <c r="G154" s="14"/>
      <c r="H154" s="14"/>
      <c r="I154" s="14">
        <v>9</v>
      </c>
      <c r="J154" s="14">
        <v>58</v>
      </c>
      <c r="K154" s="14"/>
      <c r="L154" s="14"/>
      <c r="M154" s="14"/>
      <c r="N154" s="14"/>
      <c r="O154" s="14"/>
      <c r="P154" s="14"/>
      <c r="Q154" s="14">
        <f>263+26+1+13</f>
        <v>303</v>
      </c>
      <c r="R154" s="14"/>
      <c r="S154" s="14"/>
      <c r="T154" s="14">
        <v>1</v>
      </c>
      <c r="U154" s="14">
        <v>54</v>
      </c>
      <c r="V154" s="14"/>
      <c r="W154" s="14"/>
      <c r="X154" s="22">
        <f t="shared" si="35"/>
        <v>582</v>
      </c>
      <c r="Y154" s="14"/>
      <c r="Z154" s="31">
        <f>19+8+10</f>
        <v>37</v>
      </c>
      <c r="AA154" s="23">
        <v>0.29166666666666669</v>
      </c>
      <c r="AB154" s="23">
        <v>0.79166666666666663</v>
      </c>
      <c r="AC154" s="23" cm="1">
        <f t="array" ref="AC154">_xlfn.IFS($AJ154="","",$AJ154&gt;=8,TIME(1,0,0),$AJ154&lt;=5,"")</f>
        <v>4.1666666666666664E-2</v>
      </c>
      <c r="AD154" s="23" t="str">
        <f t="shared" si="27"/>
        <v/>
      </c>
      <c r="AE154" s="23" cm="1">
        <f t="array" ref="AE154">_xlfn.IFS($AA154="","",AND($AJ154&lt;=12,$AJ154&gt;10),TIME(0,35,0),AND($AJ154&lt;=10,$AJ154&gt;5),TIME(0,20,0),$AJ154&gt;12,TIME(0,20,0),AND(AJ154&gt;3,$AJ154&lt;=5),TIME(0,10,0),$AJ154&lt;3,"")</f>
        <v>2.4305555555555556E-2</v>
      </c>
      <c r="AF154" s="23">
        <f t="shared" si="28"/>
        <v>6.9444444444444441E-3</v>
      </c>
      <c r="AG154" s="23"/>
      <c r="AH154" s="30"/>
      <c r="AI154" s="30"/>
      <c r="AJ154" s="24">
        <f t="shared" si="29"/>
        <v>11.999999999999998</v>
      </c>
      <c r="AK154" s="23">
        <f t="shared" si="30"/>
        <v>7.2916666666666671E-2</v>
      </c>
      <c r="AL154" s="25">
        <f t="shared" si="31"/>
        <v>443.99999999999994</v>
      </c>
      <c r="AM154" s="25">
        <f t="shared" si="32"/>
        <v>379.24999999999994</v>
      </c>
      <c r="AN154" s="16">
        <f t="shared" si="33"/>
        <v>0.76288659793814428</v>
      </c>
      <c r="AO154" s="38"/>
      <c r="AP154" s="19"/>
      <c r="AQ154" s="34"/>
      <c r="AR154" s="30"/>
    </row>
    <row r="155" spans="2:44" ht="15" customHeight="1" x14ac:dyDescent="0.3">
      <c r="B155" s="98">
        <v>46042</v>
      </c>
      <c r="C155" s="21">
        <f t="shared" si="1"/>
        <v>1</v>
      </c>
      <c r="D155" s="18" t="s">
        <v>99</v>
      </c>
      <c r="E155" s="14">
        <v>180</v>
      </c>
      <c r="F155" s="14">
        <v>1</v>
      </c>
      <c r="G155" s="14"/>
      <c r="H155" s="14"/>
      <c r="I155" s="14"/>
      <c r="J155" s="14">
        <v>66</v>
      </c>
      <c r="K155" s="14"/>
      <c r="L155" s="14"/>
      <c r="M155" s="14"/>
      <c r="N155" s="14"/>
      <c r="O155" s="14"/>
      <c r="P155" s="14"/>
      <c r="Q155" s="14">
        <f>243+3+1</f>
        <v>247</v>
      </c>
      <c r="R155" s="14"/>
      <c r="S155" s="14">
        <v>2</v>
      </c>
      <c r="T155" s="14">
        <f>6+2</f>
        <v>8</v>
      </c>
      <c r="U155" s="14">
        <v>71</v>
      </c>
      <c r="V155" s="14">
        <v>1</v>
      </c>
      <c r="W155" s="14"/>
      <c r="X155" s="22">
        <f t="shared" si="35"/>
        <v>576</v>
      </c>
      <c r="Y155" s="14"/>
      <c r="Z155" s="31">
        <f>17+5+15</f>
        <v>37</v>
      </c>
      <c r="AA155" s="23">
        <v>0.79166666666666663</v>
      </c>
      <c r="AB155" s="23">
        <v>0.29166666666666669</v>
      </c>
      <c r="AC155" s="23" cm="1">
        <f t="array" ref="AC155">_xlfn.IFS($AJ155="","",$AJ155&gt;=8,TIME(1,0,0),$AJ155&lt;=5,"")</f>
        <v>4.1666666666666664E-2</v>
      </c>
      <c r="AD155" s="23" t="str">
        <f t="shared" si="27"/>
        <v/>
      </c>
      <c r="AE155" s="23" cm="1">
        <f t="array" ref="AE155">_xlfn.IFS($AA155="","",AND($AJ155&lt;=12,$AJ155&gt;10),TIME(0,35,0),AND($AJ155&lt;=10,$AJ155&gt;5),TIME(0,20,0),$AJ155&gt;12,TIME(0,20,0),AND(AJ155&gt;3,$AJ155&lt;=5),TIME(0,10,0),$AJ155&lt;3,"")</f>
        <v>2.4305555555555556E-2</v>
      </c>
      <c r="AF155" s="23">
        <f t="shared" si="28"/>
        <v>6.9444444444444441E-3</v>
      </c>
      <c r="AG155" s="23"/>
      <c r="AH155" s="30"/>
      <c r="AI155" s="30"/>
      <c r="AJ155" s="24">
        <f t="shared" si="29"/>
        <v>12</v>
      </c>
      <c r="AK155" s="23">
        <f t="shared" si="30"/>
        <v>7.2916666666666671E-2</v>
      </c>
      <c r="AL155" s="25">
        <f t="shared" si="31"/>
        <v>444</v>
      </c>
      <c r="AM155" s="25">
        <f t="shared" si="32"/>
        <v>379.25</v>
      </c>
      <c r="AN155" s="16">
        <f t="shared" si="33"/>
        <v>0.77083333333333337</v>
      </c>
      <c r="AO155" s="16">
        <f>IF(COUNTIF(B148:B155,B148)=8,1/SUM(AN148:AN155),"")</f>
        <v>0.17817604490144603</v>
      </c>
      <c r="AP155" s="19"/>
      <c r="AQ155" s="34"/>
      <c r="AR155" s="30"/>
    </row>
    <row r="156" spans="2:44" ht="15" customHeight="1" x14ac:dyDescent="0.3">
      <c r="B156" s="97">
        <v>46043</v>
      </c>
      <c r="C156" s="21">
        <f t="shared" si="1"/>
        <v>1</v>
      </c>
      <c r="D156" s="36" t="s">
        <v>96</v>
      </c>
      <c r="E156" s="14">
        <v>268</v>
      </c>
      <c r="F156" s="14"/>
      <c r="G156" s="14">
        <v>55</v>
      </c>
      <c r="H156" s="14"/>
      <c r="I156" s="14"/>
      <c r="J156" s="14">
        <v>100</v>
      </c>
      <c r="K156" s="14"/>
      <c r="L156" s="14"/>
      <c r="M156" s="14"/>
      <c r="N156" s="14"/>
      <c r="O156" s="14"/>
      <c r="P156" s="14"/>
      <c r="Q156" s="14">
        <v>127</v>
      </c>
      <c r="R156" s="14"/>
      <c r="S156" s="14"/>
      <c r="T156" s="14"/>
      <c r="U156" s="14">
        <v>100</v>
      </c>
      <c r="V156" s="14"/>
      <c r="W156" s="14"/>
      <c r="X156" s="22">
        <f t="shared" si="35"/>
        <v>650</v>
      </c>
      <c r="Y156" s="14"/>
      <c r="Z156" s="31">
        <f>15+1+1+11+19+1+10</f>
        <v>58</v>
      </c>
      <c r="AA156" s="23">
        <v>0.29166666666666669</v>
      </c>
      <c r="AB156" s="23">
        <v>0.79166666666666663</v>
      </c>
      <c r="AC156" s="23" cm="1">
        <f t="array" ref="AC156">_xlfn.IFS($AJ156="","",$AJ156&gt;=8,TIME(1,0,0),$AJ156&lt;=5,"")</f>
        <v>4.1666666666666664E-2</v>
      </c>
      <c r="AD156" s="23" t="str">
        <f t="shared" si="27"/>
        <v/>
      </c>
      <c r="AE156" s="23" cm="1">
        <f t="array" ref="AE156">_xlfn.IFS($AA156="","",AND($AJ156&lt;=12,$AJ156&gt;10),TIME(0,35,0),AND($AJ156&lt;=10,$AJ156&gt;5),TIME(0,20,0),$AJ156&gt;12,TIME(0,20,0),AND(AJ156&gt;3,$AJ156&lt;=5),TIME(0,10,0),$AJ156&lt;3,"")</f>
        <v>2.4305555555555556E-2</v>
      </c>
      <c r="AF156" s="23">
        <f t="shared" si="28"/>
        <v>6.9444444444444441E-3</v>
      </c>
      <c r="AG156" s="23"/>
      <c r="AH156" s="30"/>
      <c r="AI156" s="30"/>
      <c r="AJ156" s="24">
        <f t="shared" si="29"/>
        <v>11.999999999999998</v>
      </c>
      <c r="AK156" s="23">
        <f t="shared" si="30"/>
        <v>7.2916666666666671E-2</v>
      </c>
      <c r="AL156" s="25">
        <f t="shared" si="31"/>
        <v>695.99999999999989</v>
      </c>
      <c r="AM156" s="25">
        <f t="shared" si="32"/>
        <v>594.49999999999989</v>
      </c>
      <c r="AN156" s="16">
        <f t="shared" si="33"/>
        <v>1.0707692307692307</v>
      </c>
      <c r="AO156" s="38"/>
      <c r="AP156" s="19"/>
      <c r="AQ156" s="34"/>
      <c r="AR156" s="30" t="s">
        <v>272</v>
      </c>
    </row>
    <row r="157" spans="2:44" ht="15" customHeight="1" x14ac:dyDescent="0.3">
      <c r="B157" s="97">
        <v>46043</v>
      </c>
      <c r="C157" s="21">
        <f t="shared" si="1"/>
        <v>1</v>
      </c>
      <c r="D157" s="36" t="s">
        <v>96</v>
      </c>
      <c r="E157" s="14">
        <v>152</v>
      </c>
      <c r="F157" s="14"/>
      <c r="G157" s="14">
        <v>71</v>
      </c>
      <c r="H157" s="14"/>
      <c r="I157" s="14"/>
      <c r="J157" s="14">
        <v>70</v>
      </c>
      <c r="K157" s="14"/>
      <c r="L157" s="14"/>
      <c r="M157" s="14"/>
      <c r="N157" s="14"/>
      <c r="O157" s="14"/>
      <c r="P157" s="14"/>
      <c r="Q157" s="14">
        <v>65</v>
      </c>
      <c r="R157" s="14"/>
      <c r="S157" s="14"/>
      <c r="T157" s="14">
        <v>45</v>
      </c>
      <c r="U157" s="14">
        <v>51</v>
      </c>
      <c r="V157" s="14"/>
      <c r="W157" s="14"/>
      <c r="X157" s="22">
        <f t="shared" si="35"/>
        <v>454</v>
      </c>
      <c r="Y157" s="14"/>
      <c r="Z157" s="31">
        <f>21+9</f>
        <v>30</v>
      </c>
      <c r="AA157" s="23">
        <v>0.79166666666666663</v>
      </c>
      <c r="AB157" s="23">
        <v>0.29166666666666669</v>
      </c>
      <c r="AC157" s="23" cm="1">
        <f t="array" ref="AC157">_xlfn.IFS($AJ157="","",$AJ157&gt;=8,TIME(1,0,0),$AJ157&lt;=5,"")</f>
        <v>4.1666666666666664E-2</v>
      </c>
      <c r="AD157" s="23" t="str">
        <f t="shared" si="27"/>
        <v/>
      </c>
      <c r="AE157" s="23" cm="1">
        <f t="array" ref="AE157">_xlfn.IFS($AA157="","",AND($AJ157&lt;=12,$AJ157&gt;10),TIME(0,35,0),AND($AJ157&lt;=10,$AJ157&gt;5),TIME(0,20,0),$AJ157&gt;12,TIME(0,20,0),AND(AJ157&gt;3,$AJ157&lt;=5),TIME(0,10,0),$AJ157&lt;3,"")</f>
        <v>2.4305555555555556E-2</v>
      </c>
      <c r="AF157" s="23">
        <f t="shared" si="28"/>
        <v>6.9444444444444441E-3</v>
      </c>
      <c r="AG157" s="23"/>
      <c r="AH157" s="30"/>
      <c r="AI157" s="30"/>
      <c r="AJ157" s="24">
        <f t="shared" si="29"/>
        <v>12</v>
      </c>
      <c r="AK157" s="23">
        <f t="shared" si="30"/>
        <v>7.2916666666666671E-2</v>
      </c>
      <c r="AL157" s="25">
        <f t="shared" si="31"/>
        <v>360</v>
      </c>
      <c r="AM157" s="25">
        <f t="shared" si="32"/>
        <v>307.5</v>
      </c>
      <c r="AN157" s="16">
        <f t="shared" si="33"/>
        <v>0.79295154185022021</v>
      </c>
      <c r="AO157" s="38"/>
      <c r="AP157" s="50" t="s">
        <v>239</v>
      </c>
      <c r="AQ157" s="34"/>
      <c r="AR157" s="30" t="s">
        <v>273</v>
      </c>
    </row>
    <row r="158" spans="2:44" ht="15" customHeight="1" x14ac:dyDescent="0.3">
      <c r="B158" s="97">
        <v>46043</v>
      </c>
      <c r="C158" s="21">
        <f t="shared" si="1"/>
        <v>1</v>
      </c>
      <c r="D158" s="18" t="s">
        <v>97</v>
      </c>
      <c r="E158" s="14">
        <v>213</v>
      </c>
      <c r="F158" s="14"/>
      <c r="G158" s="14">
        <v>1</v>
      </c>
      <c r="H158" s="14"/>
      <c r="I158" s="14"/>
      <c r="J158" s="14">
        <v>65</v>
      </c>
      <c r="K158" s="14"/>
      <c r="L158" s="14"/>
      <c r="M158" s="14"/>
      <c r="N158" s="14"/>
      <c r="O158" s="14"/>
      <c r="P158" s="14"/>
      <c r="Q158" s="14">
        <v>190</v>
      </c>
      <c r="R158" s="14"/>
      <c r="S158" s="14"/>
      <c r="T158" s="14"/>
      <c r="U158" s="14">
        <v>76</v>
      </c>
      <c r="V158" s="14"/>
      <c r="W158" s="14"/>
      <c r="X158" s="22">
        <f t="shared" si="35"/>
        <v>545</v>
      </c>
      <c r="Y158" s="14"/>
      <c r="Z158" s="31">
        <f>4+2</f>
        <v>6</v>
      </c>
      <c r="AA158" s="23">
        <v>0.29166666666666669</v>
      </c>
      <c r="AB158" s="23">
        <v>0.79166666666666663</v>
      </c>
      <c r="AC158" s="23" cm="1">
        <f t="array" ref="AC158">_xlfn.IFS($AJ158="","",$AJ158&gt;=8,TIME(1,0,0),$AJ158&lt;=5,"")</f>
        <v>4.1666666666666664E-2</v>
      </c>
      <c r="AD158" s="23" t="str">
        <f t="shared" ref="AD158:AD274" si="36">IF(AND($AB158&gt;=TIME(21,0,0),$AJ158&gt;12),TIME(1,0,0),"")</f>
        <v/>
      </c>
      <c r="AE158" s="23" cm="1">
        <f t="array" ref="AE158">_xlfn.IFS($AA158="","",AND($AJ158&lt;=12,$AJ158&gt;10),TIME(0,35,0),AND($AJ158&lt;=10,$AJ158&gt;5),TIME(0,20,0),$AJ158&gt;12,TIME(0,20,0),AND(AJ158&gt;3,$AJ158&lt;=5),TIME(0,10,0),$AJ158&lt;3,"")</f>
        <v>2.4305555555555556E-2</v>
      </c>
      <c r="AF158" s="23">
        <f t="shared" ref="AF158:AF274" si="37">IF($AA158&lt;&gt;"",TIME(0,10,0),"")</f>
        <v>6.9444444444444441E-3</v>
      </c>
      <c r="AG158" s="23"/>
      <c r="AH158" s="23">
        <v>0.125</v>
      </c>
      <c r="AI158" s="30"/>
      <c r="AJ158" s="24">
        <f t="shared" ref="AJ158:AJ265" si="38">IF($AA158="","",MOD($AB158-$AA158,1)*24)</f>
        <v>11.999999999999998</v>
      </c>
      <c r="AK158" s="23">
        <f t="shared" ref="AK158:AK265" si="39">IF($AA158="","",SUM($AC158:$AF158))</f>
        <v>7.2916666666666671E-2</v>
      </c>
      <c r="AL158" s="25">
        <f t="shared" ref="AL158:AL265" si="40">IF(OR($Z158="",$AJ158=""),"",$AJ158*$Z158)</f>
        <v>71.999999999999986</v>
      </c>
      <c r="AM158" s="25">
        <f t="shared" ref="AM158:AM265" si="41">IF(OR($Z158="",$AJ158=""),"",($AJ158-($AK158+$AG158)*24)*$Z158)</f>
        <v>61.499999999999986</v>
      </c>
      <c r="AN158" s="16">
        <f t="shared" ref="AN158:AN265" si="42">IF(OR($X158=0,$Z158="",$AL158=""),"",$AL158/$X158)</f>
        <v>0.13211009174311925</v>
      </c>
      <c r="AO158" s="38"/>
      <c r="AP158" s="50" t="s">
        <v>274</v>
      </c>
      <c r="AQ158" s="34">
        <v>2</v>
      </c>
      <c r="AR158" s="30" t="s">
        <v>275</v>
      </c>
    </row>
    <row r="159" spans="2:44" ht="15" customHeight="1" x14ac:dyDescent="0.3">
      <c r="B159" s="97">
        <v>46043</v>
      </c>
      <c r="C159" s="21">
        <f t="shared" si="1"/>
        <v>1</v>
      </c>
      <c r="D159" s="18" t="s">
        <v>97</v>
      </c>
      <c r="E159" s="14">
        <v>221</v>
      </c>
      <c r="F159" s="14"/>
      <c r="G159" s="14">
        <v>82</v>
      </c>
      <c r="H159" s="14"/>
      <c r="I159" s="14"/>
      <c r="J159" s="14">
        <v>77</v>
      </c>
      <c r="K159" s="14"/>
      <c r="L159" s="14"/>
      <c r="M159" s="14"/>
      <c r="N159" s="14"/>
      <c r="O159" s="14"/>
      <c r="P159" s="14"/>
      <c r="Q159" s="14">
        <v>17</v>
      </c>
      <c r="R159" s="14"/>
      <c r="S159" s="14"/>
      <c r="T159" s="14">
        <v>11</v>
      </c>
      <c r="U159" s="14"/>
      <c r="V159" s="14"/>
      <c r="W159" s="14"/>
      <c r="X159" s="22">
        <f t="shared" si="35"/>
        <v>408</v>
      </c>
      <c r="Y159" s="14"/>
      <c r="Z159" s="31">
        <f>4+2</f>
        <v>6</v>
      </c>
      <c r="AA159" s="23">
        <v>0.79166666666666663</v>
      </c>
      <c r="AB159" s="23">
        <v>0.29166666666666669</v>
      </c>
      <c r="AC159" s="23" cm="1">
        <f t="array" ref="AC159">_xlfn.IFS($AJ159="","",$AJ159&gt;=8,TIME(1,0,0),$AJ159&lt;=5,"")</f>
        <v>4.1666666666666664E-2</v>
      </c>
      <c r="AD159" s="23" t="str">
        <f t="shared" si="36"/>
        <v/>
      </c>
      <c r="AE159" s="23" cm="1">
        <f t="array" ref="AE159">_xlfn.IFS($AA159="","",AND($AJ159&lt;=12,$AJ159&gt;10),TIME(0,35,0),AND($AJ159&lt;=10,$AJ159&gt;5),TIME(0,20,0),$AJ159&gt;12,TIME(0,20,0),AND(AJ159&gt;3,$AJ159&lt;=5),TIME(0,10,0),$AJ159&lt;3,"")</f>
        <v>2.4305555555555556E-2</v>
      </c>
      <c r="AF159" s="23">
        <f t="shared" si="37"/>
        <v>6.9444444444444441E-3</v>
      </c>
      <c r="AG159" s="23"/>
      <c r="AH159" s="23">
        <v>8.3333333333333329E-2</v>
      </c>
      <c r="AI159" s="30"/>
      <c r="AJ159" s="24">
        <f t="shared" si="38"/>
        <v>12</v>
      </c>
      <c r="AK159" s="23">
        <f t="shared" si="39"/>
        <v>7.2916666666666671E-2</v>
      </c>
      <c r="AL159" s="25">
        <f t="shared" si="40"/>
        <v>72</v>
      </c>
      <c r="AM159" s="25">
        <f t="shared" si="41"/>
        <v>61.5</v>
      </c>
      <c r="AN159" s="16">
        <f t="shared" si="42"/>
        <v>0.17647058823529413</v>
      </c>
      <c r="AO159" s="38"/>
      <c r="AP159" s="50" t="s">
        <v>276</v>
      </c>
      <c r="AQ159" s="34">
        <v>1</v>
      </c>
      <c r="AR159" s="30" t="s">
        <v>277</v>
      </c>
    </row>
    <row r="160" spans="2:44" ht="15" customHeight="1" x14ac:dyDescent="0.3">
      <c r="B160" s="97">
        <v>46043</v>
      </c>
      <c r="C160" s="21">
        <f t="shared" si="1"/>
        <v>1</v>
      </c>
      <c r="D160" s="18" t="s">
        <v>98</v>
      </c>
      <c r="E160" s="14">
        <v>199</v>
      </c>
      <c r="F160" s="14"/>
      <c r="G160" s="14"/>
      <c r="H160" s="14"/>
      <c r="I160" s="14"/>
      <c r="J160" s="14">
        <v>42</v>
      </c>
      <c r="K160" s="14">
        <v>1</v>
      </c>
      <c r="L160" s="14"/>
      <c r="M160" s="14"/>
      <c r="N160" s="14"/>
      <c r="O160" s="14"/>
      <c r="P160" s="14"/>
      <c r="Q160" s="14">
        <f>353+1</f>
        <v>354</v>
      </c>
      <c r="R160" s="14"/>
      <c r="S160" s="14">
        <v>1</v>
      </c>
      <c r="T160" s="14">
        <v>2</v>
      </c>
      <c r="U160" s="14">
        <v>42</v>
      </c>
      <c r="V160" s="14"/>
      <c r="W160" s="14"/>
      <c r="X160" s="22">
        <f t="shared" si="35"/>
        <v>641</v>
      </c>
      <c r="Y160" s="14"/>
      <c r="Z160" s="31">
        <f>17+2+19</f>
        <v>38</v>
      </c>
      <c r="AA160" s="23">
        <v>0.29166666666666669</v>
      </c>
      <c r="AB160" s="23">
        <v>0.79166666666666663</v>
      </c>
      <c r="AC160" s="23" cm="1">
        <f t="array" ref="AC160">_xlfn.IFS($AJ160="","",$AJ160&gt;=8,TIME(1,0,0),$AJ160&lt;=5,"")</f>
        <v>4.1666666666666664E-2</v>
      </c>
      <c r="AD160" s="23" t="str">
        <f t="shared" si="36"/>
        <v/>
      </c>
      <c r="AE160" s="23" cm="1">
        <f t="array" ref="AE160">_xlfn.IFS($AA160="","",AND($AJ160&lt;=12,$AJ160&gt;10),TIME(0,35,0),AND($AJ160&lt;=10,$AJ160&gt;5),TIME(0,20,0),$AJ160&gt;12,TIME(0,20,0),AND(AJ160&gt;3,$AJ160&lt;=5),TIME(0,10,0),$AJ160&lt;3,"")</f>
        <v>2.4305555555555556E-2</v>
      </c>
      <c r="AF160" s="23">
        <f t="shared" si="37"/>
        <v>6.9444444444444441E-3</v>
      </c>
      <c r="AG160" s="23">
        <v>4.8611111111111112E-2</v>
      </c>
      <c r="AH160" s="30"/>
      <c r="AI160" s="30"/>
      <c r="AJ160" s="24">
        <f t="shared" si="38"/>
        <v>11.999999999999998</v>
      </c>
      <c r="AK160" s="23">
        <f t="shared" si="39"/>
        <v>7.2916666666666671E-2</v>
      </c>
      <c r="AL160" s="25">
        <f t="shared" si="40"/>
        <v>455.99999999999994</v>
      </c>
      <c r="AM160" s="25">
        <f t="shared" si="41"/>
        <v>345.16666666666663</v>
      </c>
      <c r="AN160" s="16">
        <f t="shared" si="42"/>
        <v>0.71138845553822139</v>
      </c>
      <c r="AO160" s="38"/>
      <c r="AP160" s="19"/>
      <c r="AQ160" s="34"/>
      <c r="AR160" s="30" t="s">
        <v>278</v>
      </c>
    </row>
    <row r="161" spans="2:44" ht="15" customHeight="1" x14ac:dyDescent="0.3">
      <c r="B161" s="97">
        <v>46043</v>
      </c>
      <c r="C161" s="21">
        <f t="shared" si="1"/>
        <v>1</v>
      </c>
      <c r="D161" s="18" t="s">
        <v>98</v>
      </c>
      <c r="E161" s="14">
        <v>265</v>
      </c>
      <c r="F161" s="14"/>
      <c r="G161" s="14">
        <v>53</v>
      </c>
      <c r="H161" s="14"/>
      <c r="I161" s="14">
        <v>5</v>
      </c>
      <c r="J161" s="14">
        <v>95</v>
      </c>
      <c r="K161" s="14"/>
      <c r="L161" s="14"/>
      <c r="M161" s="14"/>
      <c r="N161" s="14"/>
      <c r="O161" s="14"/>
      <c r="P161" s="14"/>
      <c r="Q161" s="14">
        <v>87</v>
      </c>
      <c r="R161" s="14"/>
      <c r="S161" s="14"/>
      <c r="T161" s="14"/>
      <c r="U161" s="14">
        <v>58</v>
      </c>
      <c r="V161" s="14">
        <v>26</v>
      </c>
      <c r="W161" s="14"/>
      <c r="X161" s="22">
        <f t="shared" si="35"/>
        <v>589</v>
      </c>
      <c r="Y161" s="14"/>
      <c r="Z161" s="31">
        <f>18+7+11</f>
        <v>36</v>
      </c>
      <c r="AA161" s="23">
        <v>0.79166666666666663</v>
      </c>
      <c r="AB161" s="23">
        <v>0.29166666666666669</v>
      </c>
      <c r="AC161" s="23" cm="1">
        <f t="array" ref="AC161">_xlfn.IFS($AJ161="","",$AJ161&gt;=8,TIME(1,0,0),$AJ161&lt;=5,"")</f>
        <v>4.1666666666666664E-2</v>
      </c>
      <c r="AD161" s="23" t="str">
        <f t="shared" si="36"/>
        <v/>
      </c>
      <c r="AE161" s="23" cm="1">
        <f t="array" ref="AE161">_xlfn.IFS($AA161="","",AND($AJ161&lt;=12,$AJ161&gt;10),TIME(0,35,0),AND($AJ161&lt;=10,$AJ161&gt;5),TIME(0,20,0),$AJ161&gt;12,TIME(0,20,0),AND(AJ161&gt;3,$AJ161&lt;=5),TIME(0,10,0),$AJ161&lt;3,"")</f>
        <v>2.4305555555555556E-2</v>
      </c>
      <c r="AF161" s="23">
        <f t="shared" si="37"/>
        <v>6.9444444444444441E-3</v>
      </c>
      <c r="AG161" s="23">
        <v>4.8611111111111112E-2</v>
      </c>
      <c r="AH161" s="30"/>
      <c r="AI161" s="30"/>
      <c r="AJ161" s="24">
        <f t="shared" si="38"/>
        <v>12</v>
      </c>
      <c r="AK161" s="23">
        <f t="shared" si="39"/>
        <v>7.2916666666666671E-2</v>
      </c>
      <c r="AL161" s="25">
        <f t="shared" si="40"/>
        <v>432</v>
      </c>
      <c r="AM161" s="25">
        <f t="shared" si="41"/>
        <v>326.99999999999994</v>
      </c>
      <c r="AN161" s="16">
        <f t="shared" si="42"/>
        <v>0.73344651952461803</v>
      </c>
      <c r="AO161" s="38"/>
      <c r="AP161" s="19"/>
      <c r="AQ161" s="34"/>
      <c r="AR161" s="30" t="s">
        <v>279</v>
      </c>
    </row>
    <row r="162" spans="2:44" ht="15" customHeight="1" x14ac:dyDescent="0.3">
      <c r="B162" s="97">
        <v>46043</v>
      </c>
      <c r="C162" s="21">
        <f t="shared" si="1"/>
        <v>1</v>
      </c>
      <c r="D162" s="18" t="s">
        <v>99</v>
      </c>
      <c r="E162" s="14">
        <v>200</v>
      </c>
      <c r="F162" s="14"/>
      <c r="G162" s="14"/>
      <c r="H162" s="14"/>
      <c r="I162" s="14"/>
      <c r="J162" s="14">
        <v>43</v>
      </c>
      <c r="K162" s="14">
        <v>1</v>
      </c>
      <c r="L162" s="14"/>
      <c r="M162" s="14"/>
      <c r="N162" s="14"/>
      <c r="O162" s="14"/>
      <c r="P162" s="14"/>
      <c r="Q162" s="14">
        <f>310+2+9+1</f>
        <v>322</v>
      </c>
      <c r="R162" s="14"/>
      <c r="S162" s="14"/>
      <c r="T162" s="14">
        <v>1</v>
      </c>
      <c r="U162" s="14">
        <v>54</v>
      </c>
      <c r="V162" s="14"/>
      <c r="W162" s="14"/>
      <c r="X162" s="22">
        <f t="shared" si="35"/>
        <v>621</v>
      </c>
      <c r="Y162" s="14"/>
      <c r="Z162" s="31">
        <f>19+9+9</f>
        <v>37</v>
      </c>
      <c r="AA162" s="23">
        <v>0.29166666666666669</v>
      </c>
      <c r="AB162" s="23">
        <v>0.79166666666666663</v>
      </c>
      <c r="AC162" s="23" cm="1">
        <f t="array" ref="AC162">_xlfn.IFS($AJ162="","",$AJ162&gt;=8,TIME(1,0,0),$AJ162&lt;=5,"")</f>
        <v>4.1666666666666664E-2</v>
      </c>
      <c r="AD162" s="23" t="str">
        <f t="shared" si="36"/>
        <v/>
      </c>
      <c r="AE162" s="23" cm="1">
        <f t="array" ref="AE162">_xlfn.IFS($AA162="","",AND($AJ162&lt;=12,$AJ162&gt;10),TIME(0,35,0),AND($AJ162&lt;=10,$AJ162&gt;5),TIME(0,20,0),$AJ162&gt;12,TIME(0,20,0),AND(AJ162&gt;3,$AJ162&lt;=5),TIME(0,10,0),$AJ162&lt;3,"")</f>
        <v>2.4305555555555556E-2</v>
      </c>
      <c r="AF162" s="23">
        <f t="shared" si="37"/>
        <v>6.9444444444444441E-3</v>
      </c>
      <c r="AG162" s="23"/>
      <c r="AH162" s="30"/>
      <c r="AI162" s="30"/>
      <c r="AJ162" s="24">
        <f t="shared" si="38"/>
        <v>11.999999999999998</v>
      </c>
      <c r="AK162" s="23">
        <f t="shared" si="39"/>
        <v>7.2916666666666671E-2</v>
      </c>
      <c r="AL162" s="25">
        <f t="shared" si="40"/>
        <v>443.99999999999994</v>
      </c>
      <c r="AM162" s="25">
        <f t="shared" si="41"/>
        <v>379.24999999999994</v>
      </c>
      <c r="AN162" s="16">
        <f t="shared" si="42"/>
        <v>0.71497584541062797</v>
      </c>
      <c r="AO162" s="38"/>
      <c r="AP162" s="19"/>
      <c r="AQ162" s="34"/>
      <c r="AR162" s="30" t="s">
        <v>280</v>
      </c>
    </row>
    <row r="163" spans="2:44" ht="15" customHeight="1" x14ac:dyDescent="0.3">
      <c r="B163" s="97">
        <v>46043</v>
      </c>
      <c r="C163" s="21">
        <f t="shared" si="1"/>
        <v>1</v>
      </c>
      <c r="D163" s="18" t="s">
        <v>99</v>
      </c>
      <c r="E163" s="14">
        <v>209</v>
      </c>
      <c r="F163" s="14">
        <v>3</v>
      </c>
      <c r="G163" s="14">
        <v>10</v>
      </c>
      <c r="H163" s="14"/>
      <c r="I163" s="14">
        <v>1</v>
      </c>
      <c r="J163" s="14">
        <v>56</v>
      </c>
      <c r="K163" s="14"/>
      <c r="L163" s="14"/>
      <c r="M163" s="14">
        <v>1</v>
      </c>
      <c r="N163" s="14">
        <v>1</v>
      </c>
      <c r="O163" s="14"/>
      <c r="P163" s="14"/>
      <c r="Q163" s="14">
        <f>79+152</f>
        <v>231</v>
      </c>
      <c r="R163" s="14"/>
      <c r="S163" s="14"/>
      <c r="T163" s="14"/>
      <c r="U163" s="14">
        <v>85</v>
      </c>
      <c r="V163" s="14"/>
      <c r="W163" s="14"/>
      <c r="X163" s="22">
        <f t="shared" si="35"/>
        <v>597</v>
      </c>
      <c r="Y163" s="14"/>
      <c r="Z163" s="31">
        <f>16+4+14</f>
        <v>34</v>
      </c>
      <c r="AA163" s="23">
        <v>0.79166666666666663</v>
      </c>
      <c r="AB163" s="23">
        <v>0.29166666666666669</v>
      </c>
      <c r="AC163" s="23" cm="1">
        <f t="array" ref="AC163">_xlfn.IFS($AJ163="","",$AJ163&gt;=8,TIME(1,0,0),$AJ163&lt;=5,"")</f>
        <v>4.1666666666666664E-2</v>
      </c>
      <c r="AD163" s="23" t="str">
        <f t="shared" si="36"/>
        <v/>
      </c>
      <c r="AE163" s="23" cm="1">
        <f t="array" ref="AE163">_xlfn.IFS($AA163="","",AND($AJ163&lt;=12,$AJ163&gt;10),TIME(0,35,0),AND($AJ163&lt;=10,$AJ163&gt;5),TIME(0,20,0),$AJ163&gt;12,TIME(0,20,0),AND(AJ163&gt;3,$AJ163&lt;=5),TIME(0,10,0),$AJ163&lt;3,"")</f>
        <v>2.4305555555555556E-2</v>
      </c>
      <c r="AF163" s="23">
        <f t="shared" si="37"/>
        <v>6.9444444444444441E-3</v>
      </c>
      <c r="AG163" s="23"/>
      <c r="AH163" s="30"/>
      <c r="AI163" s="30"/>
      <c r="AJ163" s="24">
        <f t="shared" si="38"/>
        <v>12</v>
      </c>
      <c r="AK163" s="23">
        <f t="shared" si="39"/>
        <v>7.2916666666666671E-2</v>
      </c>
      <c r="AL163" s="25">
        <f t="shared" si="40"/>
        <v>408</v>
      </c>
      <c r="AM163" s="25">
        <f t="shared" si="41"/>
        <v>348.5</v>
      </c>
      <c r="AN163" s="16">
        <f t="shared" si="42"/>
        <v>0.68341708542713564</v>
      </c>
      <c r="AO163" s="16">
        <f>IF(COUNTIF(B156:B163,B156)=8,1/SUM(AN156:AN163),"")</f>
        <v>0.19938074897429706</v>
      </c>
      <c r="AP163" s="19"/>
      <c r="AQ163" s="34"/>
      <c r="AR163" s="30"/>
    </row>
    <row r="164" spans="2:44" ht="15" customHeight="1" x14ac:dyDescent="0.3">
      <c r="B164" s="98">
        <v>46044</v>
      </c>
      <c r="C164" s="21">
        <f t="shared" si="1"/>
        <v>1</v>
      </c>
      <c r="D164" s="36" t="s">
        <v>96</v>
      </c>
      <c r="E164" s="14">
        <v>158</v>
      </c>
      <c r="F164" s="14"/>
      <c r="G164" s="14">
        <v>132</v>
      </c>
      <c r="H164" s="14"/>
      <c r="I164" s="14"/>
      <c r="J164" s="14"/>
      <c r="K164" s="14"/>
      <c r="L164" s="14"/>
      <c r="M164" s="14"/>
      <c r="N164" s="14"/>
      <c r="O164" s="14"/>
      <c r="P164" s="14"/>
      <c r="Q164" s="14">
        <f>150+107</f>
        <v>257</v>
      </c>
      <c r="R164" s="14"/>
      <c r="S164" s="14"/>
      <c r="T164" s="14">
        <v>102</v>
      </c>
      <c r="U164" s="14"/>
      <c r="V164" s="14"/>
      <c r="W164" s="14"/>
      <c r="X164" s="22">
        <f t="shared" si="35"/>
        <v>649</v>
      </c>
      <c r="Y164" s="14"/>
      <c r="Z164" s="31">
        <f>17+8+16+1+10</f>
        <v>52</v>
      </c>
      <c r="AA164" s="23">
        <v>0.29166666666666669</v>
      </c>
      <c r="AB164" s="23">
        <v>0.79166666666666663</v>
      </c>
      <c r="AC164" s="23" cm="1">
        <f t="array" ref="AC164">_xlfn.IFS($AJ164="","",$AJ164&gt;=8,TIME(1,0,0),$AJ164&lt;=5,"")</f>
        <v>4.1666666666666664E-2</v>
      </c>
      <c r="AD164" s="23" t="str">
        <f t="shared" si="36"/>
        <v/>
      </c>
      <c r="AE164" s="23" cm="1">
        <f t="array" ref="AE164">_xlfn.IFS($AA164="","",AND($AJ164&lt;=12,$AJ164&gt;10),TIME(0,35,0),AND($AJ164&lt;=10,$AJ164&gt;5),TIME(0,20,0),$AJ164&gt;12,TIME(0,20,0),AND(AJ164&gt;3,$AJ164&lt;=5),TIME(0,10,0),$AJ164&lt;3,"")</f>
        <v>2.4305555555555556E-2</v>
      </c>
      <c r="AF164" s="23">
        <f t="shared" si="37"/>
        <v>6.9444444444444441E-3</v>
      </c>
      <c r="AG164" s="23"/>
      <c r="AH164" s="30"/>
      <c r="AI164" s="30"/>
      <c r="AJ164" s="24">
        <f t="shared" si="38"/>
        <v>11.999999999999998</v>
      </c>
      <c r="AK164" s="23">
        <f t="shared" si="39"/>
        <v>7.2916666666666671E-2</v>
      </c>
      <c r="AL164" s="25">
        <f t="shared" si="40"/>
        <v>623.99999999999989</v>
      </c>
      <c r="AM164" s="25">
        <f t="shared" si="41"/>
        <v>532.99999999999989</v>
      </c>
      <c r="AN164" s="16">
        <f t="shared" si="42"/>
        <v>0.96147919876733423</v>
      </c>
      <c r="AO164" s="38"/>
      <c r="AP164" s="19"/>
      <c r="AQ164" s="34"/>
      <c r="AR164" s="30"/>
    </row>
    <row r="165" spans="2:44" ht="15" customHeight="1" x14ac:dyDescent="0.3">
      <c r="B165" s="98">
        <v>46044</v>
      </c>
      <c r="C165" s="21">
        <f t="shared" si="1"/>
        <v>1</v>
      </c>
      <c r="D165" s="36" t="s">
        <v>96</v>
      </c>
      <c r="E165" s="14">
        <v>54</v>
      </c>
      <c r="F165" s="14"/>
      <c r="G165" s="14"/>
      <c r="H165" s="14"/>
      <c r="I165" s="14"/>
      <c r="J165" s="14"/>
      <c r="K165" s="14"/>
      <c r="L165" s="14"/>
      <c r="M165" s="14"/>
      <c r="N165" s="14"/>
      <c r="O165" s="14"/>
      <c r="P165" s="14"/>
      <c r="Q165" s="14">
        <v>205</v>
      </c>
      <c r="R165" s="14"/>
      <c r="S165" s="14"/>
      <c r="T165" s="14">
        <v>21</v>
      </c>
      <c r="U165" s="14"/>
      <c r="V165" s="14"/>
      <c r="W165" s="14"/>
      <c r="X165" s="22">
        <f t="shared" si="35"/>
        <v>280</v>
      </c>
      <c r="Y165" s="14"/>
      <c r="Z165" s="31">
        <f>20+4</f>
        <v>24</v>
      </c>
      <c r="AA165" s="23">
        <v>0.79166666666666663</v>
      </c>
      <c r="AB165" s="23">
        <v>0.29166666666666669</v>
      </c>
      <c r="AC165" s="23" cm="1">
        <f t="array" ref="AC165">_xlfn.IFS($AJ165="","",$AJ165&gt;=8,TIME(1,0,0),$AJ165&lt;=5,"")</f>
        <v>4.1666666666666664E-2</v>
      </c>
      <c r="AD165" s="23" t="str">
        <f t="shared" si="36"/>
        <v/>
      </c>
      <c r="AE165" s="23" cm="1">
        <f t="array" ref="AE165">_xlfn.IFS($AA165="","",AND($AJ165&lt;=12,$AJ165&gt;10),TIME(0,35,0),AND($AJ165&lt;=10,$AJ165&gt;5),TIME(0,20,0),$AJ165&gt;12,TIME(0,20,0),AND(AJ165&gt;3,$AJ165&lt;=5),TIME(0,10,0),$AJ165&lt;3,"")</f>
        <v>2.4305555555555556E-2</v>
      </c>
      <c r="AF165" s="23">
        <f t="shared" si="37"/>
        <v>6.9444444444444441E-3</v>
      </c>
      <c r="AG165" s="23"/>
      <c r="AH165" s="30"/>
      <c r="AI165" s="30"/>
      <c r="AJ165" s="24">
        <f t="shared" si="38"/>
        <v>12</v>
      </c>
      <c r="AK165" s="23">
        <f t="shared" si="39"/>
        <v>7.2916666666666671E-2</v>
      </c>
      <c r="AL165" s="25">
        <f t="shared" si="40"/>
        <v>288</v>
      </c>
      <c r="AM165" s="25">
        <f t="shared" si="41"/>
        <v>246</v>
      </c>
      <c r="AN165" s="16">
        <f t="shared" si="42"/>
        <v>1.0285714285714285</v>
      </c>
      <c r="AO165" s="38"/>
      <c r="AP165" s="50" t="s">
        <v>281</v>
      </c>
      <c r="AQ165" s="34"/>
      <c r="AR165" s="30" t="s">
        <v>282</v>
      </c>
    </row>
    <row r="166" spans="2:44" ht="15" customHeight="1" x14ac:dyDescent="0.3">
      <c r="B166" s="98">
        <v>46044</v>
      </c>
      <c r="C166" s="21">
        <f t="shared" si="1"/>
        <v>1</v>
      </c>
      <c r="D166" s="18" t="s">
        <v>97</v>
      </c>
      <c r="E166" s="14">
        <v>68</v>
      </c>
      <c r="F166" s="14"/>
      <c r="G166" s="14">
        <v>82</v>
      </c>
      <c r="H166" s="14"/>
      <c r="I166" s="14"/>
      <c r="J166" s="14">
        <v>38</v>
      </c>
      <c r="K166" s="14"/>
      <c r="L166" s="14"/>
      <c r="M166" s="14"/>
      <c r="N166" s="14"/>
      <c r="O166" s="14"/>
      <c r="P166" s="14"/>
      <c r="Q166" s="14">
        <v>228</v>
      </c>
      <c r="R166" s="14"/>
      <c r="S166" s="14"/>
      <c r="T166" s="14">
        <v>84</v>
      </c>
      <c r="U166" s="14">
        <v>30</v>
      </c>
      <c r="V166" s="14"/>
      <c r="W166" s="14"/>
      <c r="X166" s="22">
        <f t="shared" si="35"/>
        <v>530</v>
      </c>
      <c r="Y166" s="14"/>
      <c r="Z166" s="31">
        <f>4+2</f>
        <v>6</v>
      </c>
      <c r="AA166" s="23">
        <v>0.29166666666666669</v>
      </c>
      <c r="AB166" s="23">
        <v>0.79166666666666663</v>
      </c>
      <c r="AC166" s="23" cm="1">
        <f t="array" ref="AC166">_xlfn.IFS($AJ166="","",$AJ166&gt;=8,TIME(1,0,0),$AJ166&lt;=5,"")</f>
        <v>4.1666666666666664E-2</v>
      </c>
      <c r="AD166" s="23" t="str">
        <f t="shared" si="36"/>
        <v/>
      </c>
      <c r="AE166" s="23" cm="1">
        <f t="array" ref="AE166">_xlfn.IFS($AA166="","",AND($AJ166&lt;=12,$AJ166&gt;10),TIME(0,35,0),AND($AJ166&lt;=10,$AJ166&gt;5),TIME(0,20,0),$AJ166&gt;12,TIME(0,20,0),AND(AJ166&gt;3,$AJ166&lt;=5),TIME(0,10,0),$AJ166&lt;3,"")</f>
        <v>2.4305555555555556E-2</v>
      </c>
      <c r="AF166" s="23">
        <f t="shared" si="37"/>
        <v>6.9444444444444441E-3</v>
      </c>
      <c r="AG166" s="23"/>
      <c r="AH166" s="23">
        <v>0.16666666666666666</v>
      </c>
      <c r="AI166" s="30"/>
      <c r="AJ166" s="24">
        <f t="shared" si="38"/>
        <v>11.999999999999998</v>
      </c>
      <c r="AK166" s="23">
        <f t="shared" si="39"/>
        <v>7.2916666666666671E-2</v>
      </c>
      <c r="AL166" s="25">
        <f t="shared" si="40"/>
        <v>71.999999999999986</v>
      </c>
      <c r="AM166" s="25">
        <f t="shared" si="41"/>
        <v>61.499999999999986</v>
      </c>
      <c r="AN166" s="16">
        <f t="shared" si="42"/>
        <v>0.13584905660377355</v>
      </c>
      <c r="AO166" s="38"/>
      <c r="AP166" s="50" t="s">
        <v>283</v>
      </c>
      <c r="AQ166" s="34">
        <v>2</v>
      </c>
      <c r="AR166" s="30" t="s">
        <v>284</v>
      </c>
    </row>
    <row r="167" spans="2:44" ht="15" customHeight="1" x14ac:dyDescent="0.3">
      <c r="B167" s="98">
        <v>46044</v>
      </c>
      <c r="C167" s="21">
        <f t="shared" si="1"/>
        <v>1</v>
      </c>
      <c r="D167" s="18" t="s">
        <v>97</v>
      </c>
      <c r="E167" s="14">
        <v>109</v>
      </c>
      <c r="F167" s="14"/>
      <c r="G167" s="14">
        <v>86</v>
      </c>
      <c r="H167" s="14"/>
      <c r="I167" s="14"/>
      <c r="J167" s="14"/>
      <c r="K167" s="14"/>
      <c r="L167" s="14"/>
      <c r="M167" s="14"/>
      <c r="N167" s="14"/>
      <c r="O167" s="14"/>
      <c r="P167" s="14"/>
      <c r="Q167" s="14">
        <v>208</v>
      </c>
      <c r="R167" s="14"/>
      <c r="S167" s="14"/>
      <c r="T167" s="14">
        <v>52</v>
      </c>
      <c r="U167" s="14"/>
      <c r="V167" s="14"/>
      <c r="W167" s="14"/>
      <c r="X167" s="22">
        <f t="shared" si="35"/>
        <v>455</v>
      </c>
      <c r="Y167" s="14"/>
      <c r="Z167" s="31">
        <f>4+2</f>
        <v>6</v>
      </c>
      <c r="AA167" s="23">
        <v>0.79166666666666663</v>
      </c>
      <c r="AB167" s="23">
        <v>0.29166666666666669</v>
      </c>
      <c r="AC167" s="23" cm="1">
        <f t="array" ref="AC167">_xlfn.IFS($AJ167="","",$AJ167&gt;=8,TIME(1,0,0),$AJ167&lt;=5,"")</f>
        <v>4.1666666666666664E-2</v>
      </c>
      <c r="AD167" s="23" t="str">
        <f t="shared" si="36"/>
        <v/>
      </c>
      <c r="AE167" s="23" cm="1">
        <f t="array" ref="AE167">_xlfn.IFS($AA167="","",AND($AJ167&lt;=12,$AJ167&gt;10),TIME(0,35,0),AND($AJ167&lt;=10,$AJ167&gt;5),TIME(0,20,0),$AJ167&gt;12,TIME(0,20,0),AND(AJ167&gt;3,$AJ167&lt;=5),TIME(0,10,0),$AJ167&lt;3,"")</f>
        <v>2.4305555555555556E-2</v>
      </c>
      <c r="AF167" s="23">
        <f t="shared" si="37"/>
        <v>6.9444444444444441E-3</v>
      </c>
      <c r="AG167" s="23">
        <v>8.3333333333333329E-2</v>
      </c>
      <c r="AH167" s="30"/>
      <c r="AI167" s="23">
        <v>0.41666666666666669</v>
      </c>
      <c r="AJ167" s="24">
        <f t="shared" si="38"/>
        <v>12</v>
      </c>
      <c r="AK167" s="23">
        <f t="shared" si="39"/>
        <v>7.2916666666666671E-2</v>
      </c>
      <c r="AL167" s="25">
        <f t="shared" si="40"/>
        <v>72</v>
      </c>
      <c r="AM167" s="25">
        <f t="shared" si="41"/>
        <v>49.5</v>
      </c>
      <c r="AN167" s="16">
        <f t="shared" si="42"/>
        <v>0.15824175824175823</v>
      </c>
      <c r="AO167" s="38"/>
      <c r="AP167" s="19"/>
      <c r="AQ167" s="34"/>
      <c r="AR167" s="30" t="s">
        <v>285</v>
      </c>
    </row>
    <row r="168" spans="2:44" ht="15" customHeight="1" x14ac:dyDescent="0.3">
      <c r="B168" s="98">
        <v>46044</v>
      </c>
      <c r="C168" s="21">
        <f t="shared" si="1"/>
        <v>1</v>
      </c>
      <c r="D168" s="18" t="s">
        <v>98</v>
      </c>
      <c r="E168" s="14">
        <v>93</v>
      </c>
      <c r="F168" s="14"/>
      <c r="G168" s="14">
        <v>82</v>
      </c>
      <c r="H168" s="14"/>
      <c r="I168" s="14">
        <v>1</v>
      </c>
      <c r="J168" s="14">
        <v>62</v>
      </c>
      <c r="K168" s="14"/>
      <c r="L168" s="14"/>
      <c r="M168" s="14"/>
      <c r="N168" s="14"/>
      <c r="O168" s="14"/>
      <c r="P168" s="14"/>
      <c r="Q168" s="14">
        <f>218+15</f>
        <v>233</v>
      </c>
      <c r="R168" s="14"/>
      <c r="S168" s="14"/>
      <c r="T168" s="14">
        <v>39</v>
      </c>
      <c r="U168" s="14">
        <v>49</v>
      </c>
      <c r="V168" s="14">
        <v>5</v>
      </c>
      <c r="W168" s="14"/>
      <c r="X168" s="22">
        <f t="shared" si="35"/>
        <v>564</v>
      </c>
      <c r="Y168" s="14"/>
      <c r="Z168" s="31">
        <f>17+2+17</f>
        <v>36</v>
      </c>
      <c r="AA168" s="23">
        <v>0.29166666666666669</v>
      </c>
      <c r="AB168" s="23">
        <v>0.79166666666666663</v>
      </c>
      <c r="AC168" s="23" cm="1">
        <f t="array" ref="AC168">_xlfn.IFS($AJ168="","",$AJ168&gt;=8,TIME(1,0,0),$AJ168&lt;=5,"")</f>
        <v>4.1666666666666664E-2</v>
      </c>
      <c r="AD168" s="23" t="str">
        <f t="shared" si="36"/>
        <v/>
      </c>
      <c r="AE168" s="23" cm="1">
        <f t="array" ref="AE168">_xlfn.IFS($AA168="","",AND($AJ168&lt;=12,$AJ168&gt;10),TIME(0,35,0),AND($AJ168&lt;=10,$AJ168&gt;5),TIME(0,20,0),$AJ168&gt;12,TIME(0,20,0),AND(AJ168&gt;3,$AJ168&lt;=5),TIME(0,10,0),$AJ168&lt;3,"")</f>
        <v>2.4305555555555556E-2</v>
      </c>
      <c r="AF168" s="23">
        <f t="shared" si="37"/>
        <v>6.9444444444444441E-3</v>
      </c>
      <c r="AG168" s="23">
        <v>8.3333333333333329E-2</v>
      </c>
      <c r="AH168" s="30"/>
      <c r="AI168" s="30"/>
      <c r="AJ168" s="24">
        <f t="shared" si="38"/>
        <v>11.999999999999998</v>
      </c>
      <c r="AK168" s="23">
        <f t="shared" si="39"/>
        <v>7.2916666666666671E-2</v>
      </c>
      <c r="AL168" s="25">
        <f t="shared" si="40"/>
        <v>431.99999999999994</v>
      </c>
      <c r="AM168" s="25">
        <f t="shared" si="41"/>
        <v>296.99999999999994</v>
      </c>
      <c r="AN168" s="16">
        <f t="shared" si="42"/>
        <v>0.76595744680851052</v>
      </c>
      <c r="AO168" s="38"/>
      <c r="AP168" s="19"/>
      <c r="AQ168" s="34"/>
      <c r="AR168" s="30" t="s">
        <v>286</v>
      </c>
    </row>
    <row r="169" spans="2:44" ht="15" customHeight="1" x14ac:dyDescent="0.3">
      <c r="B169" s="98">
        <v>46044</v>
      </c>
      <c r="C169" s="21">
        <f t="shared" si="1"/>
        <v>1</v>
      </c>
      <c r="D169" s="18" t="s">
        <v>98</v>
      </c>
      <c r="E169" s="14">
        <v>115</v>
      </c>
      <c r="F169" s="14"/>
      <c r="G169" s="14">
        <v>88</v>
      </c>
      <c r="H169" s="14"/>
      <c r="I169" s="14"/>
      <c r="J169" s="14">
        <v>1</v>
      </c>
      <c r="K169" s="14"/>
      <c r="L169" s="14"/>
      <c r="M169" s="14"/>
      <c r="N169" s="14"/>
      <c r="O169" s="14"/>
      <c r="P169" s="14"/>
      <c r="Q169" s="14">
        <v>174</v>
      </c>
      <c r="R169" s="14"/>
      <c r="S169" s="14"/>
      <c r="T169" s="14">
        <v>47</v>
      </c>
      <c r="U169" s="14">
        <v>20</v>
      </c>
      <c r="V169" s="14"/>
      <c r="W169" s="14"/>
      <c r="X169" s="22">
        <f t="shared" si="35"/>
        <v>445</v>
      </c>
      <c r="Y169" s="14"/>
      <c r="Z169" s="31">
        <f>18+3+11</f>
        <v>32</v>
      </c>
      <c r="AA169" s="23">
        <v>0.79166666666666663</v>
      </c>
      <c r="AB169" s="23">
        <v>0.29166666666666669</v>
      </c>
      <c r="AC169" s="23" cm="1">
        <f t="array" ref="AC169">_xlfn.IFS($AJ169="","",$AJ169&gt;=8,TIME(1,0,0),$AJ169&lt;=5,"")</f>
        <v>4.1666666666666664E-2</v>
      </c>
      <c r="AD169" s="23" t="str">
        <f t="shared" si="36"/>
        <v/>
      </c>
      <c r="AE169" s="23" cm="1">
        <f t="array" ref="AE169">_xlfn.IFS($AA169="","",AND($AJ169&lt;=12,$AJ169&gt;10),TIME(0,35,0),AND($AJ169&lt;=10,$AJ169&gt;5),TIME(0,20,0),$AJ169&gt;12,TIME(0,20,0),AND(AJ169&gt;3,$AJ169&lt;=5),TIME(0,10,0),$AJ169&lt;3,"")</f>
        <v>2.4305555555555556E-2</v>
      </c>
      <c r="AF169" s="23">
        <f t="shared" si="37"/>
        <v>6.9444444444444441E-3</v>
      </c>
      <c r="AG169" s="23">
        <v>6.25E-2</v>
      </c>
      <c r="AH169" s="30"/>
      <c r="AI169" s="30"/>
      <c r="AJ169" s="24">
        <f t="shared" si="38"/>
        <v>12</v>
      </c>
      <c r="AK169" s="23">
        <f t="shared" si="39"/>
        <v>7.2916666666666671E-2</v>
      </c>
      <c r="AL169" s="25">
        <f t="shared" si="40"/>
        <v>384</v>
      </c>
      <c r="AM169" s="25">
        <f t="shared" si="41"/>
        <v>280</v>
      </c>
      <c r="AN169" s="16">
        <f t="shared" si="42"/>
        <v>0.86292134831460676</v>
      </c>
      <c r="AO169" s="38"/>
      <c r="AP169" s="19"/>
      <c r="AQ169" s="34"/>
      <c r="AR169" s="30" t="s">
        <v>287</v>
      </c>
    </row>
    <row r="170" spans="2:44" ht="15" customHeight="1" x14ac:dyDescent="0.3">
      <c r="B170" s="98">
        <v>46044</v>
      </c>
      <c r="C170" s="21">
        <f t="shared" si="1"/>
        <v>1</v>
      </c>
      <c r="D170" s="18" t="s">
        <v>99</v>
      </c>
      <c r="E170" s="14">
        <v>232</v>
      </c>
      <c r="F170" s="14">
        <v>1</v>
      </c>
      <c r="G170" s="14">
        <v>74</v>
      </c>
      <c r="H170" s="14"/>
      <c r="I170" s="14">
        <v>7</v>
      </c>
      <c r="J170" s="14">
        <v>94</v>
      </c>
      <c r="K170" s="14"/>
      <c r="L170" s="14"/>
      <c r="M170" s="14"/>
      <c r="N170" s="14"/>
      <c r="O170" s="14"/>
      <c r="P170" s="14"/>
      <c r="Q170" s="14">
        <f>75+64+5</f>
        <v>144</v>
      </c>
      <c r="R170" s="14"/>
      <c r="S170" s="14"/>
      <c r="T170" s="14">
        <v>11</v>
      </c>
      <c r="U170" s="14">
        <v>32</v>
      </c>
      <c r="V170" s="14">
        <v>31</v>
      </c>
      <c r="W170" s="14"/>
      <c r="X170" s="22">
        <f t="shared" si="35"/>
        <v>626</v>
      </c>
      <c r="Y170" s="14"/>
      <c r="Z170" s="31">
        <f>18+8+9</f>
        <v>35</v>
      </c>
      <c r="AA170" s="23">
        <v>0.29166666666666669</v>
      </c>
      <c r="AB170" s="23">
        <v>0.79166666666666663</v>
      </c>
      <c r="AC170" s="23" cm="1">
        <f t="array" ref="AC170">_xlfn.IFS($AJ170="","",$AJ170&gt;=8,TIME(1,0,0),$AJ170&lt;=5,"")</f>
        <v>4.1666666666666664E-2</v>
      </c>
      <c r="AD170" s="23" t="str">
        <f t="shared" si="36"/>
        <v/>
      </c>
      <c r="AE170" s="23" cm="1">
        <f t="array" ref="AE170">_xlfn.IFS($AA170="","",AND($AJ170&lt;=12,$AJ170&gt;10),TIME(0,35,0),AND($AJ170&lt;=10,$AJ170&gt;5),TIME(0,20,0),$AJ170&gt;12,TIME(0,20,0),AND(AJ170&gt;3,$AJ170&lt;=5),TIME(0,10,0),$AJ170&lt;3,"")</f>
        <v>2.4305555555555556E-2</v>
      </c>
      <c r="AF170" s="23">
        <f t="shared" si="37"/>
        <v>6.9444444444444441E-3</v>
      </c>
      <c r="AG170" s="23"/>
      <c r="AH170" s="30"/>
      <c r="AI170" s="23">
        <v>0.10069444444444445</v>
      </c>
      <c r="AJ170" s="24">
        <f t="shared" si="38"/>
        <v>11.999999999999998</v>
      </c>
      <c r="AK170" s="23">
        <f t="shared" si="39"/>
        <v>7.2916666666666671E-2</v>
      </c>
      <c r="AL170" s="25">
        <f t="shared" si="40"/>
        <v>419.99999999999994</v>
      </c>
      <c r="AM170" s="25">
        <f t="shared" si="41"/>
        <v>358.74999999999994</v>
      </c>
      <c r="AN170" s="16">
        <f t="shared" si="42"/>
        <v>0.67092651757188493</v>
      </c>
      <c r="AO170" s="38"/>
      <c r="AP170" s="19"/>
      <c r="AQ170" s="34"/>
      <c r="AR170" s="30" t="s">
        <v>288</v>
      </c>
    </row>
    <row r="171" spans="2:44" ht="15" customHeight="1" x14ac:dyDescent="0.3">
      <c r="B171" s="98">
        <v>46044</v>
      </c>
      <c r="C171" s="21">
        <f t="shared" si="1"/>
        <v>1</v>
      </c>
      <c r="D171" s="18" t="s">
        <v>99</v>
      </c>
      <c r="E171" s="14">
        <v>67</v>
      </c>
      <c r="F171" s="14">
        <v>1</v>
      </c>
      <c r="G171" s="14">
        <v>58</v>
      </c>
      <c r="H171" s="14"/>
      <c r="I171" s="14">
        <v>1</v>
      </c>
      <c r="J171" s="14">
        <v>40</v>
      </c>
      <c r="K171" s="14">
        <v>1</v>
      </c>
      <c r="L171" s="14"/>
      <c r="M171" s="14"/>
      <c r="N171" s="14">
        <v>2</v>
      </c>
      <c r="O171" s="14"/>
      <c r="P171" s="14"/>
      <c r="Q171" s="14">
        <f>22+195+7</f>
        <v>224</v>
      </c>
      <c r="R171" s="14"/>
      <c r="S171" s="14"/>
      <c r="T171" s="14">
        <f>48+1</f>
        <v>49</v>
      </c>
      <c r="U171" s="14">
        <v>26</v>
      </c>
      <c r="V171" s="14">
        <v>5</v>
      </c>
      <c r="W171" s="14"/>
      <c r="X171" s="22">
        <f t="shared" si="35"/>
        <v>474</v>
      </c>
      <c r="Y171" s="14"/>
      <c r="Z171" s="31">
        <f>15+5+14</f>
        <v>34</v>
      </c>
      <c r="AA171" s="23">
        <v>0.79166666666666663</v>
      </c>
      <c r="AB171" s="23">
        <v>0.29166666666666669</v>
      </c>
      <c r="AC171" s="23" cm="1">
        <f t="array" ref="AC171">_xlfn.IFS($AJ171="","",$AJ171&gt;=8,TIME(1,0,0),$AJ171&lt;=5,"")</f>
        <v>4.1666666666666664E-2</v>
      </c>
      <c r="AD171" s="23" t="str">
        <f t="shared" si="36"/>
        <v/>
      </c>
      <c r="AE171" s="23" cm="1">
        <f t="array" ref="AE171">_xlfn.IFS($AA171="","",AND($AJ171&lt;=12,$AJ171&gt;10),TIME(0,35,0),AND($AJ171&lt;=10,$AJ171&gt;5),TIME(0,20,0),$AJ171&gt;12,TIME(0,20,0),AND(AJ171&gt;3,$AJ171&lt;=5),TIME(0,10,0),$AJ171&lt;3,"")</f>
        <v>2.4305555555555556E-2</v>
      </c>
      <c r="AF171" s="23">
        <f t="shared" si="37"/>
        <v>6.9444444444444441E-3</v>
      </c>
      <c r="AG171" s="23">
        <v>0.10416666666666667</v>
      </c>
      <c r="AH171" s="30"/>
      <c r="AI171" s="30"/>
      <c r="AJ171" s="24">
        <f t="shared" si="38"/>
        <v>12</v>
      </c>
      <c r="AK171" s="23">
        <f t="shared" si="39"/>
        <v>7.2916666666666671E-2</v>
      </c>
      <c r="AL171" s="25">
        <f t="shared" si="40"/>
        <v>408</v>
      </c>
      <c r="AM171" s="25">
        <f t="shared" si="41"/>
        <v>263.5</v>
      </c>
      <c r="AN171" s="16">
        <f t="shared" si="42"/>
        <v>0.86075949367088611</v>
      </c>
      <c r="AO171" s="16">
        <f>IF(COUNTIF(B164:B171,B164)=8,1/SUM(AN164:AN171),"")</f>
        <v>0.18366463760396262</v>
      </c>
      <c r="AP171" s="19"/>
      <c r="AQ171" s="34"/>
      <c r="AR171" s="30" t="s">
        <v>289</v>
      </c>
    </row>
    <row r="172" spans="2:44" ht="15" customHeight="1" x14ac:dyDescent="0.3">
      <c r="B172" s="97">
        <v>46045</v>
      </c>
      <c r="C172" s="21">
        <f t="shared" si="1"/>
        <v>1</v>
      </c>
      <c r="D172" s="36" t="s">
        <v>96</v>
      </c>
      <c r="E172" s="14">
        <v>181</v>
      </c>
      <c r="F172" s="14"/>
      <c r="G172" s="14">
        <v>180</v>
      </c>
      <c r="H172" s="14"/>
      <c r="I172" s="14"/>
      <c r="J172" s="14"/>
      <c r="K172" s="14"/>
      <c r="L172" s="14"/>
      <c r="M172" s="14"/>
      <c r="N172" s="14"/>
      <c r="O172" s="14"/>
      <c r="P172" s="14"/>
      <c r="Q172" s="14">
        <v>290</v>
      </c>
      <c r="R172" s="14"/>
      <c r="S172" s="14"/>
      <c r="T172" s="14">
        <f>71+1+1</f>
        <v>73</v>
      </c>
      <c r="U172" s="14"/>
      <c r="V172" s="14"/>
      <c r="W172" s="14"/>
      <c r="X172" s="22">
        <f t="shared" si="35"/>
        <v>724</v>
      </c>
      <c r="Y172" s="14"/>
      <c r="Z172" s="31">
        <f>14+1+12+18+1+10</f>
        <v>56</v>
      </c>
      <c r="AA172" s="23">
        <v>0.29166666666666669</v>
      </c>
      <c r="AB172" s="23">
        <v>0.79166666666666663</v>
      </c>
      <c r="AC172" s="23" cm="1">
        <f t="array" ref="AC172">_xlfn.IFS($AJ172="","",$AJ172&gt;=8,TIME(1,0,0),$AJ172&lt;=5,"")</f>
        <v>4.1666666666666664E-2</v>
      </c>
      <c r="AD172" s="23" t="str">
        <f t="shared" si="36"/>
        <v/>
      </c>
      <c r="AE172" s="23" cm="1">
        <f t="array" ref="AE172">_xlfn.IFS($AA172="","",AND($AJ172&lt;=12,$AJ172&gt;10),TIME(0,35,0),AND($AJ172&lt;=10,$AJ172&gt;5),TIME(0,20,0),$AJ172&gt;12,TIME(0,20,0),AND(AJ172&gt;3,$AJ172&lt;=5),TIME(0,10,0),$AJ172&lt;3,"")</f>
        <v>2.4305555555555556E-2</v>
      </c>
      <c r="AF172" s="23">
        <f t="shared" si="37"/>
        <v>6.9444444444444441E-3</v>
      </c>
      <c r="AG172" s="23"/>
      <c r="AH172" s="30"/>
      <c r="AI172" s="30"/>
      <c r="AJ172" s="24">
        <f t="shared" si="38"/>
        <v>11.999999999999998</v>
      </c>
      <c r="AK172" s="23">
        <f t="shared" si="39"/>
        <v>7.2916666666666671E-2</v>
      </c>
      <c r="AL172" s="25">
        <f t="shared" si="40"/>
        <v>671.99999999999989</v>
      </c>
      <c r="AM172" s="25">
        <f t="shared" si="41"/>
        <v>573.99999999999989</v>
      </c>
      <c r="AN172" s="16">
        <f t="shared" si="42"/>
        <v>0.92817679558011035</v>
      </c>
      <c r="AO172" s="38"/>
      <c r="AP172" s="19"/>
      <c r="AQ172" s="34"/>
      <c r="AR172" s="30"/>
    </row>
    <row r="173" spans="2:44" ht="15" customHeight="1" x14ac:dyDescent="0.3">
      <c r="B173" s="97">
        <v>46045</v>
      </c>
      <c r="C173" s="21">
        <f t="shared" si="1"/>
        <v>1</v>
      </c>
      <c r="D173" s="36" t="s">
        <v>96</v>
      </c>
      <c r="E173" s="14">
        <v>94</v>
      </c>
      <c r="F173" s="14"/>
      <c r="G173" s="14">
        <v>2</v>
      </c>
      <c r="H173" s="14"/>
      <c r="I173" s="14"/>
      <c r="J173" s="14"/>
      <c r="K173" s="14"/>
      <c r="L173" s="14"/>
      <c r="M173" s="14"/>
      <c r="N173" s="14"/>
      <c r="O173" s="14"/>
      <c r="P173" s="14"/>
      <c r="Q173" s="14">
        <v>260</v>
      </c>
      <c r="R173" s="14"/>
      <c r="S173" s="14"/>
      <c r="T173" s="14"/>
      <c r="U173" s="14"/>
      <c r="V173" s="14"/>
      <c r="W173" s="14"/>
      <c r="X173" s="22">
        <f t="shared" si="35"/>
        <v>356</v>
      </c>
      <c r="Y173" s="14"/>
      <c r="Z173" s="31">
        <f>21+10</f>
        <v>31</v>
      </c>
      <c r="AA173" s="23">
        <v>0.79166666666666663</v>
      </c>
      <c r="AB173" s="23">
        <v>0.29166666666666669</v>
      </c>
      <c r="AC173" s="23" cm="1">
        <f t="array" ref="AC173">_xlfn.IFS($AJ173="","",$AJ173&gt;=8,TIME(1,0,0),$AJ173&lt;=5,"")</f>
        <v>4.1666666666666664E-2</v>
      </c>
      <c r="AD173" s="23" t="str">
        <f t="shared" si="36"/>
        <v/>
      </c>
      <c r="AE173" s="23" cm="1">
        <f t="array" ref="AE173">_xlfn.IFS($AA173="","",AND($AJ173&lt;=12,$AJ173&gt;10),TIME(0,35,0),AND($AJ173&lt;=10,$AJ173&gt;5),TIME(0,20,0),$AJ173&gt;12,TIME(0,20,0),AND(AJ173&gt;3,$AJ173&lt;=5),TIME(0,10,0),$AJ173&lt;3,"")</f>
        <v>2.4305555555555556E-2</v>
      </c>
      <c r="AF173" s="23">
        <f t="shared" si="37"/>
        <v>6.9444444444444441E-3</v>
      </c>
      <c r="AG173" s="23"/>
      <c r="AH173" s="30"/>
      <c r="AI173" s="30"/>
      <c r="AJ173" s="24">
        <f t="shared" si="38"/>
        <v>12</v>
      </c>
      <c r="AK173" s="23">
        <f t="shared" si="39"/>
        <v>7.2916666666666671E-2</v>
      </c>
      <c r="AL173" s="25">
        <f t="shared" si="40"/>
        <v>372</v>
      </c>
      <c r="AM173" s="25">
        <f t="shared" si="41"/>
        <v>317.75</v>
      </c>
      <c r="AN173" s="16">
        <f t="shared" si="42"/>
        <v>1.0449438202247192</v>
      </c>
      <c r="AO173" s="38"/>
      <c r="AP173" s="19"/>
      <c r="AQ173" s="34"/>
      <c r="AR173" s="30"/>
    </row>
    <row r="174" spans="2:44" ht="15" customHeight="1" x14ac:dyDescent="0.3">
      <c r="B174" s="97">
        <v>46045</v>
      </c>
      <c r="C174" s="21">
        <f t="shared" si="1"/>
        <v>1</v>
      </c>
      <c r="D174" s="18" t="s">
        <v>97</v>
      </c>
      <c r="E174" s="17">
        <v>126</v>
      </c>
      <c r="F174" s="14"/>
      <c r="G174" s="14">
        <v>106</v>
      </c>
      <c r="H174" s="14"/>
      <c r="I174" s="14"/>
      <c r="J174" s="14"/>
      <c r="K174" s="14"/>
      <c r="L174" s="14"/>
      <c r="M174" s="14"/>
      <c r="N174" s="14"/>
      <c r="O174" s="14"/>
      <c r="P174" s="14"/>
      <c r="Q174" s="14">
        <v>292</v>
      </c>
      <c r="R174" s="14"/>
      <c r="S174" s="14"/>
      <c r="T174" s="14">
        <v>66</v>
      </c>
      <c r="U174" s="14"/>
      <c r="V174" s="14"/>
      <c r="W174" s="14"/>
      <c r="X174" s="22">
        <f t="shared" si="35"/>
        <v>590</v>
      </c>
      <c r="Y174" s="14"/>
      <c r="Z174" s="31">
        <f>4+2</f>
        <v>6</v>
      </c>
      <c r="AA174" s="23">
        <v>0.29166666666666669</v>
      </c>
      <c r="AB174" s="23">
        <v>0.79166666666666663</v>
      </c>
      <c r="AC174" s="23" cm="1">
        <f t="array" ref="AC174">_xlfn.IFS($AJ174="","",$AJ174&gt;=8,TIME(1,0,0),$AJ174&lt;=5,"")</f>
        <v>4.1666666666666664E-2</v>
      </c>
      <c r="AD174" s="23" t="str">
        <f t="shared" si="36"/>
        <v/>
      </c>
      <c r="AE174" s="23" cm="1">
        <f t="array" ref="AE174">_xlfn.IFS($AA174="","",AND($AJ174&lt;=12,$AJ174&gt;10),TIME(0,35,0),AND($AJ174&lt;=10,$AJ174&gt;5),TIME(0,20,0),$AJ174&gt;12,TIME(0,20,0),AND(AJ174&gt;3,$AJ174&lt;=5),TIME(0,10,0),$AJ174&lt;3,"")</f>
        <v>2.4305555555555556E-2</v>
      </c>
      <c r="AF174" s="23">
        <f t="shared" si="37"/>
        <v>6.9444444444444441E-3</v>
      </c>
      <c r="AG174" s="23"/>
      <c r="AH174" s="30"/>
      <c r="AI174" s="23">
        <v>0.25</v>
      </c>
      <c r="AJ174" s="24">
        <f t="shared" si="38"/>
        <v>11.999999999999998</v>
      </c>
      <c r="AK174" s="23">
        <f t="shared" si="39"/>
        <v>7.2916666666666671E-2</v>
      </c>
      <c r="AL174" s="25">
        <f t="shared" si="40"/>
        <v>71.999999999999986</v>
      </c>
      <c r="AM174" s="25">
        <f t="shared" si="41"/>
        <v>61.499999999999986</v>
      </c>
      <c r="AN174" s="16">
        <f t="shared" si="42"/>
        <v>0.12203389830508472</v>
      </c>
      <c r="AO174" s="38"/>
      <c r="AP174" s="19"/>
      <c r="AQ174" s="34"/>
      <c r="AR174" s="30" t="s">
        <v>290</v>
      </c>
    </row>
    <row r="175" spans="2:44" ht="15" customHeight="1" x14ac:dyDescent="0.3">
      <c r="B175" s="97">
        <v>46045</v>
      </c>
      <c r="C175" s="21">
        <f t="shared" si="1"/>
        <v>1</v>
      </c>
      <c r="D175" s="18" t="s">
        <v>97</v>
      </c>
      <c r="E175" s="14">
        <v>112</v>
      </c>
      <c r="F175" s="14"/>
      <c r="G175" s="14">
        <v>83</v>
      </c>
      <c r="H175" s="14"/>
      <c r="I175" s="14"/>
      <c r="J175" s="14"/>
      <c r="K175" s="14"/>
      <c r="L175" s="14"/>
      <c r="M175" s="14"/>
      <c r="N175" s="14"/>
      <c r="O175" s="14"/>
      <c r="P175" s="14"/>
      <c r="Q175" s="14">
        <v>241</v>
      </c>
      <c r="R175" s="14"/>
      <c r="S175" s="14"/>
      <c r="T175" s="14">
        <v>29</v>
      </c>
      <c r="U175" s="14"/>
      <c r="V175" s="14"/>
      <c r="W175" s="14"/>
      <c r="X175" s="22">
        <f t="shared" si="35"/>
        <v>465</v>
      </c>
      <c r="Y175" s="14"/>
      <c r="Z175" s="31">
        <f>4+1</f>
        <v>5</v>
      </c>
      <c r="AA175" s="23">
        <v>0.79166666666666663</v>
      </c>
      <c r="AB175" s="23">
        <v>0.29166666666666669</v>
      </c>
      <c r="AC175" s="23" cm="1">
        <f t="array" ref="AC175">_xlfn.IFS($AJ175="","",$AJ175&gt;=8,TIME(1,0,0),$AJ175&lt;=5,"")</f>
        <v>4.1666666666666664E-2</v>
      </c>
      <c r="AD175" s="23" t="str">
        <f t="shared" si="36"/>
        <v/>
      </c>
      <c r="AE175" s="23" cm="1">
        <f t="array" ref="AE175">_xlfn.IFS($AA175="","",AND($AJ175&lt;=12,$AJ175&gt;10),TIME(0,35,0),AND($AJ175&lt;=10,$AJ175&gt;5),TIME(0,20,0),$AJ175&gt;12,TIME(0,20,0),AND(AJ175&gt;3,$AJ175&lt;=5),TIME(0,10,0),$AJ175&lt;3,"")</f>
        <v>2.4305555555555556E-2</v>
      </c>
      <c r="AF175" s="23">
        <f t="shared" si="37"/>
        <v>6.9444444444444441E-3</v>
      </c>
      <c r="AG175" s="23"/>
      <c r="AH175" s="30"/>
      <c r="AI175" s="23">
        <v>0.16666666666666666</v>
      </c>
      <c r="AJ175" s="24">
        <f t="shared" si="38"/>
        <v>12</v>
      </c>
      <c r="AK175" s="23">
        <f t="shared" si="39"/>
        <v>7.2916666666666671E-2</v>
      </c>
      <c r="AL175" s="25">
        <f t="shared" si="40"/>
        <v>60</v>
      </c>
      <c r="AM175" s="25">
        <f t="shared" si="41"/>
        <v>51.25</v>
      </c>
      <c r="AN175" s="16">
        <f t="shared" si="42"/>
        <v>0.12903225806451613</v>
      </c>
      <c r="AO175" s="38"/>
      <c r="AP175" s="19"/>
      <c r="AQ175" s="34"/>
      <c r="AR175" s="30" t="s">
        <v>291</v>
      </c>
    </row>
    <row r="176" spans="2:44" ht="15" customHeight="1" x14ac:dyDescent="0.3">
      <c r="B176" s="97">
        <v>46045</v>
      </c>
      <c r="C176" s="21">
        <f t="shared" si="1"/>
        <v>1</v>
      </c>
      <c r="D176" s="18" t="s">
        <v>98</v>
      </c>
      <c r="E176" s="14">
        <v>108</v>
      </c>
      <c r="F176" s="14"/>
      <c r="G176" s="14">
        <v>77</v>
      </c>
      <c r="H176" s="14"/>
      <c r="I176" s="14"/>
      <c r="J176" s="14">
        <v>5</v>
      </c>
      <c r="K176" s="14"/>
      <c r="L176" s="14"/>
      <c r="M176" s="14"/>
      <c r="N176" s="14"/>
      <c r="O176" s="14"/>
      <c r="P176" s="14"/>
      <c r="Q176" s="14">
        <v>262</v>
      </c>
      <c r="R176" s="14"/>
      <c r="S176" s="14"/>
      <c r="T176" s="14">
        <v>47</v>
      </c>
      <c r="U176" s="14">
        <v>5</v>
      </c>
      <c r="V176" s="14"/>
      <c r="W176" s="14"/>
      <c r="X176" s="22">
        <f t="shared" ref="X176:X178" si="43">SUM(E176:W176)</f>
        <v>504</v>
      </c>
      <c r="Y176" s="14"/>
      <c r="Z176" s="31">
        <f>17+2+19</f>
        <v>38</v>
      </c>
      <c r="AA176" s="23">
        <v>0.29166666666666669</v>
      </c>
      <c r="AB176" s="23">
        <v>0.79166666666666663</v>
      </c>
      <c r="AC176" s="23" cm="1">
        <f t="array" ref="AC176">_xlfn.IFS($AJ176="","",$AJ176&gt;=8,TIME(1,0,0),$AJ176&lt;=5,"")</f>
        <v>4.1666666666666664E-2</v>
      </c>
      <c r="AD176" s="23" t="str">
        <f t="shared" si="36"/>
        <v/>
      </c>
      <c r="AE176" s="23" cm="1">
        <f t="array" ref="AE176">_xlfn.IFS($AA176="","",AND($AJ176&lt;=12,$AJ176&gt;10),TIME(0,35,0),AND($AJ176&lt;=10,$AJ176&gt;5),TIME(0,20,0),$AJ176&gt;12,TIME(0,20,0),AND(AJ176&gt;3,$AJ176&lt;=5),TIME(0,10,0),$AJ176&lt;3,"")</f>
        <v>2.4305555555555556E-2</v>
      </c>
      <c r="AF176" s="23">
        <f t="shared" si="37"/>
        <v>6.9444444444444441E-3</v>
      </c>
      <c r="AG176" s="23">
        <v>6.25E-2</v>
      </c>
      <c r="AH176" s="30"/>
      <c r="AI176" s="30"/>
      <c r="AJ176" s="24">
        <f t="shared" si="38"/>
        <v>11.999999999999998</v>
      </c>
      <c r="AK176" s="23">
        <f t="shared" si="39"/>
        <v>7.2916666666666671E-2</v>
      </c>
      <c r="AL176" s="25">
        <f t="shared" si="40"/>
        <v>455.99999999999994</v>
      </c>
      <c r="AM176" s="25">
        <f t="shared" si="41"/>
        <v>332.49999999999994</v>
      </c>
      <c r="AN176" s="16">
        <f t="shared" si="42"/>
        <v>0.90476190476190466</v>
      </c>
      <c r="AO176" s="38"/>
      <c r="AP176" s="19"/>
      <c r="AQ176" s="34"/>
      <c r="AR176" s="30" t="s">
        <v>292</v>
      </c>
    </row>
    <row r="177" spans="2:44" ht="15" customHeight="1" x14ac:dyDescent="0.3">
      <c r="B177" s="97">
        <v>46045</v>
      </c>
      <c r="C177" s="21">
        <f t="shared" si="1"/>
        <v>1</v>
      </c>
      <c r="D177" s="18" t="s">
        <v>98</v>
      </c>
      <c r="E177" s="14">
        <v>103</v>
      </c>
      <c r="F177" s="14"/>
      <c r="G177" s="14">
        <v>104</v>
      </c>
      <c r="H177" s="14"/>
      <c r="I177" s="14"/>
      <c r="J177" s="14"/>
      <c r="K177" s="14"/>
      <c r="L177" s="14"/>
      <c r="M177" s="14"/>
      <c r="N177" s="14"/>
      <c r="O177" s="14"/>
      <c r="P177" s="14"/>
      <c r="Q177" s="14">
        <v>170</v>
      </c>
      <c r="R177" s="14"/>
      <c r="S177" s="14"/>
      <c r="T177" s="14">
        <v>46</v>
      </c>
      <c r="U177" s="14">
        <v>50</v>
      </c>
      <c r="V177" s="14"/>
      <c r="W177" s="14"/>
      <c r="X177" s="22">
        <f t="shared" si="43"/>
        <v>473</v>
      </c>
      <c r="Y177" s="14"/>
      <c r="Z177" s="31">
        <f>18+5+11</f>
        <v>34</v>
      </c>
      <c r="AA177" s="23">
        <v>0.79166666666666663</v>
      </c>
      <c r="AB177" s="23">
        <v>0.29166666666666669</v>
      </c>
      <c r="AC177" s="23" cm="1">
        <f t="array" ref="AC177">_xlfn.IFS($AJ177="","",$AJ177&gt;=8,TIME(1,0,0),$AJ177&lt;=5,"")</f>
        <v>4.1666666666666664E-2</v>
      </c>
      <c r="AD177" s="23" t="str">
        <f t="shared" si="36"/>
        <v/>
      </c>
      <c r="AE177" s="23" cm="1">
        <f t="array" ref="AE177">_xlfn.IFS($AA177="","",AND($AJ177&lt;=12,$AJ177&gt;10),TIME(0,35,0),AND($AJ177&lt;=10,$AJ177&gt;5),TIME(0,20,0),$AJ177&gt;12,TIME(0,20,0),AND(AJ177&gt;3,$AJ177&lt;=5),TIME(0,10,0),$AJ177&lt;3,"")</f>
        <v>2.4305555555555556E-2</v>
      </c>
      <c r="AF177" s="23">
        <f t="shared" si="37"/>
        <v>6.9444444444444441E-3</v>
      </c>
      <c r="AG177" s="23">
        <v>3.4722222222222224E-2</v>
      </c>
      <c r="AH177" s="30"/>
      <c r="AI177" s="30"/>
      <c r="AJ177" s="24">
        <f t="shared" si="38"/>
        <v>12</v>
      </c>
      <c r="AK177" s="23">
        <f t="shared" si="39"/>
        <v>7.2916666666666671E-2</v>
      </c>
      <c r="AL177" s="25">
        <f t="shared" si="40"/>
        <v>408</v>
      </c>
      <c r="AM177" s="25">
        <f t="shared" si="41"/>
        <v>320.16666666666663</v>
      </c>
      <c r="AN177" s="16">
        <f t="shared" si="42"/>
        <v>0.86257928118393234</v>
      </c>
      <c r="AO177" s="38"/>
      <c r="AP177" s="19"/>
      <c r="AQ177" s="34"/>
      <c r="AR177" s="30" t="s">
        <v>293</v>
      </c>
    </row>
    <row r="178" spans="2:44" ht="15" customHeight="1" x14ac:dyDescent="0.3">
      <c r="B178" s="97">
        <v>46045</v>
      </c>
      <c r="C178" s="21">
        <f t="shared" si="1"/>
        <v>1</v>
      </c>
      <c r="D178" s="18" t="s">
        <v>99</v>
      </c>
      <c r="E178" s="14">
        <v>123</v>
      </c>
      <c r="F178" s="14"/>
      <c r="G178" s="14">
        <v>98</v>
      </c>
      <c r="H178" s="14">
        <v>1</v>
      </c>
      <c r="I178" s="14"/>
      <c r="J178" s="14">
        <v>4</v>
      </c>
      <c r="K178" s="14"/>
      <c r="L178" s="14"/>
      <c r="M178" s="14">
        <f>2+1</f>
        <v>3</v>
      </c>
      <c r="N178" s="14"/>
      <c r="O178" s="14"/>
      <c r="P178" s="14"/>
      <c r="Q178" s="14">
        <f>201+24+3</f>
        <v>228</v>
      </c>
      <c r="R178" s="14"/>
      <c r="S178" s="14"/>
      <c r="T178" s="14">
        <v>65</v>
      </c>
      <c r="U178" s="14">
        <v>22</v>
      </c>
      <c r="V178" s="14"/>
      <c r="W178" s="14"/>
      <c r="X178" s="22">
        <f t="shared" si="43"/>
        <v>544</v>
      </c>
      <c r="Y178" s="14"/>
      <c r="Z178" s="31">
        <f>18+8+9</f>
        <v>35</v>
      </c>
      <c r="AA178" s="23">
        <v>0.29166666666666669</v>
      </c>
      <c r="AB178" s="23">
        <v>0.79166666666666663</v>
      </c>
      <c r="AC178" s="23" cm="1">
        <f t="array" ref="AC178">_xlfn.IFS($AJ178="","",$AJ178&gt;=8,TIME(1,0,0),$AJ178&lt;=5,"")</f>
        <v>4.1666666666666664E-2</v>
      </c>
      <c r="AD178" s="23" t="str">
        <f t="shared" si="36"/>
        <v/>
      </c>
      <c r="AE178" s="23" cm="1">
        <f t="array" ref="AE178">_xlfn.IFS($AA178="","",AND($AJ178&lt;=12,$AJ178&gt;10),TIME(0,35,0),AND($AJ178&lt;=10,$AJ178&gt;5),TIME(0,20,0),$AJ178&gt;12,TIME(0,20,0),AND(AJ178&gt;3,$AJ178&lt;=5),TIME(0,10,0),$AJ178&lt;3,"")</f>
        <v>2.4305555555555556E-2</v>
      </c>
      <c r="AF178" s="23">
        <f t="shared" si="37"/>
        <v>6.9444444444444441E-3</v>
      </c>
      <c r="AG178" s="23"/>
      <c r="AH178" s="30"/>
      <c r="AI178" s="30"/>
      <c r="AJ178" s="24">
        <f t="shared" si="38"/>
        <v>11.999999999999998</v>
      </c>
      <c r="AK178" s="23">
        <f t="shared" si="39"/>
        <v>7.2916666666666671E-2</v>
      </c>
      <c r="AL178" s="25">
        <f t="shared" si="40"/>
        <v>419.99999999999994</v>
      </c>
      <c r="AM178" s="25">
        <f t="shared" si="41"/>
        <v>358.74999999999994</v>
      </c>
      <c r="AN178" s="16">
        <f t="shared" si="42"/>
        <v>0.77205882352941169</v>
      </c>
      <c r="AO178" s="38"/>
      <c r="AP178" s="19"/>
      <c r="AQ178" s="34"/>
      <c r="AR178" s="30"/>
    </row>
    <row r="179" spans="2:44" ht="15" customHeight="1" x14ac:dyDescent="0.3">
      <c r="B179" s="97">
        <v>46045</v>
      </c>
      <c r="C179" s="21">
        <f t="shared" si="1"/>
        <v>1</v>
      </c>
      <c r="D179" s="18" t="s">
        <v>99</v>
      </c>
      <c r="E179" s="14">
        <v>122</v>
      </c>
      <c r="F179" s="14">
        <v>1</v>
      </c>
      <c r="G179" s="14">
        <v>93</v>
      </c>
      <c r="H179" s="14"/>
      <c r="I179" s="14">
        <v>2</v>
      </c>
      <c r="J179" s="14">
        <v>6</v>
      </c>
      <c r="K179" s="14">
        <v>1</v>
      </c>
      <c r="L179" s="14"/>
      <c r="M179" s="14"/>
      <c r="N179" s="14"/>
      <c r="O179" s="14"/>
      <c r="P179" s="14"/>
      <c r="Q179" s="14">
        <f>3+6+242</f>
        <v>251</v>
      </c>
      <c r="R179" s="14"/>
      <c r="S179" s="14"/>
      <c r="T179" s="14">
        <v>44</v>
      </c>
      <c r="U179" s="14">
        <v>4</v>
      </c>
      <c r="V179" s="14"/>
      <c r="W179" s="14"/>
      <c r="X179" s="22">
        <f t="shared" ref="X179:X233" si="44">SUM(E179:W179)</f>
        <v>524</v>
      </c>
      <c r="Y179" s="14"/>
      <c r="Z179" s="31">
        <f>17+5+15</f>
        <v>37</v>
      </c>
      <c r="AA179" s="23">
        <v>0.79166666666666663</v>
      </c>
      <c r="AB179" s="23">
        <v>0.29166666666666669</v>
      </c>
      <c r="AC179" s="23" cm="1">
        <f t="array" ref="AC179">_xlfn.IFS($AJ179="","",$AJ179&gt;=8,TIME(1,0,0),$AJ179&lt;=5,"")</f>
        <v>4.1666666666666664E-2</v>
      </c>
      <c r="AD179" s="23" t="str">
        <f t="shared" si="36"/>
        <v/>
      </c>
      <c r="AE179" s="23" cm="1">
        <f t="array" ref="AE179">_xlfn.IFS($AA179="","",AND($AJ179&lt;=12,$AJ179&gt;10),TIME(0,35,0),AND($AJ179&lt;=10,$AJ179&gt;5),TIME(0,20,0),$AJ179&gt;12,TIME(0,20,0),AND(AJ179&gt;3,$AJ179&lt;=5),TIME(0,10,0),$AJ179&lt;3,"")</f>
        <v>2.4305555555555556E-2</v>
      </c>
      <c r="AF179" s="23">
        <f t="shared" si="37"/>
        <v>6.9444444444444441E-3</v>
      </c>
      <c r="AG179" s="23"/>
      <c r="AH179" s="30"/>
      <c r="AI179" s="30"/>
      <c r="AJ179" s="24">
        <f t="shared" si="38"/>
        <v>12</v>
      </c>
      <c r="AK179" s="23">
        <f t="shared" si="39"/>
        <v>7.2916666666666671E-2</v>
      </c>
      <c r="AL179" s="25">
        <f t="shared" si="40"/>
        <v>444</v>
      </c>
      <c r="AM179" s="25">
        <f t="shared" si="41"/>
        <v>379.25</v>
      </c>
      <c r="AN179" s="16">
        <f t="shared" si="42"/>
        <v>0.84732824427480913</v>
      </c>
      <c r="AO179" s="16">
        <f>IF(COUNTIF(B172:B179,B172)=8,1/SUM(AN172:AN179),"")</f>
        <v>0.17822404997752289</v>
      </c>
      <c r="AP179" s="19"/>
      <c r="AQ179" s="34"/>
      <c r="AR179" s="30" t="s">
        <v>294</v>
      </c>
    </row>
    <row r="180" spans="2:44" ht="15" customHeight="1" x14ac:dyDescent="0.3">
      <c r="B180" s="98">
        <v>46046</v>
      </c>
      <c r="C180" s="21">
        <f t="shared" si="1"/>
        <v>1</v>
      </c>
      <c r="D180" s="36" t="s">
        <v>96</v>
      </c>
      <c r="E180" s="14">
        <f>140+3</f>
        <v>143</v>
      </c>
      <c r="F180" s="14"/>
      <c r="G180" s="14">
        <v>100</v>
      </c>
      <c r="H180" s="14">
        <v>100</v>
      </c>
      <c r="I180" s="14"/>
      <c r="J180" s="14"/>
      <c r="K180" s="14"/>
      <c r="L180" s="14"/>
      <c r="M180" s="14"/>
      <c r="N180" s="14"/>
      <c r="O180" s="14"/>
      <c r="P180" s="14"/>
      <c r="Q180" s="14">
        <f>270+3</f>
        <v>273</v>
      </c>
      <c r="R180" s="14"/>
      <c r="S180" s="14"/>
      <c r="T180" s="14">
        <f>33+50</f>
        <v>83</v>
      </c>
      <c r="U180" s="14"/>
      <c r="V180" s="14"/>
      <c r="W180" s="14"/>
      <c r="X180" s="22">
        <f t="shared" si="44"/>
        <v>699</v>
      </c>
      <c r="Y180" s="14"/>
      <c r="Z180" s="31">
        <f>15+10+18+10</f>
        <v>53</v>
      </c>
      <c r="AA180" s="23">
        <v>0.29166666666666669</v>
      </c>
      <c r="AB180" s="23">
        <v>0.79166666666666663</v>
      </c>
      <c r="AC180" s="23" cm="1">
        <f t="array" ref="AC180">_xlfn.IFS($AJ180="","",$AJ180&gt;=8,TIME(1,0,0),$AJ180&lt;=5,"")</f>
        <v>4.1666666666666664E-2</v>
      </c>
      <c r="AD180" s="23" t="str">
        <f t="shared" si="36"/>
        <v/>
      </c>
      <c r="AE180" s="23" cm="1">
        <f t="array" ref="AE180">_xlfn.IFS($AA180="","",AND($AJ180&lt;=12,$AJ180&gt;10),TIME(0,35,0),AND($AJ180&lt;=10,$AJ180&gt;5),TIME(0,20,0),$AJ180&gt;12,TIME(0,20,0),AND(AJ180&gt;3,$AJ180&lt;=5),TIME(0,10,0),$AJ180&lt;3,"")</f>
        <v>2.4305555555555556E-2</v>
      </c>
      <c r="AF180" s="23">
        <f t="shared" si="37"/>
        <v>6.9444444444444441E-3</v>
      </c>
      <c r="AG180" s="23"/>
      <c r="AH180" s="30"/>
      <c r="AI180" s="30"/>
      <c r="AJ180" s="24">
        <f t="shared" si="38"/>
        <v>11.999999999999998</v>
      </c>
      <c r="AK180" s="23">
        <f t="shared" si="39"/>
        <v>7.2916666666666671E-2</v>
      </c>
      <c r="AL180" s="25">
        <f t="shared" si="40"/>
        <v>635.99999999999989</v>
      </c>
      <c r="AM180" s="25">
        <f t="shared" si="41"/>
        <v>543.24999999999989</v>
      </c>
      <c r="AN180" s="16">
        <f t="shared" si="42"/>
        <v>0.90987124463519298</v>
      </c>
      <c r="AO180" s="38"/>
      <c r="AP180" s="19"/>
      <c r="AQ180" s="34"/>
      <c r="AR180" s="30"/>
    </row>
    <row r="181" spans="2:44" ht="15" customHeight="1" x14ac:dyDescent="0.3">
      <c r="B181" s="98">
        <v>46046</v>
      </c>
      <c r="C181" s="21">
        <f t="shared" si="1"/>
        <v>1</v>
      </c>
      <c r="D181" s="36" t="s">
        <v>96</v>
      </c>
      <c r="E181" s="14"/>
      <c r="F181" s="14"/>
      <c r="G181" s="14"/>
      <c r="H181" s="14"/>
      <c r="I181" s="14"/>
      <c r="J181" s="14"/>
      <c r="K181" s="14"/>
      <c r="L181" s="14"/>
      <c r="M181" s="14"/>
      <c r="N181" s="14"/>
      <c r="O181" s="14"/>
      <c r="P181" s="14"/>
      <c r="Q181" s="14">
        <f>129+97+74</f>
        <v>300</v>
      </c>
      <c r="R181" s="14"/>
      <c r="S181" s="14"/>
      <c r="T181" s="14"/>
      <c r="U181" s="14"/>
      <c r="V181" s="14"/>
      <c r="W181" s="14"/>
      <c r="X181" s="22">
        <f t="shared" si="44"/>
        <v>300</v>
      </c>
      <c r="Y181" s="14"/>
      <c r="Z181" s="31">
        <f>21+11</f>
        <v>32</v>
      </c>
      <c r="AA181" s="23">
        <v>0.79166666666666663</v>
      </c>
      <c r="AB181" s="23">
        <v>0.29166666666666669</v>
      </c>
      <c r="AC181" s="23" cm="1">
        <f t="array" ref="AC181">_xlfn.IFS($AJ181="","",$AJ181&gt;=8,TIME(1,0,0),$AJ181&lt;=5,"")</f>
        <v>4.1666666666666664E-2</v>
      </c>
      <c r="AD181" s="23" t="str">
        <f t="shared" si="36"/>
        <v/>
      </c>
      <c r="AE181" s="23" cm="1">
        <f t="array" ref="AE181">_xlfn.IFS($AA181="","",AND($AJ181&lt;=12,$AJ181&gt;10),TIME(0,35,0),AND($AJ181&lt;=10,$AJ181&gt;5),TIME(0,20,0),$AJ181&gt;12,TIME(0,20,0),AND(AJ181&gt;3,$AJ181&lt;=5),TIME(0,10,0),$AJ181&lt;3,"")</f>
        <v>2.4305555555555556E-2</v>
      </c>
      <c r="AF181" s="23">
        <f t="shared" si="37"/>
        <v>6.9444444444444441E-3</v>
      </c>
      <c r="AG181" s="23"/>
      <c r="AH181" s="30"/>
      <c r="AI181" s="30"/>
      <c r="AJ181" s="24">
        <f t="shared" si="38"/>
        <v>12</v>
      </c>
      <c r="AK181" s="23">
        <f t="shared" si="39"/>
        <v>7.2916666666666671E-2</v>
      </c>
      <c r="AL181" s="25">
        <f t="shared" si="40"/>
        <v>384</v>
      </c>
      <c r="AM181" s="25">
        <f t="shared" si="41"/>
        <v>328</v>
      </c>
      <c r="AN181" s="16">
        <f t="shared" si="42"/>
        <v>1.28</v>
      </c>
      <c r="AO181" s="38"/>
      <c r="AP181" s="19"/>
      <c r="AQ181" s="34"/>
      <c r="AR181" s="30"/>
    </row>
    <row r="182" spans="2:44" ht="15" customHeight="1" x14ac:dyDescent="0.3">
      <c r="B182" s="98">
        <v>46046</v>
      </c>
      <c r="C182" s="21">
        <f t="shared" si="1"/>
        <v>1</v>
      </c>
      <c r="D182" s="18" t="s">
        <v>97</v>
      </c>
      <c r="E182" s="14">
        <v>141</v>
      </c>
      <c r="F182" s="14"/>
      <c r="G182" s="14">
        <v>99</v>
      </c>
      <c r="H182" s="14">
        <v>14</v>
      </c>
      <c r="I182" s="14"/>
      <c r="J182" s="14"/>
      <c r="K182" s="14"/>
      <c r="L182" s="14"/>
      <c r="M182" s="14"/>
      <c r="N182" s="14"/>
      <c r="O182" s="14"/>
      <c r="P182" s="14"/>
      <c r="Q182" s="14">
        <v>287</v>
      </c>
      <c r="R182" s="14"/>
      <c r="S182" s="14"/>
      <c r="T182" s="14">
        <f>33+12</f>
        <v>45</v>
      </c>
      <c r="U182" s="14"/>
      <c r="V182" s="14"/>
      <c r="W182" s="14"/>
      <c r="X182" s="22">
        <f t="shared" si="44"/>
        <v>586</v>
      </c>
      <c r="Y182" s="14"/>
      <c r="Z182" s="31">
        <f>4+2</f>
        <v>6</v>
      </c>
      <c r="AA182" s="23">
        <v>0.29166666666666669</v>
      </c>
      <c r="AB182" s="23">
        <v>0.79166666666666663</v>
      </c>
      <c r="AC182" s="23" cm="1">
        <f t="array" ref="AC182">_xlfn.IFS($AJ182="","",$AJ182&gt;=8,TIME(1,0,0),$AJ182&lt;=5,"")</f>
        <v>4.1666666666666664E-2</v>
      </c>
      <c r="AD182" s="23" t="str">
        <f t="shared" si="36"/>
        <v/>
      </c>
      <c r="AE182" s="23" cm="1">
        <f t="array" ref="AE182">_xlfn.IFS($AA182="","",AND($AJ182&lt;=12,$AJ182&gt;10),TIME(0,35,0),AND($AJ182&lt;=10,$AJ182&gt;5),TIME(0,20,0),$AJ182&gt;12,TIME(0,20,0),AND(AJ182&gt;3,$AJ182&lt;=5),TIME(0,10,0),$AJ182&lt;3,"")</f>
        <v>2.4305555555555556E-2</v>
      </c>
      <c r="AF182" s="23">
        <f t="shared" si="37"/>
        <v>6.9444444444444441E-3</v>
      </c>
      <c r="AG182" s="23">
        <v>5.5555555555555552E-2</v>
      </c>
      <c r="AH182" s="30"/>
      <c r="AI182" s="23">
        <v>0.375</v>
      </c>
      <c r="AJ182" s="24">
        <f t="shared" si="38"/>
        <v>11.999999999999998</v>
      </c>
      <c r="AK182" s="23">
        <f t="shared" si="39"/>
        <v>7.2916666666666671E-2</v>
      </c>
      <c r="AL182" s="25">
        <f t="shared" si="40"/>
        <v>71.999999999999986</v>
      </c>
      <c r="AM182" s="25">
        <f t="shared" si="41"/>
        <v>53.499999999999986</v>
      </c>
      <c r="AN182" s="16">
        <f t="shared" si="42"/>
        <v>0.1228668941979522</v>
      </c>
      <c r="AO182" s="38"/>
      <c r="AP182" s="19"/>
      <c r="AQ182" s="34"/>
      <c r="AR182" s="30" t="s">
        <v>295</v>
      </c>
    </row>
    <row r="183" spans="2:44" ht="15" customHeight="1" x14ac:dyDescent="0.3">
      <c r="B183" s="98">
        <v>46046</v>
      </c>
      <c r="C183" s="21">
        <f t="shared" si="1"/>
        <v>1</v>
      </c>
      <c r="D183" s="18" t="s">
        <v>97</v>
      </c>
      <c r="E183" s="14">
        <v>57</v>
      </c>
      <c r="F183" s="14"/>
      <c r="G183" s="14"/>
      <c r="H183" s="14">
        <v>81</v>
      </c>
      <c r="I183" s="14"/>
      <c r="J183" s="14"/>
      <c r="K183" s="14"/>
      <c r="L183" s="14"/>
      <c r="M183" s="14"/>
      <c r="N183" s="14"/>
      <c r="O183" s="14"/>
      <c r="P183" s="14"/>
      <c r="Q183" s="14">
        <v>295</v>
      </c>
      <c r="R183" s="14"/>
      <c r="S183" s="14"/>
      <c r="T183" s="14">
        <v>38</v>
      </c>
      <c r="U183" s="14"/>
      <c r="V183" s="14"/>
      <c r="W183" s="14"/>
      <c r="X183" s="22">
        <f t="shared" si="44"/>
        <v>471</v>
      </c>
      <c r="Y183" s="14"/>
      <c r="Z183" s="31">
        <f>4+2</f>
        <v>6</v>
      </c>
      <c r="AA183" s="23">
        <v>0.79166666666666663</v>
      </c>
      <c r="AB183" s="23">
        <v>0.29166666666666669</v>
      </c>
      <c r="AC183" s="23" cm="1">
        <f t="array" ref="AC183">_xlfn.IFS($AJ183="","",$AJ183&gt;=8,TIME(1,0,0),$AJ183&lt;=5,"")</f>
        <v>4.1666666666666664E-2</v>
      </c>
      <c r="AD183" s="23" t="str">
        <f t="shared" si="36"/>
        <v/>
      </c>
      <c r="AE183" s="23" cm="1">
        <f t="array" ref="AE183">_xlfn.IFS($AA183="","",AND($AJ183&lt;=12,$AJ183&gt;10),TIME(0,35,0),AND($AJ183&lt;=10,$AJ183&gt;5),TIME(0,20,0),$AJ183&gt;12,TIME(0,20,0),AND(AJ183&gt;3,$AJ183&lt;=5),TIME(0,10,0),$AJ183&lt;3,"")</f>
        <v>2.4305555555555556E-2</v>
      </c>
      <c r="AF183" s="23">
        <f t="shared" si="37"/>
        <v>6.9444444444444441E-3</v>
      </c>
      <c r="AG183" s="23">
        <v>1.3888888888888888E-2</v>
      </c>
      <c r="AH183" s="30"/>
      <c r="AI183" s="23">
        <v>0.16666666666666666</v>
      </c>
      <c r="AJ183" s="24">
        <f t="shared" si="38"/>
        <v>12</v>
      </c>
      <c r="AK183" s="23">
        <f t="shared" si="39"/>
        <v>7.2916666666666671E-2</v>
      </c>
      <c r="AL183" s="25">
        <f t="shared" si="40"/>
        <v>72</v>
      </c>
      <c r="AM183" s="25">
        <f t="shared" si="41"/>
        <v>59.500000000000007</v>
      </c>
      <c r="AN183" s="16">
        <f t="shared" si="42"/>
        <v>0.15286624203821655</v>
      </c>
      <c r="AO183" s="38"/>
      <c r="AP183" s="19"/>
      <c r="AQ183" s="34"/>
      <c r="AR183" s="30" t="s">
        <v>296</v>
      </c>
    </row>
    <row r="184" spans="2:44" ht="15" customHeight="1" x14ac:dyDescent="0.3">
      <c r="B184" s="98">
        <v>46046</v>
      </c>
      <c r="C184" s="21">
        <f t="shared" si="1"/>
        <v>1</v>
      </c>
      <c r="D184" s="18" t="s">
        <v>98</v>
      </c>
      <c r="E184" s="14">
        <v>137</v>
      </c>
      <c r="F184" s="14"/>
      <c r="G184" s="14">
        <v>88</v>
      </c>
      <c r="H184" s="14"/>
      <c r="I184" s="14"/>
      <c r="J184" s="14"/>
      <c r="K184" s="14">
        <v>1</v>
      </c>
      <c r="L184" s="14"/>
      <c r="M184" s="14"/>
      <c r="N184" s="14"/>
      <c r="O184" s="14"/>
      <c r="P184" s="14"/>
      <c r="Q184" s="14">
        <v>291</v>
      </c>
      <c r="R184" s="14"/>
      <c r="S184" s="14"/>
      <c r="T184" s="14">
        <v>51</v>
      </c>
      <c r="U184" s="14">
        <v>1</v>
      </c>
      <c r="V184" s="14">
        <v>3</v>
      </c>
      <c r="W184" s="14"/>
      <c r="X184" s="22">
        <f t="shared" si="44"/>
        <v>572</v>
      </c>
      <c r="Y184" s="14"/>
      <c r="Z184" s="31">
        <f>17+2+17</f>
        <v>36</v>
      </c>
      <c r="AA184" s="23">
        <v>0.29166666666666669</v>
      </c>
      <c r="AB184" s="23">
        <v>0.79166666666666663</v>
      </c>
      <c r="AC184" s="23" cm="1">
        <f t="array" ref="AC184">_xlfn.IFS($AJ184="","",$AJ184&gt;=8,TIME(1,0,0),$AJ184&lt;=5,"")</f>
        <v>4.1666666666666664E-2</v>
      </c>
      <c r="AD184" s="23" t="str">
        <f t="shared" si="36"/>
        <v/>
      </c>
      <c r="AE184" s="23" cm="1">
        <f t="array" ref="AE184">_xlfn.IFS($AA184="","",AND($AJ184&lt;=12,$AJ184&gt;10),TIME(0,35,0),AND($AJ184&lt;=10,$AJ184&gt;5),TIME(0,20,0),$AJ184&gt;12,TIME(0,20,0),AND(AJ184&gt;3,$AJ184&lt;=5),TIME(0,10,0),$AJ184&lt;3,"")</f>
        <v>2.4305555555555556E-2</v>
      </c>
      <c r="AF184" s="23">
        <f t="shared" si="37"/>
        <v>6.9444444444444441E-3</v>
      </c>
      <c r="AG184" s="23"/>
      <c r="AH184" s="30"/>
      <c r="AI184" s="30"/>
      <c r="AJ184" s="24">
        <f t="shared" si="38"/>
        <v>11.999999999999998</v>
      </c>
      <c r="AK184" s="23">
        <f t="shared" si="39"/>
        <v>7.2916666666666671E-2</v>
      </c>
      <c r="AL184" s="25">
        <f t="shared" si="40"/>
        <v>431.99999999999994</v>
      </c>
      <c r="AM184" s="25">
        <f t="shared" si="41"/>
        <v>368.99999999999994</v>
      </c>
      <c r="AN184" s="16">
        <f t="shared" si="42"/>
        <v>0.75524475524475509</v>
      </c>
      <c r="AO184" s="38"/>
      <c r="AP184" s="19"/>
      <c r="AQ184" s="34"/>
      <c r="AR184" s="30"/>
    </row>
    <row r="185" spans="2:44" ht="15" customHeight="1" x14ac:dyDescent="0.3">
      <c r="B185" s="98">
        <v>46046</v>
      </c>
      <c r="C185" s="21">
        <f t="shared" si="1"/>
        <v>1</v>
      </c>
      <c r="D185" s="18" t="s">
        <v>98</v>
      </c>
      <c r="E185" s="14">
        <v>104</v>
      </c>
      <c r="F185" s="14">
        <v>47</v>
      </c>
      <c r="G185" s="14">
        <v>35</v>
      </c>
      <c r="H185" s="14"/>
      <c r="I185" s="14"/>
      <c r="J185" s="14"/>
      <c r="K185" s="14"/>
      <c r="L185" s="14"/>
      <c r="M185" s="14"/>
      <c r="N185" s="14"/>
      <c r="O185" s="14"/>
      <c r="P185" s="14"/>
      <c r="Q185" s="14">
        <v>316</v>
      </c>
      <c r="R185" s="14"/>
      <c r="S185" s="14"/>
      <c r="T185" s="14">
        <v>28</v>
      </c>
      <c r="U185" s="14"/>
      <c r="V185" s="14"/>
      <c r="W185" s="14"/>
      <c r="X185" s="22">
        <f t="shared" si="44"/>
        <v>530</v>
      </c>
      <c r="Y185" s="14"/>
      <c r="Z185" s="31">
        <f>19+4+11</f>
        <v>34</v>
      </c>
      <c r="AA185" s="23">
        <v>0.79166666666666663</v>
      </c>
      <c r="AB185" s="23">
        <v>0.29166666666666669</v>
      </c>
      <c r="AC185" s="23" cm="1">
        <f t="array" ref="AC185">_xlfn.IFS($AJ185="","",$AJ185&gt;=8,TIME(1,0,0),$AJ185&lt;=5,"")</f>
        <v>4.1666666666666664E-2</v>
      </c>
      <c r="AD185" s="23" t="str">
        <f t="shared" si="36"/>
        <v/>
      </c>
      <c r="AE185" s="23" cm="1">
        <f t="array" ref="AE185">_xlfn.IFS($AA185="","",AND($AJ185&lt;=12,$AJ185&gt;10),TIME(0,35,0),AND($AJ185&lt;=10,$AJ185&gt;5),TIME(0,20,0),$AJ185&gt;12,TIME(0,20,0),AND(AJ185&gt;3,$AJ185&lt;=5),TIME(0,10,0),$AJ185&lt;3,"")</f>
        <v>2.4305555555555556E-2</v>
      </c>
      <c r="AF185" s="23">
        <f t="shared" si="37"/>
        <v>6.9444444444444441E-3</v>
      </c>
      <c r="AG185" s="23"/>
      <c r="AH185" s="30"/>
      <c r="AI185" s="30"/>
      <c r="AJ185" s="24">
        <f t="shared" si="38"/>
        <v>12</v>
      </c>
      <c r="AK185" s="23">
        <f t="shared" si="39"/>
        <v>7.2916666666666671E-2</v>
      </c>
      <c r="AL185" s="25">
        <f t="shared" si="40"/>
        <v>408</v>
      </c>
      <c r="AM185" s="25">
        <f t="shared" si="41"/>
        <v>348.5</v>
      </c>
      <c r="AN185" s="16">
        <f t="shared" si="42"/>
        <v>0.76981132075471703</v>
      </c>
      <c r="AO185" s="38"/>
      <c r="AP185" s="19"/>
      <c r="AQ185" s="34"/>
      <c r="AR185" s="30"/>
    </row>
    <row r="186" spans="2:44" ht="15" customHeight="1" x14ac:dyDescent="0.3">
      <c r="B186" s="98">
        <v>46046</v>
      </c>
      <c r="C186" s="21">
        <f t="shared" si="1"/>
        <v>1</v>
      </c>
      <c r="D186" s="18" t="s">
        <v>99</v>
      </c>
      <c r="E186" s="14">
        <v>122</v>
      </c>
      <c r="F186" s="14"/>
      <c r="G186" s="14">
        <v>75</v>
      </c>
      <c r="H186" s="14"/>
      <c r="I186" s="14"/>
      <c r="J186" s="14">
        <v>2</v>
      </c>
      <c r="K186" s="14">
        <v>1</v>
      </c>
      <c r="L186" s="14"/>
      <c r="M186" s="14"/>
      <c r="N186" s="14"/>
      <c r="O186" s="14"/>
      <c r="P186" s="14"/>
      <c r="Q186" s="14">
        <f>9+251</f>
        <v>260</v>
      </c>
      <c r="R186" s="14"/>
      <c r="S186" s="14"/>
      <c r="T186" s="14">
        <f>31+1</f>
        <v>32</v>
      </c>
      <c r="U186" s="14">
        <v>49</v>
      </c>
      <c r="V186" s="14"/>
      <c r="W186" s="14"/>
      <c r="X186" s="22">
        <f t="shared" si="44"/>
        <v>541</v>
      </c>
      <c r="Y186" s="14"/>
      <c r="Z186" s="31">
        <f>19+9+7</f>
        <v>35</v>
      </c>
      <c r="AA186" s="23">
        <v>0.29166666666666669</v>
      </c>
      <c r="AB186" s="23">
        <v>0.79166666666666663</v>
      </c>
      <c r="AC186" s="23" cm="1">
        <f t="array" ref="AC186">_xlfn.IFS($AJ186="","",$AJ186&gt;=8,TIME(1,0,0),$AJ186&lt;=5,"")</f>
        <v>4.1666666666666664E-2</v>
      </c>
      <c r="AD186" s="23" t="str">
        <f t="shared" si="36"/>
        <v/>
      </c>
      <c r="AE186" s="23" cm="1">
        <f t="array" ref="AE186">_xlfn.IFS($AA186="","",AND($AJ186&lt;=12,$AJ186&gt;10),TIME(0,35,0),AND($AJ186&lt;=10,$AJ186&gt;5),TIME(0,20,0),$AJ186&gt;12,TIME(0,20,0),AND(AJ186&gt;3,$AJ186&lt;=5),TIME(0,10,0),$AJ186&lt;3,"")</f>
        <v>2.4305555555555556E-2</v>
      </c>
      <c r="AF186" s="23">
        <f t="shared" si="37"/>
        <v>6.9444444444444441E-3</v>
      </c>
      <c r="AG186" s="23"/>
      <c r="AH186" s="30"/>
      <c r="AI186" s="30"/>
      <c r="AJ186" s="24">
        <f t="shared" si="38"/>
        <v>11.999999999999998</v>
      </c>
      <c r="AK186" s="23">
        <f t="shared" si="39"/>
        <v>7.2916666666666671E-2</v>
      </c>
      <c r="AL186" s="25">
        <f t="shared" si="40"/>
        <v>419.99999999999994</v>
      </c>
      <c r="AM186" s="25">
        <f t="shared" si="41"/>
        <v>358.74999999999994</v>
      </c>
      <c r="AN186" s="16">
        <f t="shared" si="42"/>
        <v>0.77634011090573007</v>
      </c>
      <c r="AO186" s="38"/>
      <c r="AP186" s="19"/>
      <c r="AQ186" s="34"/>
      <c r="AR186" s="30"/>
    </row>
    <row r="187" spans="2:44" ht="15" customHeight="1" x14ac:dyDescent="0.3">
      <c r="B187" s="98">
        <v>46046</v>
      </c>
      <c r="C187" s="21">
        <f t="shared" si="1"/>
        <v>1</v>
      </c>
      <c r="D187" s="18" t="s">
        <v>99</v>
      </c>
      <c r="E187" s="14">
        <v>121</v>
      </c>
      <c r="F187" s="14"/>
      <c r="G187" s="14">
        <v>101</v>
      </c>
      <c r="H187" s="14">
        <v>25</v>
      </c>
      <c r="I187" s="14"/>
      <c r="J187" s="14">
        <v>1</v>
      </c>
      <c r="K187" s="14"/>
      <c r="L187" s="14"/>
      <c r="M187" s="14"/>
      <c r="N187" s="14"/>
      <c r="O187" s="14">
        <v>1</v>
      </c>
      <c r="P187" s="14"/>
      <c r="Q187" s="14">
        <f>263+4+1</f>
        <v>268</v>
      </c>
      <c r="R187" s="14"/>
      <c r="S187" s="14"/>
      <c r="T187" s="14">
        <v>52</v>
      </c>
      <c r="U187" s="14">
        <v>1</v>
      </c>
      <c r="V187" s="14"/>
      <c r="W187" s="14"/>
      <c r="X187" s="22">
        <f t="shared" si="44"/>
        <v>570</v>
      </c>
      <c r="Y187" s="14"/>
      <c r="Z187" s="31">
        <f>17+5+14</f>
        <v>36</v>
      </c>
      <c r="AA187" s="23">
        <v>0.79166666666666663</v>
      </c>
      <c r="AB187" s="23">
        <v>0.29166666666666669</v>
      </c>
      <c r="AC187" s="23" cm="1">
        <f t="array" ref="AC187">_xlfn.IFS($AJ187="","",$AJ187&gt;=8,TIME(1,0,0),$AJ187&lt;=5,"")</f>
        <v>4.1666666666666664E-2</v>
      </c>
      <c r="AD187" s="23" t="str">
        <f t="shared" si="36"/>
        <v/>
      </c>
      <c r="AE187" s="23" cm="1">
        <f t="array" ref="AE187">_xlfn.IFS($AA187="","",AND($AJ187&lt;=12,$AJ187&gt;10),TIME(0,35,0),AND($AJ187&lt;=10,$AJ187&gt;5),TIME(0,20,0),$AJ187&gt;12,TIME(0,20,0),AND(AJ187&gt;3,$AJ187&lt;=5),TIME(0,10,0),$AJ187&lt;3,"")</f>
        <v>2.4305555555555556E-2</v>
      </c>
      <c r="AF187" s="23">
        <f t="shared" si="37"/>
        <v>6.9444444444444441E-3</v>
      </c>
      <c r="AG187" s="23"/>
      <c r="AH187" s="30"/>
      <c r="AI187" s="30"/>
      <c r="AJ187" s="24">
        <f t="shared" si="38"/>
        <v>12</v>
      </c>
      <c r="AK187" s="23">
        <f t="shared" si="39"/>
        <v>7.2916666666666671E-2</v>
      </c>
      <c r="AL187" s="25">
        <f t="shared" si="40"/>
        <v>432</v>
      </c>
      <c r="AM187" s="25">
        <f t="shared" si="41"/>
        <v>369</v>
      </c>
      <c r="AN187" s="16">
        <f t="shared" si="42"/>
        <v>0.75789473684210529</v>
      </c>
      <c r="AO187" s="16">
        <f>IF(COUNTIF(B180:B187,B180)=8,1/SUM(AN180:AN187),"")</f>
        <v>0.18099890493201309</v>
      </c>
      <c r="AP187" s="19"/>
      <c r="AQ187" s="34"/>
      <c r="AR187" s="30"/>
    </row>
    <row r="188" spans="2:44" ht="15" customHeight="1" x14ac:dyDescent="0.3">
      <c r="B188" s="97">
        <v>46047</v>
      </c>
      <c r="C188" s="21">
        <f t="shared" si="1"/>
        <v>1</v>
      </c>
      <c r="D188" s="18" t="s">
        <v>97</v>
      </c>
      <c r="E188" s="14">
        <v>5</v>
      </c>
      <c r="F188" s="14"/>
      <c r="G188" s="14"/>
      <c r="H188" s="14"/>
      <c r="I188" s="14"/>
      <c r="J188" s="14"/>
      <c r="K188" s="14"/>
      <c r="L188" s="14"/>
      <c r="M188" s="14"/>
      <c r="N188" s="14"/>
      <c r="O188" s="14"/>
      <c r="P188" s="14"/>
      <c r="Q188" s="14">
        <v>10</v>
      </c>
      <c r="R188" s="14"/>
      <c r="S188" s="14"/>
      <c r="T188" s="14"/>
      <c r="U188" s="14"/>
      <c r="V188" s="14"/>
      <c r="W188" s="14"/>
      <c r="X188" s="22">
        <f t="shared" si="44"/>
        <v>15</v>
      </c>
      <c r="Y188" s="14"/>
      <c r="Z188" s="31">
        <v>1</v>
      </c>
      <c r="AA188" s="23">
        <v>0.29166666666666669</v>
      </c>
      <c r="AB188" s="23">
        <v>0.70833333333333337</v>
      </c>
      <c r="AC188" s="23" cm="1">
        <f t="array" ref="AC188">_xlfn.IFS($AJ188="","",$AJ188&gt;=8,TIME(1,0,0),$AJ188&lt;=5,"")</f>
        <v>4.1666666666666664E-2</v>
      </c>
      <c r="AD188" s="23" t="str">
        <f t="shared" si="36"/>
        <v/>
      </c>
      <c r="AE188" s="23" cm="1">
        <f t="array" ref="AE188">_xlfn.IFS($AA188="","",AND($AJ188&lt;=12,$AJ188&gt;10),TIME(0,35,0),AND($AJ188&lt;=10,$AJ188&gt;5),TIME(0,20,0),$AJ188&gt;12,TIME(0,20,0),AND(AJ188&gt;3,$AJ188&lt;=5),TIME(0,10,0),$AJ188&lt;3,"")</f>
        <v>1.3888888888888888E-2</v>
      </c>
      <c r="AF188" s="23">
        <f t="shared" si="37"/>
        <v>6.9444444444444441E-3</v>
      </c>
      <c r="AG188" s="23"/>
      <c r="AH188" s="30"/>
      <c r="AI188" s="30"/>
      <c r="AJ188" s="24">
        <f t="shared" si="38"/>
        <v>10</v>
      </c>
      <c r="AK188" s="23">
        <f t="shared" si="39"/>
        <v>6.25E-2</v>
      </c>
      <c r="AL188" s="25">
        <f t="shared" si="40"/>
        <v>10</v>
      </c>
      <c r="AM188" s="25">
        <f t="shared" si="41"/>
        <v>8.5</v>
      </c>
      <c r="AN188" s="16">
        <f t="shared" si="42"/>
        <v>0.66666666666666663</v>
      </c>
      <c r="AO188" s="38"/>
      <c r="AP188" s="19"/>
      <c r="AQ188" s="34"/>
      <c r="AR188" s="30"/>
    </row>
    <row r="189" spans="2:44" ht="15" customHeight="1" x14ac:dyDescent="0.3">
      <c r="B189" s="97">
        <v>46047</v>
      </c>
      <c r="C189" s="21">
        <f t="shared" si="1"/>
        <v>1</v>
      </c>
      <c r="D189" s="18" t="s">
        <v>98</v>
      </c>
      <c r="E189" s="14">
        <v>29</v>
      </c>
      <c r="F189" s="14"/>
      <c r="G189" s="14">
        <v>5</v>
      </c>
      <c r="H189" s="14">
        <v>51</v>
      </c>
      <c r="I189" s="14">
        <v>2</v>
      </c>
      <c r="J189" s="14">
        <v>1</v>
      </c>
      <c r="K189" s="14">
        <v>3</v>
      </c>
      <c r="L189" s="14"/>
      <c r="M189" s="14"/>
      <c r="N189" s="14"/>
      <c r="O189" s="14">
        <v>3</v>
      </c>
      <c r="P189" s="14"/>
      <c r="Q189" s="14">
        <f>128+17</f>
        <v>145</v>
      </c>
      <c r="R189" s="14"/>
      <c r="S189" s="14"/>
      <c r="T189" s="14">
        <f>12+1</f>
        <v>13</v>
      </c>
      <c r="U189" s="14"/>
      <c r="V189" s="14"/>
      <c r="W189" s="14"/>
      <c r="X189" s="22">
        <f t="shared" si="44"/>
        <v>252</v>
      </c>
      <c r="Y189" s="14"/>
      <c r="Z189" s="31">
        <f>26+7+3</f>
        <v>36</v>
      </c>
      <c r="AA189" s="23">
        <v>0.29166666666666669</v>
      </c>
      <c r="AB189" s="23">
        <v>0.70833333333333337</v>
      </c>
      <c r="AC189" s="23" cm="1">
        <f t="array" ref="AC189">_xlfn.IFS($AJ189="","",$AJ189&gt;=8,TIME(1,0,0),$AJ189&lt;=5,"")</f>
        <v>4.1666666666666664E-2</v>
      </c>
      <c r="AD189" s="23" t="str">
        <f t="shared" si="36"/>
        <v/>
      </c>
      <c r="AE189" s="23" cm="1">
        <f t="array" ref="AE189">_xlfn.IFS($AA189="","",AND($AJ189&lt;=12,$AJ189&gt;10),TIME(0,35,0),AND($AJ189&lt;=10,$AJ189&gt;5),TIME(0,20,0),$AJ189&gt;12,TIME(0,20,0),AND(AJ189&gt;3,$AJ189&lt;=5),TIME(0,10,0),$AJ189&lt;3,"")</f>
        <v>1.3888888888888888E-2</v>
      </c>
      <c r="AF189" s="23">
        <f t="shared" si="37"/>
        <v>6.9444444444444441E-3</v>
      </c>
      <c r="AG189" s="23"/>
      <c r="AH189" s="30"/>
      <c r="AI189" s="30"/>
      <c r="AJ189" s="24">
        <f t="shared" si="38"/>
        <v>10</v>
      </c>
      <c r="AK189" s="23">
        <f t="shared" si="39"/>
        <v>6.25E-2</v>
      </c>
      <c r="AL189" s="25">
        <f t="shared" si="40"/>
        <v>360</v>
      </c>
      <c r="AM189" s="25">
        <f t="shared" si="41"/>
        <v>306</v>
      </c>
      <c r="AN189" s="16">
        <f t="shared" si="42"/>
        <v>1.4285714285714286</v>
      </c>
      <c r="AO189" s="38"/>
      <c r="AP189" s="19"/>
      <c r="AQ189" s="34"/>
      <c r="AR189" s="30"/>
    </row>
    <row r="190" spans="2:44" ht="15" customHeight="1" x14ac:dyDescent="0.3">
      <c r="B190" s="97">
        <v>46047</v>
      </c>
      <c r="C190" s="21">
        <f t="shared" si="1"/>
        <v>1</v>
      </c>
      <c r="D190" s="18" t="s">
        <v>99</v>
      </c>
      <c r="E190" s="14">
        <v>63</v>
      </c>
      <c r="F190" s="14"/>
      <c r="G190" s="14">
        <v>21</v>
      </c>
      <c r="H190" s="14">
        <v>52</v>
      </c>
      <c r="I190" s="14"/>
      <c r="J190" s="14"/>
      <c r="K190" s="14"/>
      <c r="L190" s="14"/>
      <c r="M190" s="14"/>
      <c r="N190" s="14"/>
      <c r="O190" s="14"/>
      <c r="P190" s="14"/>
      <c r="Q190" s="14">
        <f>194+4+2</f>
        <v>200</v>
      </c>
      <c r="R190" s="14"/>
      <c r="S190" s="14"/>
      <c r="T190" s="14"/>
      <c r="U190" s="14"/>
      <c r="V190" s="14"/>
      <c r="W190" s="14"/>
      <c r="X190" s="22">
        <f t="shared" si="44"/>
        <v>336</v>
      </c>
      <c r="Y190" s="14"/>
      <c r="Z190" s="31">
        <f>29+8</f>
        <v>37</v>
      </c>
      <c r="AA190" s="23">
        <v>0.29166666666666669</v>
      </c>
      <c r="AB190" s="23">
        <v>0.70833333333333337</v>
      </c>
      <c r="AC190" s="23" cm="1">
        <f t="array" ref="AC190">_xlfn.IFS($AJ190="","",$AJ190&gt;=8,TIME(1,0,0),$AJ190&lt;=5,"")</f>
        <v>4.1666666666666664E-2</v>
      </c>
      <c r="AD190" s="23" t="str">
        <f t="shared" si="36"/>
        <v/>
      </c>
      <c r="AE190" s="23" cm="1">
        <f t="array" ref="AE190">_xlfn.IFS($AA190="","",AND($AJ190&lt;=12,$AJ190&gt;10),TIME(0,35,0),AND($AJ190&lt;=10,$AJ190&gt;5),TIME(0,20,0),$AJ190&gt;12,TIME(0,20,0),AND(AJ190&gt;3,$AJ190&lt;=5),TIME(0,10,0),$AJ190&lt;3,"")</f>
        <v>1.3888888888888888E-2</v>
      </c>
      <c r="AF190" s="23">
        <f t="shared" si="37"/>
        <v>6.9444444444444441E-3</v>
      </c>
      <c r="AG190" s="23"/>
      <c r="AH190" s="30"/>
      <c r="AI190" s="23">
        <v>4.1666666666666664E-2</v>
      </c>
      <c r="AJ190" s="24">
        <f t="shared" si="38"/>
        <v>10</v>
      </c>
      <c r="AK190" s="23">
        <f t="shared" si="39"/>
        <v>6.25E-2</v>
      </c>
      <c r="AL190" s="25">
        <f t="shared" si="40"/>
        <v>370</v>
      </c>
      <c r="AM190" s="25">
        <f t="shared" si="41"/>
        <v>314.5</v>
      </c>
      <c r="AN190" s="16">
        <f t="shared" si="42"/>
        <v>1.1011904761904763</v>
      </c>
      <c r="AO190" s="16" t="str">
        <f>IF(COUNTIF(B188:B190,#REF!)=4,1/SUM(AN188:AN190),"")</f>
        <v/>
      </c>
      <c r="AP190" s="19"/>
      <c r="AQ190" s="34"/>
      <c r="AR190" s="30" t="s">
        <v>297</v>
      </c>
    </row>
    <row r="191" spans="2:44" ht="15" customHeight="1" x14ac:dyDescent="0.3">
      <c r="B191" s="98">
        <v>46048</v>
      </c>
      <c r="C191" s="21">
        <f t="shared" si="1"/>
        <v>1</v>
      </c>
      <c r="D191" s="36" t="s">
        <v>96</v>
      </c>
      <c r="E191" s="14">
        <v>254</v>
      </c>
      <c r="F191" s="14"/>
      <c r="G191" s="14"/>
      <c r="H191" s="14"/>
      <c r="I191" s="14"/>
      <c r="J191" s="14"/>
      <c r="K191" s="14"/>
      <c r="L191" s="14"/>
      <c r="M191" s="14"/>
      <c r="N191" s="14"/>
      <c r="O191" s="14"/>
      <c r="P191" s="14"/>
      <c r="Q191" s="14">
        <v>283</v>
      </c>
      <c r="R191" s="14"/>
      <c r="S191" s="14">
        <v>44</v>
      </c>
      <c r="T191" s="14">
        <f>50+48</f>
        <v>98</v>
      </c>
      <c r="U191" s="14"/>
      <c r="V191" s="14"/>
      <c r="W191" s="14">
        <v>80</v>
      </c>
      <c r="X191" s="22">
        <f t="shared" si="44"/>
        <v>759</v>
      </c>
      <c r="Y191" s="14"/>
      <c r="Z191" s="31">
        <f>18+1+11+16+1+12</f>
        <v>59</v>
      </c>
      <c r="AA191" s="23">
        <v>0.29166666666666669</v>
      </c>
      <c r="AB191" s="23">
        <v>0.79166666666666663</v>
      </c>
      <c r="AC191" s="23" cm="1">
        <f t="array" ref="AC191">_xlfn.IFS($AJ191="","",$AJ191&gt;=8,TIME(1,0,0),$AJ191&lt;=5,"")</f>
        <v>4.1666666666666664E-2</v>
      </c>
      <c r="AD191" s="23" t="str">
        <f t="shared" si="36"/>
        <v/>
      </c>
      <c r="AE191" s="23" cm="1">
        <f t="array" ref="AE191">_xlfn.IFS($AA191="","",AND($AJ191&lt;=12,$AJ191&gt;10),TIME(0,35,0),AND($AJ191&lt;=10,$AJ191&gt;5),TIME(0,20,0),$AJ191&gt;12,TIME(0,20,0),AND(AJ191&gt;3,$AJ191&lt;=5),TIME(0,10,0),$AJ191&lt;3,"")</f>
        <v>2.4305555555555556E-2</v>
      </c>
      <c r="AF191" s="23">
        <f t="shared" si="37"/>
        <v>6.9444444444444441E-3</v>
      </c>
      <c r="AG191" s="23"/>
      <c r="AH191" s="30"/>
      <c r="AI191" s="30"/>
      <c r="AJ191" s="24">
        <f t="shared" si="38"/>
        <v>11.999999999999998</v>
      </c>
      <c r="AK191" s="23">
        <f t="shared" si="39"/>
        <v>7.2916666666666671E-2</v>
      </c>
      <c r="AL191" s="25">
        <f t="shared" si="40"/>
        <v>707.99999999999989</v>
      </c>
      <c r="AM191" s="25">
        <f t="shared" si="41"/>
        <v>604.74999999999989</v>
      </c>
      <c r="AN191" s="16">
        <f t="shared" si="42"/>
        <v>0.93280632411067177</v>
      </c>
      <c r="AO191" s="38"/>
      <c r="AP191" s="19"/>
      <c r="AQ191" s="34"/>
      <c r="AR191" s="30"/>
    </row>
    <row r="192" spans="2:44" ht="15" customHeight="1" x14ac:dyDescent="0.3">
      <c r="B192" s="98">
        <v>46048</v>
      </c>
      <c r="C192" s="21">
        <f t="shared" si="1"/>
        <v>1</v>
      </c>
      <c r="D192" s="36" t="s">
        <v>96</v>
      </c>
      <c r="E192" s="14"/>
      <c r="F192" s="14"/>
      <c r="G192" s="14"/>
      <c r="H192" s="14"/>
      <c r="I192" s="14"/>
      <c r="J192" s="14"/>
      <c r="K192" s="14"/>
      <c r="L192" s="14"/>
      <c r="M192" s="14"/>
      <c r="N192" s="14"/>
      <c r="O192" s="14"/>
      <c r="P192" s="14"/>
      <c r="Q192" s="14"/>
      <c r="R192" s="14"/>
      <c r="S192" s="14"/>
      <c r="T192" s="14"/>
      <c r="U192" s="14"/>
      <c r="V192" s="14"/>
      <c r="W192" s="14"/>
      <c r="X192" s="22">
        <f t="shared" si="44"/>
        <v>0</v>
      </c>
      <c r="Y192" s="14"/>
      <c r="Z192" s="31">
        <f>25+9</f>
        <v>34</v>
      </c>
      <c r="AA192" s="23">
        <v>0.79166666666666663</v>
      </c>
      <c r="AB192" s="23">
        <v>0.29166666666666669</v>
      </c>
      <c r="AC192" s="23" cm="1">
        <f t="array" ref="AC192">_xlfn.IFS($AJ192="","",$AJ192&gt;=8,TIME(1,0,0),$AJ192&lt;=5,"")</f>
        <v>4.1666666666666664E-2</v>
      </c>
      <c r="AD192" s="23" t="str">
        <f t="shared" si="36"/>
        <v/>
      </c>
      <c r="AE192" s="23" cm="1">
        <f t="array" ref="AE192">_xlfn.IFS($AA192="","",AND($AJ192&lt;=12,$AJ192&gt;10),TIME(0,35,0),AND($AJ192&lt;=10,$AJ192&gt;5),TIME(0,20,0),$AJ192&gt;12,TIME(0,20,0),AND(AJ192&gt;3,$AJ192&lt;=5),TIME(0,10,0),$AJ192&lt;3,"")</f>
        <v>2.4305555555555556E-2</v>
      </c>
      <c r="AF192" s="23">
        <f t="shared" si="37"/>
        <v>6.9444444444444441E-3</v>
      </c>
      <c r="AG192" s="23"/>
      <c r="AH192" s="30"/>
      <c r="AI192" s="30"/>
      <c r="AJ192" s="24">
        <f t="shared" si="38"/>
        <v>12</v>
      </c>
      <c r="AK192" s="23">
        <f t="shared" si="39"/>
        <v>7.2916666666666671E-2</v>
      </c>
      <c r="AL192" s="25">
        <f t="shared" si="40"/>
        <v>408</v>
      </c>
      <c r="AM192" s="25">
        <f t="shared" si="41"/>
        <v>348.5</v>
      </c>
      <c r="AN192" s="16" t="str">
        <f t="shared" si="42"/>
        <v/>
      </c>
      <c r="AO192" s="38"/>
      <c r="AP192" s="19"/>
      <c r="AQ192" s="34"/>
      <c r="AR192" s="51" t="s">
        <v>298</v>
      </c>
    </row>
    <row r="193" spans="2:44" ht="15" customHeight="1" x14ac:dyDescent="0.3">
      <c r="B193" s="98">
        <v>46048</v>
      </c>
      <c r="C193" s="21">
        <f t="shared" si="1"/>
        <v>1</v>
      </c>
      <c r="D193" s="18" t="s">
        <v>97</v>
      </c>
      <c r="E193" s="14">
        <v>136</v>
      </c>
      <c r="F193" s="14"/>
      <c r="G193" s="14"/>
      <c r="H193" s="14">
        <v>6</v>
      </c>
      <c r="I193" s="14"/>
      <c r="J193" s="14"/>
      <c r="K193" s="14"/>
      <c r="L193" s="14"/>
      <c r="M193" s="14"/>
      <c r="N193" s="14"/>
      <c r="O193" s="14"/>
      <c r="P193" s="14"/>
      <c r="Q193" s="14">
        <v>293</v>
      </c>
      <c r="R193" s="14"/>
      <c r="S193" s="14"/>
      <c r="T193" s="14">
        <v>54</v>
      </c>
      <c r="U193" s="14"/>
      <c r="V193" s="14"/>
      <c r="W193" s="14">
        <v>15</v>
      </c>
      <c r="X193" s="22">
        <f t="shared" si="44"/>
        <v>504</v>
      </c>
      <c r="Y193" s="14"/>
      <c r="Z193" s="31">
        <f>4+2</f>
        <v>6</v>
      </c>
      <c r="AA193" s="23">
        <v>0.29166666666666669</v>
      </c>
      <c r="AB193" s="23">
        <v>0.79166666666666663</v>
      </c>
      <c r="AC193" s="23" cm="1">
        <f t="array" ref="AC193">_xlfn.IFS($AJ193="","",$AJ193&gt;=8,TIME(1,0,0),$AJ193&lt;=5,"")</f>
        <v>4.1666666666666664E-2</v>
      </c>
      <c r="AD193" s="23" t="str">
        <f t="shared" si="36"/>
        <v/>
      </c>
      <c r="AE193" s="23" cm="1">
        <f t="array" ref="AE193">_xlfn.IFS($AA193="","",AND($AJ193&lt;=12,$AJ193&gt;10),TIME(0,35,0),AND($AJ193&lt;=10,$AJ193&gt;5),TIME(0,20,0),$AJ193&gt;12,TIME(0,20,0),AND(AJ193&gt;3,$AJ193&lt;=5),TIME(0,10,0),$AJ193&lt;3,"")</f>
        <v>2.4305555555555556E-2</v>
      </c>
      <c r="AF193" s="23">
        <f t="shared" si="37"/>
        <v>6.9444444444444441E-3</v>
      </c>
      <c r="AG193" s="23"/>
      <c r="AH193" s="23">
        <v>0.1875</v>
      </c>
      <c r="AI193" s="23">
        <v>0.20833333333333334</v>
      </c>
      <c r="AJ193" s="24">
        <f t="shared" si="38"/>
        <v>11.999999999999998</v>
      </c>
      <c r="AK193" s="23">
        <f t="shared" si="39"/>
        <v>7.2916666666666671E-2</v>
      </c>
      <c r="AL193" s="25">
        <f t="shared" si="40"/>
        <v>71.999999999999986</v>
      </c>
      <c r="AM193" s="25">
        <f t="shared" si="41"/>
        <v>61.499999999999986</v>
      </c>
      <c r="AN193" s="16">
        <f t="shared" si="42"/>
        <v>0.14285714285714282</v>
      </c>
      <c r="AO193" s="38"/>
      <c r="AP193" s="50" t="s">
        <v>299</v>
      </c>
      <c r="AQ193" s="34">
        <v>2</v>
      </c>
      <c r="AR193" s="30" t="s">
        <v>300</v>
      </c>
    </row>
    <row r="194" spans="2:44" ht="15" customHeight="1" x14ac:dyDescent="0.3">
      <c r="B194" s="98">
        <v>46048</v>
      </c>
      <c r="C194" s="21">
        <f t="shared" si="1"/>
        <v>1</v>
      </c>
      <c r="D194" s="18" t="s">
        <v>97</v>
      </c>
      <c r="E194" s="14">
        <v>51</v>
      </c>
      <c r="F194" s="14"/>
      <c r="G194" s="14"/>
      <c r="H194" s="14"/>
      <c r="I194" s="14"/>
      <c r="J194" s="14"/>
      <c r="K194" s="14"/>
      <c r="L194" s="14"/>
      <c r="M194" s="14"/>
      <c r="N194" s="14"/>
      <c r="O194" s="14"/>
      <c r="P194" s="14"/>
      <c r="Q194" s="14">
        <v>254</v>
      </c>
      <c r="R194" s="14"/>
      <c r="S194" s="14">
        <v>29</v>
      </c>
      <c r="T194" s="14">
        <v>39</v>
      </c>
      <c r="U194" s="14"/>
      <c r="V194" s="14"/>
      <c r="W194" s="14">
        <v>34</v>
      </c>
      <c r="X194" s="22">
        <f t="shared" si="44"/>
        <v>407</v>
      </c>
      <c r="Y194" s="14"/>
      <c r="Z194" s="31">
        <f>4+2</f>
        <v>6</v>
      </c>
      <c r="AA194" s="23">
        <v>0.79166666666666663</v>
      </c>
      <c r="AB194" s="23">
        <v>0.29166666666666669</v>
      </c>
      <c r="AC194" s="23" cm="1">
        <f t="array" ref="AC194">_xlfn.IFS($AJ194="","",$AJ194&gt;=8,TIME(1,0,0),$AJ194&lt;=5,"")</f>
        <v>4.1666666666666664E-2</v>
      </c>
      <c r="AD194" s="23" t="str">
        <f t="shared" si="36"/>
        <v/>
      </c>
      <c r="AE194" s="23" cm="1">
        <f t="array" ref="AE194">_xlfn.IFS($AA194="","",AND($AJ194&lt;=12,$AJ194&gt;10),TIME(0,35,0),AND($AJ194&lt;=10,$AJ194&gt;5),TIME(0,20,0),$AJ194&gt;12,TIME(0,20,0),AND(AJ194&gt;3,$AJ194&lt;=5),TIME(0,10,0),$AJ194&lt;3,"")</f>
        <v>2.4305555555555556E-2</v>
      </c>
      <c r="AF194" s="23">
        <f t="shared" si="37"/>
        <v>6.9444444444444441E-3</v>
      </c>
      <c r="AG194" s="23"/>
      <c r="AH194" s="23">
        <v>0.125</v>
      </c>
      <c r="AI194" s="23">
        <v>0.16666666666666666</v>
      </c>
      <c r="AJ194" s="24">
        <f t="shared" si="38"/>
        <v>12</v>
      </c>
      <c r="AK194" s="23">
        <f t="shared" si="39"/>
        <v>7.2916666666666671E-2</v>
      </c>
      <c r="AL194" s="25">
        <f t="shared" si="40"/>
        <v>72</v>
      </c>
      <c r="AM194" s="25">
        <f t="shared" si="41"/>
        <v>61.5</v>
      </c>
      <c r="AN194" s="16">
        <f t="shared" si="42"/>
        <v>0.1769041769041769</v>
      </c>
      <c r="AO194" s="38"/>
      <c r="AP194" s="50" t="s">
        <v>301</v>
      </c>
      <c r="AQ194" s="34"/>
      <c r="AR194" s="30" t="s">
        <v>302</v>
      </c>
    </row>
    <row r="195" spans="2:44" ht="15" customHeight="1" x14ac:dyDescent="0.3">
      <c r="B195" s="98">
        <v>46048</v>
      </c>
      <c r="C195" s="21">
        <f t="shared" si="1"/>
        <v>1</v>
      </c>
      <c r="D195" s="18" t="s">
        <v>98</v>
      </c>
      <c r="E195" s="14">
        <v>102</v>
      </c>
      <c r="F195" s="14">
        <v>8</v>
      </c>
      <c r="G195" s="14">
        <v>2</v>
      </c>
      <c r="H195" s="14"/>
      <c r="I195" s="14"/>
      <c r="J195" s="14">
        <v>5</v>
      </c>
      <c r="K195" s="14">
        <v>1</v>
      </c>
      <c r="L195" s="14"/>
      <c r="M195" s="14">
        <v>1</v>
      </c>
      <c r="N195" s="14">
        <v>5</v>
      </c>
      <c r="O195" s="14"/>
      <c r="P195" s="14"/>
      <c r="Q195" s="14">
        <f>192+38</f>
        <v>230</v>
      </c>
      <c r="R195" s="14"/>
      <c r="S195" s="14"/>
      <c r="T195" s="14">
        <v>1</v>
      </c>
      <c r="U195" s="14">
        <v>7</v>
      </c>
      <c r="V195" s="14">
        <v>7</v>
      </c>
      <c r="W195" s="14">
        <v>3</v>
      </c>
      <c r="X195" s="22">
        <f t="shared" si="44"/>
        <v>372</v>
      </c>
      <c r="Y195" s="14"/>
      <c r="Z195" s="31">
        <f>18+5+7</f>
        <v>30</v>
      </c>
      <c r="AA195" s="23">
        <v>0.29166666666666669</v>
      </c>
      <c r="AB195" s="23">
        <v>0.79166666666666663</v>
      </c>
      <c r="AC195" s="23" cm="1">
        <f t="array" ref="AC195">_xlfn.IFS($AJ195="","",$AJ195&gt;=8,TIME(1,0,0),$AJ195&lt;=5,"")</f>
        <v>4.1666666666666664E-2</v>
      </c>
      <c r="AD195" s="23" t="str">
        <f t="shared" si="36"/>
        <v/>
      </c>
      <c r="AE195" s="23" cm="1">
        <f t="array" ref="AE195">_xlfn.IFS($AA195="","",AND($AJ195&lt;=12,$AJ195&gt;10),TIME(0,35,0),AND($AJ195&lt;=10,$AJ195&gt;5),TIME(0,20,0),$AJ195&gt;12,TIME(0,20,0),AND(AJ195&gt;3,$AJ195&lt;=5),TIME(0,10,0),$AJ195&lt;3,"")</f>
        <v>2.4305555555555556E-2</v>
      </c>
      <c r="AF195" s="23">
        <f t="shared" si="37"/>
        <v>6.9444444444444441E-3</v>
      </c>
      <c r="AG195" s="23">
        <v>7.2916666666666671E-2</v>
      </c>
      <c r="AH195" s="23"/>
      <c r="AI195" s="30"/>
      <c r="AJ195" s="24">
        <f t="shared" si="38"/>
        <v>11.999999999999998</v>
      </c>
      <c r="AK195" s="23">
        <f t="shared" si="39"/>
        <v>7.2916666666666671E-2</v>
      </c>
      <c r="AL195" s="25">
        <f t="shared" si="40"/>
        <v>359.99999999999994</v>
      </c>
      <c r="AM195" s="25">
        <f t="shared" si="41"/>
        <v>254.99999999999994</v>
      </c>
      <c r="AN195" s="16">
        <f t="shared" si="42"/>
        <v>0.96774193548387077</v>
      </c>
      <c r="AO195" s="38"/>
      <c r="AP195" s="19"/>
      <c r="AQ195" s="34"/>
      <c r="AR195" s="30" t="s">
        <v>303</v>
      </c>
    </row>
    <row r="196" spans="2:44" ht="15" customHeight="1" x14ac:dyDescent="0.3">
      <c r="B196" s="98">
        <v>46048</v>
      </c>
      <c r="C196" s="21">
        <f t="shared" si="1"/>
        <v>1</v>
      </c>
      <c r="D196" s="18" t="s">
        <v>98</v>
      </c>
      <c r="E196" s="14">
        <v>47</v>
      </c>
      <c r="F196" s="14"/>
      <c r="G196" s="14"/>
      <c r="H196" s="14"/>
      <c r="I196" s="14"/>
      <c r="J196" s="14"/>
      <c r="K196" s="14"/>
      <c r="L196" s="14"/>
      <c r="M196" s="14"/>
      <c r="N196" s="14"/>
      <c r="O196" s="14"/>
      <c r="P196" s="14"/>
      <c r="Q196" s="14">
        <v>342</v>
      </c>
      <c r="R196" s="14"/>
      <c r="S196" s="14"/>
      <c r="T196" s="14">
        <f>48+22</f>
        <v>70</v>
      </c>
      <c r="U196" s="14"/>
      <c r="V196" s="14">
        <v>4</v>
      </c>
      <c r="W196" s="14">
        <v>25</v>
      </c>
      <c r="X196" s="22">
        <f t="shared" si="44"/>
        <v>488</v>
      </c>
      <c r="Y196" s="14"/>
      <c r="Z196" s="31">
        <f>17+1+19</f>
        <v>37</v>
      </c>
      <c r="AA196" s="23">
        <v>0.79166666666666663</v>
      </c>
      <c r="AB196" s="23">
        <v>0.29166666666666669</v>
      </c>
      <c r="AC196" s="23" cm="1">
        <f t="array" ref="AC196">_xlfn.IFS($AJ196="","",$AJ196&gt;=8,TIME(1,0,0),$AJ196&lt;=5,"")</f>
        <v>4.1666666666666664E-2</v>
      </c>
      <c r="AD196" s="23" t="str">
        <f t="shared" si="36"/>
        <v/>
      </c>
      <c r="AE196" s="23" cm="1">
        <f t="array" ref="AE196">_xlfn.IFS($AA196="","",AND($AJ196&lt;=12,$AJ196&gt;10),TIME(0,35,0),AND($AJ196&lt;=10,$AJ196&gt;5),TIME(0,20,0),$AJ196&gt;12,TIME(0,20,0),AND(AJ196&gt;3,$AJ196&lt;=5),TIME(0,10,0),$AJ196&lt;3,"")</f>
        <v>2.4305555555555556E-2</v>
      </c>
      <c r="AF196" s="23">
        <f t="shared" si="37"/>
        <v>6.9444444444444441E-3</v>
      </c>
      <c r="AG196" s="23">
        <v>5.5555555555555552E-2</v>
      </c>
      <c r="AH196" s="30"/>
      <c r="AI196" s="30"/>
      <c r="AJ196" s="24">
        <f t="shared" si="38"/>
        <v>12</v>
      </c>
      <c r="AK196" s="23">
        <f t="shared" si="39"/>
        <v>7.2916666666666671E-2</v>
      </c>
      <c r="AL196" s="25">
        <f t="shared" si="40"/>
        <v>444</v>
      </c>
      <c r="AM196" s="25">
        <f t="shared" si="41"/>
        <v>329.91666666666669</v>
      </c>
      <c r="AN196" s="16">
        <f t="shared" si="42"/>
        <v>0.9098360655737705</v>
      </c>
      <c r="AO196" s="38"/>
      <c r="AP196" s="19"/>
      <c r="AQ196" s="34"/>
      <c r="AR196" s="30" t="s">
        <v>304</v>
      </c>
    </row>
    <row r="197" spans="2:44" ht="15" customHeight="1" x14ac:dyDescent="0.3">
      <c r="B197" s="98">
        <v>46048</v>
      </c>
      <c r="C197" s="21">
        <f t="shared" si="1"/>
        <v>1</v>
      </c>
      <c r="D197" s="18" t="s">
        <v>99</v>
      </c>
      <c r="E197" s="14">
        <v>73</v>
      </c>
      <c r="F197" s="14">
        <v>6</v>
      </c>
      <c r="G197" s="14">
        <v>10</v>
      </c>
      <c r="H197" s="14">
        <v>22</v>
      </c>
      <c r="I197" s="14">
        <v>3</v>
      </c>
      <c r="J197" s="14">
        <v>3</v>
      </c>
      <c r="K197" s="14">
        <v>4</v>
      </c>
      <c r="L197" s="14"/>
      <c r="M197" s="14">
        <v>1</v>
      </c>
      <c r="N197" s="14"/>
      <c r="O197" s="14">
        <v>3</v>
      </c>
      <c r="P197" s="14"/>
      <c r="Q197" s="14">
        <f>159+22+44+11</f>
        <v>236</v>
      </c>
      <c r="R197" s="14"/>
      <c r="S197" s="14">
        <v>1</v>
      </c>
      <c r="T197" s="14">
        <f>17+28</f>
        <v>45</v>
      </c>
      <c r="U197" s="14">
        <v>4</v>
      </c>
      <c r="V197" s="14">
        <f>4+1</f>
        <v>5</v>
      </c>
      <c r="W197" s="14">
        <v>1</v>
      </c>
      <c r="X197" s="22">
        <f t="shared" si="44"/>
        <v>417</v>
      </c>
      <c r="Y197" s="14"/>
      <c r="Z197" s="31">
        <f>17+6+15</f>
        <v>38</v>
      </c>
      <c r="AA197" s="23">
        <v>0.29166666666666669</v>
      </c>
      <c r="AB197" s="23">
        <v>0.79166666666666663</v>
      </c>
      <c r="AC197" s="23" cm="1">
        <f t="array" ref="AC197">_xlfn.IFS($AJ197="","",$AJ197&gt;=8,TIME(1,0,0),$AJ197&lt;=5,"")</f>
        <v>4.1666666666666664E-2</v>
      </c>
      <c r="AD197" s="23" t="str">
        <f t="shared" si="36"/>
        <v/>
      </c>
      <c r="AE197" s="23" cm="1">
        <f t="array" ref="AE197">_xlfn.IFS($AA197="","",AND($AJ197&lt;=12,$AJ197&gt;10),TIME(0,35,0),AND($AJ197&lt;=10,$AJ197&gt;5),TIME(0,20,0),$AJ197&gt;12,TIME(0,20,0),AND(AJ197&gt;3,$AJ197&lt;=5),TIME(0,10,0),$AJ197&lt;3,"")</f>
        <v>2.4305555555555556E-2</v>
      </c>
      <c r="AF197" s="23">
        <f t="shared" si="37"/>
        <v>6.9444444444444441E-3</v>
      </c>
      <c r="AG197" s="23"/>
      <c r="AH197" s="30"/>
      <c r="AI197" s="30"/>
      <c r="AJ197" s="24">
        <f t="shared" si="38"/>
        <v>11.999999999999998</v>
      </c>
      <c r="AK197" s="23">
        <f t="shared" si="39"/>
        <v>7.2916666666666671E-2</v>
      </c>
      <c r="AL197" s="25">
        <f t="shared" si="40"/>
        <v>455.99999999999994</v>
      </c>
      <c r="AM197" s="25">
        <f t="shared" si="41"/>
        <v>389.49999999999994</v>
      </c>
      <c r="AN197" s="16">
        <f t="shared" si="42"/>
        <v>1.093525179856115</v>
      </c>
      <c r="AO197" s="38"/>
      <c r="AP197" s="19"/>
      <c r="AQ197" s="34"/>
      <c r="AR197" s="30"/>
    </row>
    <row r="198" spans="2:44" ht="15" customHeight="1" x14ac:dyDescent="0.3">
      <c r="B198" s="98">
        <v>46048</v>
      </c>
      <c r="C198" s="21">
        <f t="shared" si="1"/>
        <v>1</v>
      </c>
      <c r="D198" s="18" t="s">
        <v>99</v>
      </c>
      <c r="E198" s="14">
        <v>92</v>
      </c>
      <c r="F198" s="14"/>
      <c r="G198" s="14"/>
      <c r="H198" s="14"/>
      <c r="I198" s="14"/>
      <c r="J198" s="14"/>
      <c r="K198" s="14"/>
      <c r="L198" s="14"/>
      <c r="M198" s="14"/>
      <c r="N198" s="14"/>
      <c r="O198" s="14"/>
      <c r="P198" s="14"/>
      <c r="Q198" s="14">
        <f>15+9+205</f>
        <v>229</v>
      </c>
      <c r="R198" s="14"/>
      <c r="S198" s="14"/>
      <c r="T198" s="14">
        <f>46+21</f>
        <v>67</v>
      </c>
      <c r="U198" s="14">
        <v>1</v>
      </c>
      <c r="V198" s="14">
        <v>2</v>
      </c>
      <c r="W198" s="14">
        <v>2</v>
      </c>
      <c r="X198" s="22">
        <f t="shared" si="44"/>
        <v>393</v>
      </c>
      <c r="Y198" s="14"/>
      <c r="Z198" s="31">
        <f>19+6+8</f>
        <v>33</v>
      </c>
      <c r="AA198" s="23">
        <v>0.79166666666666663</v>
      </c>
      <c r="AB198" s="23">
        <v>0.29166666666666669</v>
      </c>
      <c r="AC198" s="23" cm="1">
        <f t="array" ref="AC198">_xlfn.IFS($AJ198="","",$AJ198&gt;=8,TIME(1,0,0),$AJ198&lt;=5,"")</f>
        <v>4.1666666666666664E-2</v>
      </c>
      <c r="AD198" s="23" t="str">
        <f t="shared" si="36"/>
        <v/>
      </c>
      <c r="AE198" s="23" cm="1">
        <f t="array" ref="AE198">_xlfn.IFS($AA198="","",AND($AJ198&lt;=12,$AJ198&gt;10),TIME(0,35,0),AND($AJ198&lt;=10,$AJ198&gt;5),TIME(0,20,0),$AJ198&gt;12,TIME(0,20,0),AND(AJ198&gt;3,$AJ198&lt;=5),TIME(0,10,0),$AJ198&lt;3,"")</f>
        <v>2.4305555555555556E-2</v>
      </c>
      <c r="AF198" s="23">
        <f t="shared" si="37"/>
        <v>6.9444444444444441E-3</v>
      </c>
      <c r="AG198" s="23">
        <v>4.1666666666666664E-2</v>
      </c>
      <c r="AH198" s="30"/>
      <c r="AI198" s="30"/>
      <c r="AJ198" s="24">
        <f t="shared" si="38"/>
        <v>12</v>
      </c>
      <c r="AK198" s="23">
        <f t="shared" si="39"/>
        <v>7.2916666666666671E-2</v>
      </c>
      <c r="AL198" s="25">
        <f t="shared" si="40"/>
        <v>396</v>
      </c>
      <c r="AM198" s="25">
        <f t="shared" si="41"/>
        <v>305.25</v>
      </c>
      <c r="AN198" s="16">
        <f t="shared" si="42"/>
        <v>1.0076335877862594</v>
      </c>
      <c r="AO198" s="16">
        <f>IF(COUNTIF(B191:B198,B191)=8,1/SUM(AN191:AN198),"")</f>
        <v>0.19115691252773859</v>
      </c>
      <c r="AP198" s="19"/>
      <c r="AQ198" s="34"/>
      <c r="AR198" s="30" t="s">
        <v>305</v>
      </c>
    </row>
    <row r="199" spans="2:44" ht="15" customHeight="1" x14ac:dyDescent="0.3">
      <c r="B199" s="97">
        <v>46049</v>
      </c>
      <c r="C199" s="21">
        <f t="shared" si="1"/>
        <v>1</v>
      </c>
      <c r="D199" s="36" t="s">
        <v>96</v>
      </c>
      <c r="E199" s="14">
        <v>233</v>
      </c>
      <c r="F199" s="14"/>
      <c r="G199" s="14"/>
      <c r="H199" s="14"/>
      <c r="I199" s="14"/>
      <c r="J199" s="14"/>
      <c r="K199" s="14"/>
      <c r="L199" s="14"/>
      <c r="M199" s="14"/>
      <c r="N199" s="14"/>
      <c r="O199" s="14"/>
      <c r="P199" s="14"/>
      <c r="Q199" s="14">
        <f>51+249</f>
        <v>300</v>
      </c>
      <c r="R199" s="14"/>
      <c r="S199" s="14">
        <f>7+1</f>
        <v>8</v>
      </c>
      <c r="T199" s="14">
        <v>106</v>
      </c>
      <c r="U199" s="14"/>
      <c r="V199" s="14"/>
      <c r="W199" s="14">
        <v>91</v>
      </c>
      <c r="X199" s="22">
        <f t="shared" si="44"/>
        <v>738</v>
      </c>
      <c r="Y199" s="14"/>
      <c r="Z199" s="31">
        <f>18+10+19+1+10</f>
        <v>58</v>
      </c>
      <c r="AA199" s="23">
        <v>0.29166666666666669</v>
      </c>
      <c r="AB199" s="23">
        <v>0.79166666666666663</v>
      </c>
      <c r="AC199" s="23" cm="1">
        <f t="array" ref="AC199">_xlfn.IFS($AJ199="","",$AJ199&gt;=8,TIME(1,0,0),$AJ199&lt;=5,"")</f>
        <v>4.1666666666666664E-2</v>
      </c>
      <c r="AD199" s="23" t="str">
        <f t="shared" si="36"/>
        <v/>
      </c>
      <c r="AE199" s="23" cm="1">
        <f t="array" ref="AE199">_xlfn.IFS($AA199="","",AND($AJ199&lt;=12,$AJ199&gt;10),TIME(0,35,0),AND($AJ199&lt;=10,$AJ199&gt;5),TIME(0,20,0),$AJ199&gt;12,TIME(0,20,0),AND(AJ199&gt;3,$AJ199&lt;=5),TIME(0,10,0),$AJ199&lt;3,"")</f>
        <v>2.4305555555555556E-2</v>
      </c>
      <c r="AF199" s="23">
        <f t="shared" si="37"/>
        <v>6.9444444444444441E-3</v>
      </c>
      <c r="AG199" s="23"/>
      <c r="AH199" s="30"/>
      <c r="AI199" s="30"/>
      <c r="AJ199" s="24">
        <f t="shared" si="38"/>
        <v>11.999999999999998</v>
      </c>
      <c r="AK199" s="23">
        <f t="shared" si="39"/>
        <v>7.2916666666666671E-2</v>
      </c>
      <c r="AL199" s="25">
        <f t="shared" si="40"/>
        <v>695.99999999999989</v>
      </c>
      <c r="AM199" s="25">
        <f t="shared" si="41"/>
        <v>594.49999999999989</v>
      </c>
      <c r="AN199" s="16">
        <f t="shared" si="42"/>
        <v>0.94308943089430874</v>
      </c>
      <c r="AO199" s="38"/>
      <c r="AP199" s="19"/>
      <c r="AQ199" s="34"/>
      <c r="AR199" s="30"/>
    </row>
    <row r="200" spans="2:44" ht="15" customHeight="1" x14ac:dyDescent="0.3">
      <c r="B200" s="97">
        <v>46049</v>
      </c>
      <c r="C200" s="21">
        <f t="shared" ref="C200:C263" si="45">IF($B200="","",MONTH(B200))</f>
        <v>1</v>
      </c>
      <c r="D200" s="36" t="s">
        <v>96</v>
      </c>
      <c r="E200" s="14"/>
      <c r="F200" s="14"/>
      <c r="G200" s="14"/>
      <c r="H200" s="14"/>
      <c r="I200" s="14"/>
      <c r="J200" s="14"/>
      <c r="K200" s="14"/>
      <c r="L200" s="14"/>
      <c r="M200" s="14"/>
      <c r="N200" s="14"/>
      <c r="O200" s="14"/>
      <c r="P200" s="14"/>
      <c r="Q200" s="14">
        <v>226</v>
      </c>
      <c r="R200" s="14"/>
      <c r="S200" s="14"/>
      <c r="T200" s="14"/>
      <c r="U200" s="14"/>
      <c r="V200" s="14">
        <v>100</v>
      </c>
      <c r="W200" s="14">
        <v>29</v>
      </c>
      <c r="X200" s="22">
        <f t="shared" si="44"/>
        <v>355</v>
      </c>
      <c r="Y200" s="14"/>
      <c r="Z200" s="31">
        <f>23+10</f>
        <v>33</v>
      </c>
      <c r="AA200" s="23">
        <v>0.79166666666666663</v>
      </c>
      <c r="AB200" s="23">
        <v>0.29166666666666669</v>
      </c>
      <c r="AC200" s="23" cm="1">
        <f t="array" ref="AC200">_xlfn.IFS($AJ200="","",$AJ200&gt;=8,TIME(1,0,0),$AJ200&lt;=5,"")</f>
        <v>4.1666666666666664E-2</v>
      </c>
      <c r="AD200" s="23" t="str">
        <f t="shared" si="36"/>
        <v/>
      </c>
      <c r="AE200" s="23" cm="1">
        <f t="array" ref="AE200">_xlfn.IFS($AA200="","",AND($AJ200&lt;=12,$AJ200&gt;10),TIME(0,35,0),AND($AJ200&lt;=10,$AJ200&gt;5),TIME(0,20,0),$AJ200&gt;12,TIME(0,20,0),AND(AJ200&gt;3,$AJ200&lt;=5),TIME(0,10,0),$AJ200&lt;3,"")</f>
        <v>2.4305555555555556E-2</v>
      </c>
      <c r="AF200" s="23">
        <f t="shared" si="37"/>
        <v>6.9444444444444441E-3</v>
      </c>
      <c r="AG200" s="23"/>
      <c r="AH200" s="30"/>
      <c r="AI200" s="30"/>
      <c r="AJ200" s="24">
        <f t="shared" si="38"/>
        <v>12</v>
      </c>
      <c r="AK200" s="23">
        <f t="shared" si="39"/>
        <v>7.2916666666666671E-2</v>
      </c>
      <c r="AL200" s="25">
        <f t="shared" si="40"/>
        <v>396</v>
      </c>
      <c r="AM200" s="25">
        <f t="shared" si="41"/>
        <v>338.25</v>
      </c>
      <c r="AN200" s="16">
        <f t="shared" si="42"/>
        <v>1.1154929577464789</v>
      </c>
      <c r="AO200" s="38"/>
      <c r="AP200" s="19"/>
      <c r="AQ200" s="34"/>
      <c r="AR200" s="30"/>
    </row>
    <row r="201" spans="2:44" ht="15" customHeight="1" x14ac:dyDescent="0.3">
      <c r="B201" s="97">
        <v>46049</v>
      </c>
      <c r="C201" s="21">
        <f t="shared" si="45"/>
        <v>1</v>
      </c>
      <c r="D201" s="18" t="s">
        <v>97</v>
      </c>
      <c r="E201" s="14">
        <v>123</v>
      </c>
      <c r="F201" s="14"/>
      <c r="G201" s="14"/>
      <c r="H201" s="14"/>
      <c r="I201" s="14"/>
      <c r="J201" s="14"/>
      <c r="K201" s="14"/>
      <c r="L201" s="14"/>
      <c r="M201" s="14"/>
      <c r="N201" s="14"/>
      <c r="O201" s="14"/>
      <c r="P201" s="14"/>
      <c r="Q201" s="14">
        <v>273</v>
      </c>
      <c r="R201" s="14"/>
      <c r="S201" s="14">
        <v>69</v>
      </c>
      <c r="T201" s="14">
        <v>80</v>
      </c>
      <c r="U201" s="14"/>
      <c r="V201" s="14"/>
      <c r="W201" s="14">
        <v>65</v>
      </c>
      <c r="X201" s="22">
        <f t="shared" si="44"/>
        <v>610</v>
      </c>
      <c r="Y201" s="14"/>
      <c r="Z201" s="31">
        <f>4+2</f>
        <v>6</v>
      </c>
      <c r="AA201" s="23">
        <v>0.29166666666666669</v>
      </c>
      <c r="AB201" s="23">
        <v>0.79166666666666663</v>
      </c>
      <c r="AC201" s="23" cm="1">
        <f t="array" ref="AC201">_xlfn.IFS($AJ201="","",$AJ201&gt;=8,TIME(1,0,0),$AJ201&lt;=5,"")</f>
        <v>4.1666666666666664E-2</v>
      </c>
      <c r="AD201" s="23" t="str">
        <f t="shared" si="36"/>
        <v/>
      </c>
      <c r="AE201" s="23" cm="1">
        <f t="array" ref="AE201">_xlfn.IFS($AA201="","",AND($AJ201&lt;=12,$AJ201&gt;10),TIME(0,35,0),AND($AJ201&lt;=10,$AJ201&gt;5),TIME(0,20,0),$AJ201&gt;12,TIME(0,20,0),AND(AJ201&gt;3,$AJ201&lt;=5),TIME(0,10,0),$AJ201&lt;3,"")</f>
        <v>2.4305555555555556E-2</v>
      </c>
      <c r="AF201" s="23">
        <f t="shared" si="37"/>
        <v>6.9444444444444441E-3</v>
      </c>
      <c r="AG201" s="23">
        <v>3.4722222222222224E-2</v>
      </c>
      <c r="AH201" s="30"/>
      <c r="AI201" s="30"/>
      <c r="AJ201" s="24">
        <f t="shared" si="38"/>
        <v>11.999999999999998</v>
      </c>
      <c r="AK201" s="23">
        <f t="shared" si="39"/>
        <v>7.2916666666666671E-2</v>
      </c>
      <c r="AL201" s="25">
        <f t="shared" si="40"/>
        <v>71.999999999999986</v>
      </c>
      <c r="AM201" s="25">
        <f t="shared" si="41"/>
        <v>56.499999999999986</v>
      </c>
      <c r="AN201" s="16">
        <f t="shared" si="42"/>
        <v>0.11803278688524588</v>
      </c>
      <c r="AO201" s="38"/>
      <c r="AP201" s="50" t="s">
        <v>306</v>
      </c>
      <c r="AQ201" s="34"/>
      <c r="AR201" s="30" t="s">
        <v>307</v>
      </c>
    </row>
    <row r="202" spans="2:44" ht="15" customHeight="1" x14ac:dyDescent="0.3">
      <c r="B202" s="97">
        <v>46049</v>
      </c>
      <c r="C202" s="21">
        <f t="shared" si="45"/>
        <v>1</v>
      </c>
      <c r="D202" s="18" t="s">
        <v>97</v>
      </c>
      <c r="E202" s="14">
        <v>132</v>
      </c>
      <c r="F202" s="14"/>
      <c r="G202" s="14"/>
      <c r="H202" s="14"/>
      <c r="I202" s="14"/>
      <c r="J202" s="14"/>
      <c r="K202" s="14"/>
      <c r="L202" s="14"/>
      <c r="M202" s="14"/>
      <c r="N202" s="14"/>
      <c r="O202" s="14"/>
      <c r="P202" s="14"/>
      <c r="Q202" s="14">
        <v>238</v>
      </c>
      <c r="R202" s="14"/>
      <c r="S202" s="14"/>
      <c r="T202" s="14">
        <v>69</v>
      </c>
      <c r="U202" s="14"/>
      <c r="V202" s="14">
        <v>27</v>
      </c>
      <c r="W202" s="14">
        <v>69</v>
      </c>
      <c r="X202" s="22">
        <f t="shared" si="44"/>
        <v>535</v>
      </c>
      <c r="Y202" s="14"/>
      <c r="Z202" s="31">
        <f>5+2</f>
        <v>7</v>
      </c>
      <c r="AA202" s="23">
        <v>0.79166666666666663</v>
      </c>
      <c r="AB202" s="23">
        <v>0.29166666666666669</v>
      </c>
      <c r="AC202" s="23" cm="1">
        <f t="array" ref="AC202">_xlfn.IFS($AJ202="","",$AJ202&gt;=8,TIME(1,0,0),$AJ202&lt;=5,"")</f>
        <v>4.1666666666666664E-2</v>
      </c>
      <c r="AD202" s="23" t="str">
        <f t="shared" si="36"/>
        <v/>
      </c>
      <c r="AE202" s="23" cm="1">
        <f t="array" ref="AE202">_xlfn.IFS($AA202="","",AND($AJ202&lt;=12,$AJ202&gt;10),TIME(0,35,0),AND($AJ202&lt;=10,$AJ202&gt;5),TIME(0,20,0),$AJ202&gt;12,TIME(0,20,0),AND(AJ202&gt;3,$AJ202&lt;=5),TIME(0,10,0),$AJ202&lt;3,"")</f>
        <v>2.4305555555555556E-2</v>
      </c>
      <c r="AF202" s="23">
        <f t="shared" si="37"/>
        <v>6.9444444444444441E-3</v>
      </c>
      <c r="AG202" s="23">
        <v>4.8611111111111112E-2</v>
      </c>
      <c r="AH202" s="30"/>
      <c r="AI202" s="30"/>
      <c r="AJ202" s="24">
        <f t="shared" si="38"/>
        <v>12</v>
      </c>
      <c r="AK202" s="23">
        <f t="shared" si="39"/>
        <v>7.2916666666666671E-2</v>
      </c>
      <c r="AL202" s="25">
        <f t="shared" si="40"/>
        <v>84</v>
      </c>
      <c r="AM202" s="25">
        <f t="shared" si="41"/>
        <v>63.583333333333329</v>
      </c>
      <c r="AN202" s="16">
        <f t="shared" si="42"/>
        <v>0.15700934579439252</v>
      </c>
      <c r="AO202" s="38"/>
      <c r="AP202" s="50" t="s">
        <v>308</v>
      </c>
      <c r="AQ202" s="34"/>
      <c r="AR202" s="30" t="s">
        <v>309</v>
      </c>
    </row>
    <row r="203" spans="2:44" ht="15" customHeight="1" x14ac:dyDescent="0.3">
      <c r="B203" s="97">
        <v>46049</v>
      </c>
      <c r="C203" s="21">
        <f t="shared" si="45"/>
        <v>1</v>
      </c>
      <c r="D203" s="18" t="s">
        <v>98</v>
      </c>
      <c r="E203" s="14">
        <v>118</v>
      </c>
      <c r="F203" s="14"/>
      <c r="G203" s="14"/>
      <c r="H203" s="14"/>
      <c r="I203" s="14">
        <v>1</v>
      </c>
      <c r="J203" s="14">
        <v>2</v>
      </c>
      <c r="K203" s="14"/>
      <c r="L203" s="14"/>
      <c r="M203" s="14"/>
      <c r="N203" s="14">
        <v>1</v>
      </c>
      <c r="O203" s="14"/>
      <c r="P203" s="14"/>
      <c r="Q203" s="14">
        <v>166</v>
      </c>
      <c r="R203" s="14"/>
      <c r="S203" s="14">
        <v>53</v>
      </c>
      <c r="T203" s="14">
        <v>60</v>
      </c>
      <c r="U203" s="14"/>
      <c r="V203" s="14"/>
      <c r="W203" s="14">
        <v>55</v>
      </c>
      <c r="X203" s="22">
        <f t="shared" si="44"/>
        <v>456</v>
      </c>
      <c r="Y203" s="14"/>
      <c r="Z203" s="31">
        <f>19+5+11</f>
        <v>35</v>
      </c>
      <c r="AA203" s="23">
        <v>0.29166666666666669</v>
      </c>
      <c r="AB203" s="23">
        <v>0.79166666666666663</v>
      </c>
      <c r="AC203" s="23" cm="1">
        <f t="array" ref="AC203">_xlfn.IFS($AJ203="","",$AJ203&gt;=8,TIME(1,0,0),$AJ203&lt;=5,"")</f>
        <v>4.1666666666666664E-2</v>
      </c>
      <c r="AD203" s="23" t="str">
        <f t="shared" si="36"/>
        <v/>
      </c>
      <c r="AE203" s="23" cm="1">
        <f t="array" ref="AE203">_xlfn.IFS($AA203="","",AND($AJ203&lt;=12,$AJ203&gt;10),TIME(0,35,0),AND($AJ203&lt;=10,$AJ203&gt;5),TIME(0,20,0),$AJ203&gt;12,TIME(0,20,0),AND(AJ203&gt;3,$AJ203&lt;=5),TIME(0,10,0),$AJ203&lt;3,"")</f>
        <v>2.4305555555555556E-2</v>
      </c>
      <c r="AF203" s="23">
        <f t="shared" si="37"/>
        <v>6.9444444444444441E-3</v>
      </c>
      <c r="AG203" s="23">
        <v>6.9444444444444448E-2</v>
      </c>
      <c r="AH203" s="30"/>
      <c r="AI203" s="30"/>
      <c r="AJ203" s="24">
        <f t="shared" si="38"/>
        <v>11.999999999999998</v>
      </c>
      <c r="AK203" s="23">
        <f t="shared" si="39"/>
        <v>7.2916666666666671E-2</v>
      </c>
      <c r="AL203" s="25">
        <f t="shared" si="40"/>
        <v>419.99999999999994</v>
      </c>
      <c r="AM203" s="25">
        <f t="shared" si="41"/>
        <v>300.41666666666663</v>
      </c>
      <c r="AN203" s="16">
        <f t="shared" si="42"/>
        <v>0.92105263157894723</v>
      </c>
      <c r="AO203" s="38"/>
      <c r="AP203" s="19"/>
      <c r="AQ203" s="34"/>
      <c r="AR203" s="30" t="s">
        <v>310</v>
      </c>
    </row>
    <row r="204" spans="2:44" ht="15" customHeight="1" x14ac:dyDescent="0.3">
      <c r="B204" s="97">
        <v>46049</v>
      </c>
      <c r="C204" s="21">
        <f t="shared" si="45"/>
        <v>1</v>
      </c>
      <c r="D204" s="18" t="s">
        <v>98</v>
      </c>
      <c r="E204" s="14">
        <v>119</v>
      </c>
      <c r="F204" s="14"/>
      <c r="G204" s="14"/>
      <c r="H204" s="14"/>
      <c r="I204" s="14"/>
      <c r="J204" s="14"/>
      <c r="K204" s="14"/>
      <c r="L204" s="14"/>
      <c r="M204" s="14"/>
      <c r="N204" s="14"/>
      <c r="O204" s="14"/>
      <c r="P204" s="14"/>
      <c r="Q204" s="14">
        <v>253</v>
      </c>
      <c r="R204" s="14"/>
      <c r="S204" s="14">
        <v>32</v>
      </c>
      <c r="T204" s="14">
        <f>59+14</f>
        <v>73</v>
      </c>
      <c r="U204" s="14"/>
      <c r="V204" s="14"/>
      <c r="W204" s="14">
        <v>62</v>
      </c>
      <c r="X204" s="22">
        <f t="shared" si="44"/>
        <v>539</v>
      </c>
      <c r="Y204" s="14"/>
      <c r="Z204" s="31">
        <f>17+1+19</f>
        <v>37</v>
      </c>
      <c r="AA204" s="23">
        <v>0.79166666666666663</v>
      </c>
      <c r="AB204" s="23">
        <v>0.29166666666666669</v>
      </c>
      <c r="AC204" s="23" cm="1">
        <f t="array" ref="AC204">_xlfn.IFS($AJ204="","",$AJ204&gt;=8,TIME(1,0,0),$AJ204&lt;=5,"")</f>
        <v>4.1666666666666664E-2</v>
      </c>
      <c r="AD204" s="23" t="str">
        <f t="shared" si="36"/>
        <v/>
      </c>
      <c r="AE204" s="23" cm="1">
        <f t="array" ref="AE204">_xlfn.IFS($AA204="","",AND($AJ204&lt;=12,$AJ204&gt;10),TIME(0,35,0),AND($AJ204&lt;=10,$AJ204&gt;5),TIME(0,20,0),$AJ204&gt;12,TIME(0,20,0),AND(AJ204&gt;3,$AJ204&lt;=5),TIME(0,10,0),$AJ204&lt;3,"")</f>
        <v>2.4305555555555556E-2</v>
      </c>
      <c r="AF204" s="23">
        <f t="shared" si="37"/>
        <v>6.9444444444444441E-3</v>
      </c>
      <c r="AG204" s="23"/>
      <c r="AH204" s="30"/>
      <c r="AI204" s="30"/>
      <c r="AJ204" s="24">
        <f t="shared" si="38"/>
        <v>12</v>
      </c>
      <c r="AK204" s="23">
        <f t="shared" si="39"/>
        <v>7.2916666666666671E-2</v>
      </c>
      <c r="AL204" s="25">
        <f t="shared" si="40"/>
        <v>444</v>
      </c>
      <c r="AM204" s="25">
        <f t="shared" si="41"/>
        <v>379.25</v>
      </c>
      <c r="AN204" s="16">
        <f t="shared" si="42"/>
        <v>0.82374768089053807</v>
      </c>
      <c r="AO204" s="38"/>
      <c r="AP204" s="19"/>
      <c r="AQ204" s="34"/>
      <c r="AR204" s="30" t="s">
        <v>311</v>
      </c>
    </row>
    <row r="205" spans="2:44" ht="15" customHeight="1" x14ac:dyDescent="0.3">
      <c r="B205" s="97">
        <v>46049</v>
      </c>
      <c r="C205" s="21">
        <f t="shared" si="45"/>
        <v>1</v>
      </c>
      <c r="D205" s="18" t="s">
        <v>99</v>
      </c>
      <c r="E205" s="14">
        <v>64</v>
      </c>
      <c r="F205" s="14">
        <v>2</v>
      </c>
      <c r="G205" s="14"/>
      <c r="H205" s="14"/>
      <c r="I205" s="14">
        <v>1</v>
      </c>
      <c r="J205" s="14">
        <v>2</v>
      </c>
      <c r="K205" s="14"/>
      <c r="L205" s="14"/>
      <c r="M205" s="14">
        <f>1+2</f>
        <v>3</v>
      </c>
      <c r="N205" s="14">
        <f>3+4+1</f>
        <v>8</v>
      </c>
      <c r="O205" s="14">
        <v>1</v>
      </c>
      <c r="P205" s="14"/>
      <c r="Q205" s="14">
        <f>8+326+3+1</f>
        <v>338</v>
      </c>
      <c r="R205" s="14"/>
      <c r="S205" s="14">
        <v>7</v>
      </c>
      <c r="T205" s="14">
        <f>1+24</f>
        <v>25</v>
      </c>
      <c r="U205" s="14">
        <v>4</v>
      </c>
      <c r="V205" s="14">
        <v>4</v>
      </c>
      <c r="W205" s="14">
        <v>40</v>
      </c>
      <c r="X205" s="22">
        <f t="shared" si="44"/>
        <v>499</v>
      </c>
      <c r="Y205" s="14"/>
      <c r="Z205" s="31">
        <f>17+5+15</f>
        <v>37</v>
      </c>
      <c r="AA205" s="23">
        <v>0.29166666666666669</v>
      </c>
      <c r="AB205" s="23">
        <v>0.79166666666666663</v>
      </c>
      <c r="AC205" s="23" cm="1">
        <f t="array" ref="AC205">_xlfn.IFS($AJ205="","",$AJ205&gt;=8,TIME(1,0,0),$AJ205&lt;=5,"")</f>
        <v>4.1666666666666664E-2</v>
      </c>
      <c r="AD205" s="23" t="str">
        <f t="shared" si="36"/>
        <v/>
      </c>
      <c r="AE205" s="23" cm="1">
        <f t="array" ref="AE205">_xlfn.IFS($AA205="","",AND($AJ205&lt;=12,$AJ205&gt;10),TIME(0,35,0),AND($AJ205&lt;=10,$AJ205&gt;5),TIME(0,20,0),$AJ205&gt;12,TIME(0,20,0),AND(AJ205&gt;3,$AJ205&lt;=5),TIME(0,10,0),$AJ205&lt;3,"")</f>
        <v>2.4305555555555556E-2</v>
      </c>
      <c r="AF205" s="23">
        <f t="shared" si="37"/>
        <v>6.9444444444444441E-3</v>
      </c>
      <c r="AG205" s="23"/>
      <c r="AH205" s="30"/>
      <c r="AI205" s="30"/>
      <c r="AJ205" s="24">
        <f t="shared" si="38"/>
        <v>11.999999999999998</v>
      </c>
      <c r="AK205" s="23">
        <f t="shared" si="39"/>
        <v>7.2916666666666671E-2</v>
      </c>
      <c r="AL205" s="25">
        <f t="shared" si="40"/>
        <v>443.99999999999994</v>
      </c>
      <c r="AM205" s="25">
        <f t="shared" si="41"/>
        <v>379.24999999999994</v>
      </c>
      <c r="AN205" s="16">
        <f t="shared" si="42"/>
        <v>0.88977955911823636</v>
      </c>
      <c r="AO205" s="38"/>
      <c r="AP205" s="19"/>
      <c r="AQ205" s="34"/>
      <c r="AR205" s="30"/>
    </row>
    <row r="206" spans="2:44" ht="15" customHeight="1" x14ac:dyDescent="0.3">
      <c r="B206" s="97">
        <v>46049</v>
      </c>
      <c r="C206" s="21">
        <f t="shared" si="45"/>
        <v>1</v>
      </c>
      <c r="D206" s="18" t="s">
        <v>99</v>
      </c>
      <c r="E206" s="14">
        <v>91</v>
      </c>
      <c r="F206" s="14"/>
      <c r="G206" s="14"/>
      <c r="H206" s="14"/>
      <c r="I206" s="14"/>
      <c r="J206" s="14"/>
      <c r="K206" s="14"/>
      <c r="L206" s="14"/>
      <c r="M206" s="14"/>
      <c r="N206" s="14"/>
      <c r="O206" s="14"/>
      <c r="P206" s="14"/>
      <c r="Q206" s="14">
        <f>89+91</f>
        <v>180</v>
      </c>
      <c r="R206" s="14"/>
      <c r="S206" s="14">
        <v>67</v>
      </c>
      <c r="T206" s="14">
        <v>50</v>
      </c>
      <c r="U206" s="14"/>
      <c r="V206" s="14"/>
      <c r="W206" s="14">
        <v>58</v>
      </c>
      <c r="X206" s="22">
        <f t="shared" si="44"/>
        <v>446</v>
      </c>
      <c r="Y206" s="14"/>
      <c r="Z206" s="31">
        <f>18+5+9</f>
        <v>32</v>
      </c>
      <c r="AA206" s="23">
        <v>0.79166666666666663</v>
      </c>
      <c r="AB206" s="23">
        <v>0.29166666666666669</v>
      </c>
      <c r="AC206" s="23" cm="1">
        <f t="array" ref="AC206">_xlfn.IFS($AJ206="","",$AJ206&gt;=8,TIME(1,0,0),$AJ206&lt;=5,"")</f>
        <v>4.1666666666666664E-2</v>
      </c>
      <c r="AD206" s="23" t="str">
        <f t="shared" si="36"/>
        <v/>
      </c>
      <c r="AE206" s="23" cm="1">
        <f t="array" ref="AE206">_xlfn.IFS($AA206="","",AND($AJ206&lt;=12,$AJ206&gt;10),TIME(0,35,0),AND($AJ206&lt;=10,$AJ206&gt;5),TIME(0,20,0),$AJ206&gt;12,TIME(0,20,0),AND(AJ206&gt;3,$AJ206&lt;=5),TIME(0,10,0),$AJ206&lt;3,"")</f>
        <v>2.4305555555555556E-2</v>
      </c>
      <c r="AF206" s="23">
        <f t="shared" si="37"/>
        <v>6.9444444444444441E-3</v>
      </c>
      <c r="AG206" s="23"/>
      <c r="AH206" s="30"/>
      <c r="AI206" s="23">
        <v>4.1666666666666664E-2</v>
      </c>
      <c r="AJ206" s="24">
        <f t="shared" si="38"/>
        <v>12</v>
      </c>
      <c r="AK206" s="23">
        <f t="shared" si="39"/>
        <v>7.2916666666666671E-2</v>
      </c>
      <c r="AL206" s="25">
        <f t="shared" si="40"/>
        <v>384</v>
      </c>
      <c r="AM206" s="25">
        <f t="shared" si="41"/>
        <v>328</v>
      </c>
      <c r="AN206" s="16">
        <f t="shared" si="42"/>
        <v>0.86098654708520184</v>
      </c>
      <c r="AO206" s="16">
        <f>IF(COUNTIF(B199:B206,B199)=8,1/SUM(AN199:AN206),"")</f>
        <v>0.17155039357848537</v>
      </c>
      <c r="AP206" s="19"/>
      <c r="AQ206" s="34"/>
      <c r="AR206" s="30" t="s">
        <v>312</v>
      </c>
    </row>
    <row r="207" spans="2:44" ht="15" customHeight="1" x14ac:dyDescent="0.3">
      <c r="B207" s="98">
        <v>46050</v>
      </c>
      <c r="C207" s="21">
        <f t="shared" si="45"/>
        <v>1</v>
      </c>
      <c r="D207" s="36" t="s">
        <v>96</v>
      </c>
      <c r="E207" s="14">
        <v>193</v>
      </c>
      <c r="F207" s="14"/>
      <c r="G207" s="14"/>
      <c r="H207" s="14"/>
      <c r="I207" s="14"/>
      <c r="J207" s="14"/>
      <c r="K207" s="14"/>
      <c r="L207" s="14"/>
      <c r="M207" s="14"/>
      <c r="N207" s="14"/>
      <c r="O207" s="14"/>
      <c r="P207" s="14"/>
      <c r="Q207" s="14">
        <v>251</v>
      </c>
      <c r="R207" s="14"/>
      <c r="S207" s="14"/>
      <c r="T207" s="14"/>
      <c r="U207" s="14"/>
      <c r="V207" s="14">
        <v>161</v>
      </c>
      <c r="W207" s="14"/>
      <c r="X207" s="22">
        <f t="shared" si="44"/>
        <v>605</v>
      </c>
      <c r="Y207" s="14"/>
      <c r="Z207" s="31">
        <f>16+10+18+1+10</f>
        <v>55</v>
      </c>
      <c r="AA207" s="23">
        <v>0.29166666666666669</v>
      </c>
      <c r="AB207" s="23">
        <v>0.79166666666666663</v>
      </c>
      <c r="AC207" s="23" cm="1">
        <f t="array" ref="AC207">_xlfn.IFS($AJ207="","",$AJ207&gt;=8,TIME(1,0,0),$AJ207&lt;=5,"")</f>
        <v>4.1666666666666664E-2</v>
      </c>
      <c r="AD207" s="23" t="str">
        <f t="shared" si="36"/>
        <v/>
      </c>
      <c r="AE207" s="23" cm="1">
        <f t="array" ref="AE207">_xlfn.IFS($AA207="","",AND($AJ207&lt;=12,$AJ207&gt;10),TIME(0,35,0),AND($AJ207&lt;=10,$AJ207&gt;5),TIME(0,20,0),$AJ207&gt;12,TIME(0,20,0),AND(AJ207&gt;3,$AJ207&lt;=5),TIME(0,10,0),$AJ207&lt;3,"")</f>
        <v>2.4305555555555556E-2</v>
      </c>
      <c r="AF207" s="23">
        <f t="shared" si="37"/>
        <v>6.9444444444444441E-3</v>
      </c>
      <c r="AG207" s="23"/>
      <c r="AH207" s="30"/>
      <c r="AI207" s="23">
        <v>0.20833333333333334</v>
      </c>
      <c r="AJ207" s="24">
        <f t="shared" si="38"/>
        <v>11.999999999999998</v>
      </c>
      <c r="AK207" s="23">
        <f t="shared" si="39"/>
        <v>7.2916666666666671E-2</v>
      </c>
      <c r="AL207" s="25">
        <f t="shared" si="40"/>
        <v>659.99999999999989</v>
      </c>
      <c r="AM207" s="25">
        <f t="shared" si="41"/>
        <v>563.74999999999989</v>
      </c>
      <c r="AN207" s="16">
        <f t="shared" si="42"/>
        <v>1.0909090909090908</v>
      </c>
      <c r="AO207" s="38"/>
      <c r="AP207" s="50"/>
      <c r="AQ207" s="34"/>
      <c r="AR207" s="30" t="s">
        <v>313</v>
      </c>
    </row>
    <row r="208" spans="2:44" ht="15" customHeight="1" x14ac:dyDescent="0.3">
      <c r="B208" s="98">
        <v>46050</v>
      </c>
      <c r="C208" s="21">
        <f t="shared" si="45"/>
        <v>1</v>
      </c>
      <c r="D208" s="36" t="s">
        <v>96</v>
      </c>
      <c r="E208" s="14"/>
      <c r="F208" s="14"/>
      <c r="G208" s="14"/>
      <c r="H208" s="14"/>
      <c r="I208" s="14"/>
      <c r="J208" s="14"/>
      <c r="K208" s="14"/>
      <c r="L208" s="14"/>
      <c r="M208" s="14"/>
      <c r="N208" s="14"/>
      <c r="O208" s="14"/>
      <c r="P208" s="14"/>
      <c r="Q208" s="14">
        <f>147+154</f>
        <v>301</v>
      </c>
      <c r="R208" s="14"/>
      <c r="S208" s="14"/>
      <c r="T208" s="14"/>
      <c r="U208" s="14"/>
      <c r="V208" s="14"/>
      <c r="W208" s="14"/>
      <c r="X208" s="22">
        <f t="shared" si="44"/>
        <v>301</v>
      </c>
      <c r="Y208" s="14"/>
      <c r="Z208" s="31">
        <f>24+9</f>
        <v>33</v>
      </c>
      <c r="AA208" s="23">
        <v>0.79166666666666663</v>
      </c>
      <c r="AB208" s="23">
        <v>0.29166666666666669</v>
      </c>
      <c r="AC208" s="23" cm="1">
        <f t="array" ref="AC208">_xlfn.IFS($AJ208="","",$AJ208&gt;=8,TIME(1,0,0),$AJ208&lt;=5,"")</f>
        <v>4.1666666666666664E-2</v>
      </c>
      <c r="AD208" s="23" t="str">
        <f t="shared" si="36"/>
        <v/>
      </c>
      <c r="AE208" s="23" cm="1">
        <f t="array" ref="AE208">_xlfn.IFS($AA208="","",AND($AJ208&lt;=12,$AJ208&gt;10),TIME(0,35,0),AND($AJ208&lt;=10,$AJ208&gt;5),TIME(0,20,0),$AJ208&gt;12,TIME(0,20,0),AND(AJ208&gt;3,$AJ208&lt;=5),TIME(0,10,0),$AJ208&lt;3,"")</f>
        <v>2.4305555555555556E-2</v>
      </c>
      <c r="AF208" s="23">
        <f t="shared" si="37"/>
        <v>6.9444444444444441E-3</v>
      </c>
      <c r="AG208" s="23"/>
      <c r="AH208" s="30"/>
      <c r="AI208" s="23">
        <v>5.2083333333333336E-2</v>
      </c>
      <c r="AJ208" s="24">
        <f t="shared" si="38"/>
        <v>12</v>
      </c>
      <c r="AK208" s="23">
        <f t="shared" si="39"/>
        <v>7.2916666666666671E-2</v>
      </c>
      <c r="AL208" s="25">
        <f t="shared" si="40"/>
        <v>396</v>
      </c>
      <c r="AM208" s="25">
        <f t="shared" si="41"/>
        <v>338.25</v>
      </c>
      <c r="AN208" s="16">
        <f t="shared" si="42"/>
        <v>1.3156146179401993</v>
      </c>
      <c r="AO208" s="38"/>
      <c r="AP208" s="50" t="s">
        <v>314</v>
      </c>
      <c r="AQ208" s="34"/>
      <c r="AR208" s="30" t="s">
        <v>315</v>
      </c>
    </row>
    <row r="209" spans="2:44" ht="15" customHeight="1" x14ac:dyDescent="0.3">
      <c r="B209" s="98">
        <v>46050</v>
      </c>
      <c r="C209" s="21">
        <f t="shared" si="45"/>
        <v>1</v>
      </c>
      <c r="D209" s="18" t="s">
        <v>97</v>
      </c>
      <c r="E209" s="14">
        <v>118</v>
      </c>
      <c r="F209" s="14"/>
      <c r="G209" s="14"/>
      <c r="H209" s="14"/>
      <c r="I209" s="14"/>
      <c r="J209" s="14"/>
      <c r="K209" s="14"/>
      <c r="L209" s="14"/>
      <c r="M209" s="14"/>
      <c r="N209" s="14"/>
      <c r="O209" s="14"/>
      <c r="P209" s="14"/>
      <c r="Q209" s="14">
        <v>293</v>
      </c>
      <c r="R209" s="14"/>
      <c r="S209" s="14"/>
      <c r="T209" s="14"/>
      <c r="U209" s="14"/>
      <c r="V209" s="14">
        <v>130</v>
      </c>
      <c r="W209" s="14">
        <v>16</v>
      </c>
      <c r="X209" s="22">
        <f t="shared" si="44"/>
        <v>557</v>
      </c>
      <c r="Y209" s="14"/>
      <c r="Z209" s="31">
        <f>3+3</f>
        <v>6</v>
      </c>
      <c r="AA209" s="23">
        <v>0.29166666666666669</v>
      </c>
      <c r="AB209" s="23">
        <v>0.79166666666666663</v>
      </c>
      <c r="AC209" s="23" cm="1">
        <f t="array" ref="AC209">_xlfn.IFS($AJ209="","",$AJ209&gt;=8,TIME(1,0,0),$AJ209&lt;=5,"")</f>
        <v>4.1666666666666664E-2</v>
      </c>
      <c r="AD209" s="23" t="str">
        <f t="shared" si="36"/>
        <v/>
      </c>
      <c r="AE209" s="23" cm="1">
        <f t="array" ref="AE209">_xlfn.IFS($AA209="","",AND($AJ209&lt;=12,$AJ209&gt;10),TIME(0,35,0),AND($AJ209&lt;=10,$AJ209&gt;5),TIME(0,20,0),$AJ209&gt;12,TIME(0,20,0),AND(AJ209&gt;3,$AJ209&lt;=5),TIME(0,10,0),$AJ209&lt;3,"")</f>
        <v>2.4305555555555556E-2</v>
      </c>
      <c r="AF209" s="23">
        <f t="shared" si="37"/>
        <v>6.9444444444444441E-3</v>
      </c>
      <c r="AG209" s="23"/>
      <c r="AH209" s="23">
        <v>8.3333333333333329E-2</v>
      </c>
      <c r="AI209" s="23">
        <v>0.16666666666666666</v>
      </c>
      <c r="AJ209" s="24">
        <f t="shared" si="38"/>
        <v>11.999999999999998</v>
      </c>
      <c r="AK209" s="23">
        <f t="shared" si="39"/>
        <v>7.2916666666666671E-2</v>
      </c>
      <c r="AL209" s="25">
        <f t="shared" si="40"/>
        <v>71.999999999999986</v>
      </c>
      <c r="AM209" s="25">
        <f t="shared" si="41"/>
        <v>61.499999999999986</v>
      </c>
      <c r="AN209" s="16">
        <f t="shared" si="42"/>
        <v>0.12926391382405741</v>
      </c>
      <c r="AO209" s="38"/>
      <c r="AP209" s="50" t="s">
        <v>316</v>
      </c>
      <c r="AQ209" s="34">
        <v>1</v>
      </c>
      <c r="AR209" s="30" t="s">
        <v>317</v>
      </c>
    </row>
    <row r="210" spans="2:44" ht="15" customHeight="1" x14ac:dyDescent="0.3">
      <c r="B210" s="98">
        <v>46050</v>
      </c>
      <c r="C210" s="21">
        <f t="shared" si="45"/>
        <v>1</v>
      </c>
      <c r="D210" s="18" t="s">
        <v>97</v>
      </c>
      <c r="E210" s="14">
        <v>136</v>
      </c>
      <c r="F210" s="14"/>
      <c r="G210" s="14"/>
      <c r="H210" s="14"/>
      <c r="I210" s="14"/>
      <c r="J210" s="14"/>
      <c r="K210" s="14"/>
      <c r="L210" s="14"/>
      <c r="M210" s="14"/>
      <c r="N210" s="14"/>
      <c r="O210" s="14"/>
      <c r="P210" s="14"/>
      <c r="Q210" s="14">
        <v>301</v>
      </c>
      <c r="R210" s="14"/>
      <c r="S210" s="14"/>
      <c r="T210" s="14"/>
      <c r="U210" s="14"/>
      <c r="V210" s="14">
        <v>97</v>
      </c>
      <c r="W210" s="14"/>
      <c r="X210" s="22">
        <f t="shared" si="44"/>
        <v>534</v>
      </c>
      <c r="Y210" s="14"/>
      <c r="Z210" s="31">
        <f>4+2</f>
        <v>6</v>
      </c>
      <c r="AA210" s="23">
        <v>0.79166666666666663</v>
      </c>
      <c r="AB210" s="23">
        <v>0.29166666666666669</v>
      </c>
      <c r="AC210" s="23" cm="1">
        <f t="array" ref="AC210">_xlfn.IFS($AJ210="","",$AJ210&gt;=8,TIME(1,0,0),$AJ210&lt;=5,"")</f>
        <v>4.1666666666666664E-2</v>
      </c>
      <c r="AD210" s="23" t="str">
        <f t="shared" si="36"/>
        <v/>
      </c>
      <c r="AE210" s="23" cm="1">
        <f t="array" ref="AE210">_xlfn.IFS($AA210="","",AND($AJ210&lt;=12,$AJ210&gt;10),TIME(0,35,0),AND($AJ210&lt;=10,$AJ210&gt;5),TIME(0,20,0),$AJ210&gt;12,TIME(0,20,0),AND(AJ210&gt;3,$AJ210&lt;=5),TIME(0,10,0),$AJ210&lt;3,"")</f>
        <v>2.4305555555555556E-2</v>
      </c>
      <c r="AF210" s="23">
        <f t="shared" si="37"/>
        <v>6.9444444444444441E-3</v>
      </c>
      <c r="AG210" s="23"/>
      <c r="AH210" s="30"/>
      <c r="AI210" s="30"/>
      <c r="AJ210" s="24">
        <f t="shared" si="38"/>
        <v>12</v>
      </c>
      <c r="AK210" s="23">
        <f t="shared" si="39"/>
        <v>7.2916666666666671E-2</v>
      </c>
      <c r="AL210" s="25">
        <f t="shared" si="40"/>
        <v>72</v>
      </c>
      <c r="AM210" s="25">
        <f t="shared" si="41"/>
        <v>61.5</v>
      </c>
      <c r="AN210" s="16">
        <f t="shared" si="42"/>
        <v>0.1348314606741573</v>
      </c>
      <c r="AO210" s="38"/>
      <c r="AP210" s="50" t="s">
        <v>318</v>
      </c>
      <c r="AQ210" s="34">
        <v>1</v>
      </c>
      <c r="AR210" s="30" t="s">
        <v>319</v>
      </c>
    </row>
    <row r="211" spans="2:44" ht="15" customHeight="1" x14ac:dyDescent="0.3">
      <c r="B211" s="98">
        <v>46050</v>
      </c>
      <c r="C211" s="21">
        <f t="shared" si="45"/>
        <v>1</v>
      </c>
      <c r="D211" s="18" t="s">
        <v>98</v>
      </c>
      <c r="E211" s="14">
        <v>135</v>
      </c>
      <c r="F211" s="14">
        <v>4</v>
      </c>
      <c r="G211" s="14"/>
      <c r="H211" s="14"/>
      <c r="I211" s="14">
        <v>2</v>
      </c>
      <c r="J211" s="14">
        <v>9</v>
      </c>
      <c r="K211" s="14">
        <v>1</v>
      </c>
      <c r="L211" s="14"/>
      <c r="M211" s="14"/>
      <c r="N211" s="14"/>
      <c r="O211" s="14"/>
      <c r="P211" s="14"/>
      <c r="Q211" s="14">
        <v>259</v>
      </c>
      <c r="R211" s="14"/>
      <c r="S211" s="14">
        <v>1</v>
      </c>
      <c r="T211" s="14"/>
      <c r="U211" s="14"/>
      <c r="V211" s="14">
        <v>87</v>
      </c>
      <c r="W211" s="14">
        <v>21</v>
      </c>
      <c r="X211" s="22">
        <f t="shared" si="44"/>
        <v>519</v>
      </c>
      <c r="Y211" s="14"/>
      <c r="Z211" s="31">
        <f>19+4+11+3</f>
        <v>37</v>
      </c>
      <c r="AA211" s="23">
        <v>0.29166666666666669</v>
      </c>
      <c r="AB211" s="23">
        <v>0.79166666666666663</v>
      </c>
      <c r="AC211" s="23" cm="1">
        <f t="array" ref="AC211">_xlfn.IFS($AJ211="","",$AJ211&gt;=8,TIME(1,0,0),$AJ211&lt;=5,"")</f>
        <v>4.1666666666666664E-2</v>
      </c>
      <c r="AD211" s="23" t="str">
        <f t="shared" si="36"/>
        <v/>
      </c>
      <c r="AE211" s="23" cm="1">
        <f t="array" ref="AE211">_xlfn.IFS($AA211="","",AND($AJ211&lt;=12,$AJ211&gt;10),TIME(0,35,0),AND($AJ211&lt;=10,$AJ211&gt;5),TIME(0,20,0),$AJ211&gt;12,TIME(0,20,0),AND(AJ211&gt;3,$AJ211&lt;=5),TIME(0,10,0),$AJ211&lt;3,"")</f>
        <v>2.4305555555555556E-2</v>
      </c>
      <c r="AF211" s="23">
        <f t="shared" si="37"/>
        <v>6.9444444444444441E-3</v>
      </c>
      <c r="AG211" s="23">
        <v>4.1666666666666664E-2</v>
      </c>
      <c r="AH211" s="30"/>
      <c r="AI211" s="30"/>
      <c r="AJ211" s="24">
        <f t="shared" si="38"/>
        <v>11.999999999999998</v>
      </c>
      <c r="AK211" s="23">
        <f t="shared" si="39"/>
        <v>7.2916666666666671E-2</v>
      </c>
      <c r="AL211" s="25">
        <f t="shared" si="40"/>
        <v>443.99999999999994</v>
      </c>
      <c r="AM211" s="25">
        <f t="shared" si="41"/>
        <v>342.24999999999994</v>
      </c>
      <c r="AN211" s="16">
        <f t="shared" si="42"/>
        <v>0.85549132947976869</v>
      </c>
      <c r="AO211" s="38"/>
      <c r="AP211" s="19"/>
      <c r="AQ211" s="34"/>
      <c r="AR211" s="30" t="s">
        <v>320</v>
      </c>
    </row>
    <row r="212" spans="2:44" ht="15" customHeight="1" x14ac:dyDescent="0.3">
      <c r="B212" s="98">
        <v>46050</v>
      </c>
      <c r="C212" s="21">
        <f t="shared" si="45"/>
        <v>1</v>
      </c>
      <c r="D212" s="18" t="s">
        <v>98</v>
      </c>
      <c r="E212" s="14">
        <v>150</v>
      </c>
      <c r="F212" s="14"/>
      <c r="G212" s="14"/>
      <c r="H212" s="14"/>
      <c r="I212" s="14"/>
      <c r="J212" s="14"/>
      <c r="K212" s="14"/>
      <c r="L212" s="14"/>
      <c r="M212" s="14"/>
      <c r="N212" s="14"/>
      <c r="O212" s="14"/>
      <c r="P212" s="14"/>
      <c r="Q212" s="14">
        <v>233</v>
      </c>
      <c r="R212" s="14">
        <v>1</v>
      </c>
      <c r="S212" s="14">
        <v>11</v>
      </c>
      <c r="T212" s="14">
        <f>4+1+14</f>
        <v>19</v>
      </c>
      <c r="U212" s="14"/>
      <c r="V212" s="14">
        <v>137</v>
      </c>
      <c r="W212" s="14">
        <v>28</v>
      </c>
      <c r="X212" s="22">
        <f t="shared" si="44"/>
        <v>579</v>
      </c>
      <c r="Y212" s="14"/>
      <c r="Z212" s="31">
        <f>17+1+18</f>
        <v>36</v>
      </c>
      <c r="AA212" s="23">
        <v>0.79166666666666663</v>
      </c>
      <c r="AB212" s="23">
        <v>0.29166666666666669</v>
      </c>
      <c r="AC212" s="23" cm="1">
        <f t="array" ref="AC212">_xlfn.IFS($AJ212="","",$AJ212&gt;=8,TIME(1,0,0),$AJ212&lt;=5,"")</f>
        <v>4.1666666666666664E-2</v>
      </c>
      <c r="AD212" s="23" t="str">
        <f t="shared" si="36"/>
        <v/>
      </c>
      <c r="AE212" s="23" cm="1">
        <f t="array" ref="AE212">_xlfn.IFS($AA212="","",AND($AJ212&lt;=12,$AJ212&gt;10),TIME(0,35,0),AND($AJ212&lt;=10,$AJ212&gt;5),TIME(0,20,0),$AJ212&gt;12,TIME(0,20,0),AND(AJ212&gt;3,$AJ212&lt;=5),TIME(0,10,0),$AJ212&lt;3,"")</f>
        <v>2.4305555555555556E-2</v>
      </c>
      <c r="AF212" s="23">
        <f t="shared" si="37"/>
        <v>6.9444444444444441E-3</v>
      </c>
      <c r="AG212" s="23">
        <v>4.1666666666666664E-2</v>
      </c>
      <c r="AH212" s="30"/>
      <c r="AI212" s="30"/>
      <c r="AJ212" s="24">
        <f t="shared" si="38"/>
        <v>12</v>
      </c>
      <c r="AK212" s="23">
        <f t="shared" si="39"/>
        <v>7.2916666666666671E-2</v>
      </c>
      <c r="AL212" s="25">
        <f t="shared" si="40"/>
        <v>432</v>
      </c>
      <c r="AM212" s="25">
        <f t="shared" si="41"/>
        <v>333</v>
      </c>
      <c r="AN212" s="16">
        <f t="shared" si="42"/>
        <v>0.74611398963730569</v>
      </c>
      <c r="AO212" s="38"/>
      <c r="AP212" s="19"/>
      <c r="AQ212" s="34"/>
      <c r="AR212" s="30" t="s">
        <v>321</v>
      </c>
    </row>
    <row r="213" spans="2:44" ht="15" customHeight="1" x14ac:dyDescent="0.3">
      <c r="B213" s="98">
        <v>46050</v>
      </c>
      <c r="C213" s="21">
        <f t="shared" si="45"/>
        <v>1</v>
      </c>
      <c r="D213" s="18" t="s">
        <v>99</v>
      </c>
      <c r="E213" s="14">
        <v>158</v>
      </c>
      <c r="F213" s="14">
        <v>1</v>
      </c>
      <c r="G213" s="14"/>
      <c r="H213" s="14"/>
      <c r="I213" s="14">
        <v>1</v>
      </c>
      <c r="J213" s="14">
        <v>7</v>
      </c>
      <c r="K213" s="14"/>
      <c r="L213" s="14"/>
      <c r="M213" s="14">
        <v>1</v>
      </c>
      <c r="N213" s="14">
        <v>1</v>
      </c>
      <c r="O213" s="14"/>
      <c r="P213" s="14"/>
      <c r="Q213" s="14">
        <f>250+18</f>
        <v>268</v>
      </c>
      <c r="R213" s="14">
        <v>1</v>
      </c>
      <c r="S213" s="14">
        <v>2</v>
      </c>
      <c r="T213" s="14">
        <f>45+14</f>
        <v>59</v>
      </c>
      <c r="U213" s="14"/>
      <c r="V213" s="14">
        <v>27</v>
      </c>
      <c r="W213" s="14">
        <v>61</v>
      </c>
      <c r="X213" s="22">
        <f t="shared" si="44"/>
        <v>587</v>
      </c>
      <c r="Y213" s="14"/>
      <c r="Z213" s="31">
        <f>17+5+15</f>
        <v>37</v>
      </c>
      <c r="AA213" s="23">
        <v>0.29166666666666669</v>
      </c>
      <c r="AB213" s="23">
        <v>0.79166666666666663</v>
      </c>
      <c r="AC213" s="23" cm="1">
        <f t="array" ref="AC213">_xlfn.IFS($AJ213="","",$AJ213&gt;=8,TIME(1,0,0),$AJ213&lt;=5,"")</f>
        <v>4.1666666666666664E-2</v>
      </c>
      <c r="AD213" s="23" t="str">
        <f t="shared" si="36"/>
        <v/>
      </c>
      <c r="AE213" s="23" cm="1">
        <f t="array" ref="AE213">_xlfn.IFS($AA213="","",AND($AJ213&lt;=12,$AJ213&gt;10),TIME(0,35,0),AND($AJ213&lt;=10,$AJ213&gt;5),TIME(0,20,0),$AJ213&gt;12,TIME(0,20,0),AND(AJ213&gt;3,$AJ213&lt;=5),TIME(0,10,0),$AJ213&lt;3,"")</f>
        <v>2.4305555555555556E-2</v>
      </c>
      <c r="AF213" s="23">
        <f t="shared" si="37"/>
        <v>6.9444444444444441E-3</v>
      </c>
      <c r="AG213" s="23"/>
      <c r="AH213" s="30"/>
      <c r="AI213" s="30"/>
      <c r="AJ213" s="24">
        <f t="shared" si="38"/>
        <v>11.999999999999998</v>
      </c>
      <c r="AK213" s="23">
        <f t="shared" si="39"/>
        <v>7.2916666666666671E-2</v>
      </c>
      <c r="AL213" s="25">
        <f t="shared" si="40"/>
        <v>443.99999999999994</v>
      </c>
      <c r="AM213" s="25">
        <f t="shared" si="41"/>
        <v>379.24999999999994</v>
      </c>
      <c r="AN213" s="16">
        <f t="shared" si="42"/>
        <v>0.75638841567291304</v>
      </c>
      <c r="AO213" s="38"/>
      <c r="AP213" s="19"/>
      <c r="AQ213" s="34"/>
      <c r="AR213" s="30"/>
    </row>
    <row r="214" spans="2:44" ht="15" customHeight="1" x14ac:dyDescent="0.3">
      <c r="B214" s="98">
        <v>46050</v>
      </c>
      <c r="C214" s="21">
        <f t="shared" si="45"/>
        <v>1</v>
      </c>
      <c r="D214" s="18" t="s">
        <v>99</v>
      </c>
      <c r="E214" s="14">
        <v>131</v>
      </c>
      <c r="F214" s="14">
        <v>6</v>
      </c>
      <c r="G214" s="14"/>
      <c r="H214" s="14"/>
      <c r="I214" s="14">
        <v>1</v>
      </c>
      <c r="J214" s="14">
        <v>5</v>
      </c>
      <c r="K214" s="14">
        <v>1</v>
      </c>
      <c r="L214" s="14"/>
      <c r="M214" s="14">
        <v>1</v>
      </c>
      <c r="N214" s="14"/>
      <c r="O214" s="14"/>
      <c r="P214" s="14"/>
      <c r="Q214" s="14">
        <f>234+5+1</f>
        <v>240</v>
      </c>
      <c r="R214" s="14"/>
      <c r="S214" s="14">
        <v>12</v>
      </c>
      <c r="T214" s="14">
        <f>2+14</f>
        <v>16</v>
      </c>
      <c r="U214" s="14">
        <v>1</v>
      </c>
      <c r="V214" s="14">
        <v>138</v>
      </c>
      <c r="W214" s="14">
        <v>31</v>
      </c>
      <c r="X214" s="22">
        <f t="shared" si="44"/>
        <v>583</v>
      </c>
      <c r="Y214" s="14"/>
      <c r="Z214" s="31">
        <f>19+6+9+1</f>
        <v>35</v>
      </c>
      <c r="AA214" s="23">
        <v>0.79166666666666663</v>
      </c>
      <c r="AB214" s="23">
        <v>0.29166666666666669</v>
      </c>
      <c r="AC214" s="23" cm="1">
        <f t="array" ref="AC214">_xlfn.IFS($AJ214="","",$AJ214&gt;=8,TIME(1,0,0),$AJ214&lt;=5,"")</f>
        <v>4.1666666666666664E-2</v>
      </c>
      <c r="AD214" s="23" t="str">
        <f t="shared" si="36"/>
        <v/>
      </c>
      <c r="AE214" s="23" cm="1">
        <f t="array" ref="AE214">_xlfn.IFS($AA214="","",AND($AJ214&lt;=12,$AJ214&gt;10),TIME(0,35,0),AND($AJ214&lt;=10,$AJ214&gt;5),TIME(0,20,0),$AJ214&gt;12,TIME(0,20,0),AND(AJ214&gt;3,$AJ214&lt;=5),TIME(0,10,0),$AJ214&lt;3,"")</f>
        <v>2.4305555555555556E-2</v>
      </c>
      <c r="AF214" s="23">
        <f t="shared" si="37"/>
        <v>6.9444444444444441E-3</v>
      </c>
      <c r="AG214" s="23"/>
      <c r="AH214" s="30"/>
      <c r="AI214" s="30"/>
      <c r="AJ214" s="24">
        <f t="shared" si="38"/>
        <v>12</v>
      </c>
      <c r="AK214" s="23">
        <f t="shared" si="39"/>
        <v>7.2916666666666671E-2</v>
      </c>
      <c r="AL214" s="25">
        <f t="shared" si="40"/>
        <v>420</v>
      </c>
      <c r="AM214" s="25">
        <f t="shared" si="41"/>
        <v>358.75</v>
      </c>
      <c r="AN214" s="16">
        <f t="shared" si="42"/>
        <v>0.72041166380789023</v>
      </c>
      <c r="AO214" s="16">
        <f>IF(COUNTIF(B207:B214,B207)=8,1/SUM(AN207:AN214),"")</f>
        <v>0.17394255375680978</v>
      </c>
      <c r="AP214" s="19"/>
      <c r="AQ214" s="34"/>
      <c r="AR214" s="30"/>
    </row>
    <row r="215" spans="2:44" ht="15" customHeight="1" x14ac:dyDescent="0.3">
      <c r="B215" s="97">
        <v>46051</v>
      </c>
      <c r="C215" s="21">
        <f t="shared" si="45"/>
        <v>1</v>
      </c>
      <c r="D215" s="36" t="s">
        <v>96</v>
      </c>
      <c r="E215" s="14">
        <v>200</v>
      </c>
      <c r="F215" s="14"/>
      <c r="G215" s="14"/>
      <c r="H215" s="14"/>
      <c r="I215" s="14"/>
      <c r="J215" s="14"/>
      <c r="K215" s="14">
        <v>72</v>
      </c>
      <c r="L215" s="14">
        <v>77</v>
      </c>
      <c r="M215" s="14"/>
      <c r="N215" s="14"/>
      <c r="O215" s="14">
        <v>84</v>
      </c>
      <c r="P215" s="14"/>
      <c r="Q215" s="14">
        <v>215</v>
      </c>
      <c r="R215" s="14"/>
      <c r="S215" s="14"/>
      <c r="T215" s="14"/>
      <c r="U215" s="14"/>
      <c r="V215" s="14">
        <v>88</v>
      </c>
      <c r="W215" s="14"/>
      <c r="X215" s="22">
        <f t="shared" si="44"/>
        <v>736</v>
      </c>
      <c r="Y215" s="14"/>
      <c r="Z215" s="31">
        <f>16+1+10+17+1+11</f>
        <v>56</v>
      </c>
      <c r="AA215" s="23">
        <v>0.29166666666666669</v>
      </c>
      <c r="AB215" s="23">
        <v>0.79166666666666663</v>
      </c>
      <c r="AC215" s="23" cm="1">
        <f t="array" ref="AC215">_xlfn.IFS($AJ215="","",$AJ215&gt;=8,TIME(1,0,0),$AJ215&lt;=5,"")</f>
        <v>4.1666666666666664E-2</v>
      </c>
      <c r="AD215" s="23" t="str">
        <f t="shared" si="36"/>
        <v/>
      </c>
      <c r="AE215" s="23" cm="1">
        <f t="array" ref="AE215">_xlfn.IFS($AA215="","",AND($AJ215&lt;=12,$AJ215&gt;10),TIME(0,35,0),AND($AJ215&lt;=10,$AJ215&gt;5),TIME(0,20,0),$AJ215&gt;12,TIME(0,20,0),AND(AJ215&gt;3,$AJ215&lt;=5),TIME(0,10,0),$AJ215&lt;3,"")</f>
        <v>2.4305555555555556E-2</v>
      </c>
      <c r="AF215" s="23">
        <f t="shared" si="37"/>
        <v>6.9444444444444441E-3</v>
      </c>
      <c r="AG215" s="23"/>
      <c r="AH215" s="30"/>
      <c r="AI215" s="23">
        <v>1.0416666666666666E-2</v>
      </c>
      <c r="AJ215" s="24">
        <f t="shared" si="38"/>
        <v>11.999999999999998</v>
      </c>
      <c r="AK215" s="23">
        <f t="shared" si="39"/>
        <v>7.2916666666666671E-2</v>
      </c>
      <c r="AL215" s="25">
        <f t="shared" si="40"/>
        <v>671.99999999999989</v>
      </c>
      <c r="AM215" s="25">
        <f t="shared" si="41"/>
        <v>573.99999999999989</v>
      </c>
      <c r="AN215" s="16">
        <f t="shared" si="42"/>
        <v>0.9130434782608694</v>
      </c>
      <c r="AO215" s="38"/>
      <c r="AP215" s="19"/>
      <c r="AQ215" s="34"/>
      <c r="AR215" s="30"/>
    </row>
    <row r="216" spans="2:44" ht="15" customHeight="1" x14ac:dyDescent="0.3">
      <c r="B216" s="97">
        <v>46051</v>
      </c>
      <c r="C216" s="21">
        <f t="shared" si="45"/>
        <v>1</v>
      </c>
      <c r="D216" s="36" t="s">
        <v>96</v>
      </c>
      <c r="E216" s="14"/>
      <c r="F216" s="14"/>
      <c r="G216" s="14"/>
      <c r="H216" s="14"/>
      <c r="I216" s="14"/>
      <c r="J216" s="14"/>
      <c r="K216" s="14"/>
      <c r="L216" s="14"/>
      <c r="M216" s="14"/>
      <c r="N216" s="14"/>
      <c r="O216" s="14">
        <v>244</v>
      </c>
      <c r="P216" s="14"/>
      <c r="Q216" s="14">
        <v>56</v>
      </c>
      <c r="R216" s="14"/>
      <c r="S216" s="14"/>
      <c r="T216" s="14"/>
      <c r="U216" s="14"/>
      <c r="V216" s="14"/>
      <c r="W216" s="14"/>
      <c r="X216" s="22">
        <f t="shared" si="44"/>
        <v>300</v>
      </c>
      <c r="Y216" s="14"/>
      <c r="Z216" s="31">
        <f>24+8</f>
        <v>32</v>
      </c>
      <c r="AA216" s="23">
        <v>0.79166666666666663</v>
      </c>
      <c r="AB216" s="23">
        <v>0.29166666666666669</v>
      </c>
      <c r="AC216" s="23" cm="1">
        <f t="array" ref="AC216">_xlfn.IFS($AJ216="","",$AJ216&gt;=8,TIME(1,0,0),$AJ216&lt;=5,"")</f>
        <v>4.1666666666666664E-2</v>
      </c>
      <c r="AD216" s="23" t="str">
        <f t="shared" si="36"/>
        <v/>
      </c>
      <c r="AE216" s="23" cm="1">
        <f t="array" ref="AE216">_xlfn.IFS($AA216="","",AND($AJ216&lt;=12,$AJ216&gt;10),TIME(0,35,0),AND($AJ216&lt;=10,$AJ216&gt;5),TIME(0,20,0),$AJ216&gt;12,TIME(0,20,0),AND(AJ216&gt;3,$AJ216&lt;=5),TIME(0,10,0),$AJ216&lt;3,"")</f>
        <v>2.4305555555555556E-2</v>
      </c>
      <c r="AF216" s="23">
        <f t="shared" si="37"/>
        <v>6.9444444444444441E-3</v>
      </c>
      <c r="AG216" s="23"/>
      <c r="AH216" s="30"/>
      <c r="AI216" s="30"/>
      <c r="AJ216" s="24">
        <f t="shared" si="38"/>
        <v>12</v>
      </c>
      <c r="AK216" s="23">
        <f t="shared" si="39"/>
        <v>7.2916666666666671E-2</v>
      </c>
      <c r="AL216" s="25">
        <f t="shared" si="40"/>
        <v>384</v>
      </c>
      <c r="AM216" s="25">
        <f t="shared" si="41"/>
        <v>328</v>
      </c>
      <c r="AN216" s="16">
        <f t="shared" si="42"/>
        <v>1.28</v>
      </c>
      <c r="AO216" s="38"/>
      <c r="AP216" s="19"/>
      <c r="AQ216" s="34"/>
      <c r="AR216" s="30"/>
    </row>
    <row r="217" spans="2:44" ht="15" customHeight="1" x14ac:dyDescent="0.3">
      <c r="B217" s="97">
        <v>46051</v>
      </c>
      <c r="C217" s="21">
        <f t="shared" si="45"/>
        <v>1</v>
      </c>
      <c r="D217" s="18" t="s">
        <v>97</v>
      </c>
      <c r="E217" s="14">
        <v>113</v>
      </c>
      <c r="F217" s="14"/>
      <c r="G217" s="14"/>
      <c r="H217" s="14"/>
      <c r="I217" s="14"/>
      <c r="J217" s="14"/>
      <c r="K217" s="14">
        <v>23</v>
      </c>
      <c r="L217" s="14">
        <v>19</v>
      </c>
      <c r="M217" s="14"/>
      <c r="N217" s="14"/>
      <c r="O217" s="14">
        <v>8</v>
      </c>
      <c r="P217" s="14"/>
      <c r="Q217" s="14">
        <v>267</v>
      </c>
      <c r="R217" s="14"/>
      <c r="S217" s="14"/>
      <c r="T217" s="14"/>
      <c r="U217" s="14"/>
      <c r="V217" s="14">
        <v>70</v>
      </c>
      <c r="W217" s="14"/>
      <c r="X217" s="22">
        <f t="shared" si="44"/>
        <v>500</v>
      </c>
      <c r="Y217" s="14"/>
      <c r="Z217" s="31">
        <f>4+2</f>
        <v>6</v>
      </c>
      <c r="AA217" s="23">
        <v>0.29166666666666669</v>
      </c>
      <c r="AB217" s="23">
        <v>0.79166666666666663</v>
      </c>
      <c r="AC217" s="23" cm="1">
        <f t="array" ref="AC217">_xlfn.IFS($AJ217="","",$AJ217&gt;=8,TIME(1,0,0),$AJ217&lt;=5,"")</f>
        <v>4.1666666666666664E-2</v>
      </c>
      <c r="AD217" s="23" t="str">
        <f t="shared" si="36"/>
        <v/>
      </c>
      <c r="AE217" s="23" cm="1">
        <f t="array" ref="AE217">_xlfn.IFS($AA217="","",AND($AJ217&lt;=12,$AJ217&gt;10),TIME(0,35,0),AND($AJ217&lt;=10,$AJ217&gt;5),TIME(0,20,0),$AJ217&gt;12,TIME(0,20,0),AND(AJ217&gt;3,$AJ217&lt;=5),TIME(0,10,0),$AJ217&lt;3,"")</f>
        <v>2.4305555555555556E-2</v>
      </c>
      <c r="AF217" s="23">
        <f t="shared" si="37"/>
        <v>6.9444444444444441E-3</v>
      </c>
      <c r="AG217" s="23"/>
      <c r="AH217" s="30"/>
      <c r="AI217" s="23">
        <v>0.20833333333333334</v>
      </c>
      <c r="AJ217" s="24">
        <f t="shared" si="38"/>
        <v>11.999999999999998</v>
      </c>
      <c r="AK217" s="23">
        <f t="shared" si="39"/>
        <v>7.2916666666666671E-2</v>
      </c>
      <c r="AL217" s="25">
        <f t="shared" si="40"/>
        <v>71.999999999999986</v>
      </c>
      <c r="AM217" s="25">
        <f t="shared" si="41"/>
        <v>61.499999999999986</v>
      </c>
      <c r="AN217" s="16">
        <f t="shared" si="42"/>
        <v>0.14399999999999996</v>
      </c>
      <c r="AO217" s="38"/>
      <c r="AP217" s="19"/>
      <c r="AQ217" s="34"/>
      <c r="AR217" s="30" t="s">
        <v>322</v>
      </c>
    </row>
    <row r="218" spans="2:44" ht="15" customHeight="1" x14ac:dyDescent="0.3">
      <c r="B218" s="97">
        <v>46051</v>
      </c>
      <c r="C218" s="21">
        <f t="shared" si="45"/>
        <v>1</v>
      </c>
      <c r="D218" s="18" t="s">
        <v>97</v>
      </c>
      <c r="E218" s="14">
        <v>85</v>
      </c>
      <c r="F218" s="14"/>
      <c r="G218" s="14"/>
      <c r="H218" s="14"/>
      <c r="I218" s="14"/>
      <c r="J218" s="14"/>
      <c r="K218" s="14">
        <v>48</v>
      </c>
      <c r="L218" s="14">
        <v>39</v>
      </c>
      <c r="M218" s="14"/>
      <c r="N218" s="14"/>
      <c r="O218" s="14">
        <v>281</v>
      </c>
      <c r="P218" s="14"/>
      <c r="Q218" s="14">
        <v>56</v>
      </c>
      <c r="R218" s="14"/>
      <c r="S218" s="14"/>
      <c r="T218" s="14"/>
      <c r="U218" s="14"/>
      <c r="V218" s="14">
        <v>24</v>
      </c>
      <c r="W218" s="14"/>
      <c r="X218" s="22">
        <f t="shared" si="44"/>
        <v>533</v>
      </c>
      <c r="Y218" s="14"/>
      <c r="Z218" s="31">
        <f>4+2</f>
        <v>6</v>
      </c>
      <c r="AA218" s="23">
        <v>0.79166666666666663</v>
      </c>
      <c r="AB218" s="23">
        <v>0.29166666666666669</v>
      </c>
      <c r="AC218" s="23" cm="1">
        <f t="array" ref="AC218">_xlfn.IFS($AJ218="","",$AJ218&gt;=8,TIME(1,0,0),$AJ218&lt;=5,"")</f>
        <v>4.1666666666666664E-2</v>
      </c>
      <c r="AD218" s="23" t="str">
        <f t="shared" si="36"/>
        <v/>
      </c>
      <c r="AE218" s="23" cm="1">
        <f t="array" ref="AE218">_xlfn.IFS($AA218="","",AND($AJ218&lt;=12,$AJ218&gt;10),TIME(0,35,0),AND($AJ218&lt;=10,$AJ218&gt;5),TIME(0,20,0),$AJ218&gt;12,TIME(0,20,0),AND(AJ218&gt;3,$AJ218&lt;=5),TIME(0,10,0),$AJ218&lt;3,"")</f>
        <v>2.4305555555555556E-2</v>
      </c>
      <c r="AF218" s="23">
        <f t="shared" si="37"/>
        <v>6.9444444444444441E-3</v>
      </c>
      <c r="AG218" s="23"/>
      <c r="AH218" s="30"/>
      <c r="AI218" s="23">
        <v>0.25</v>
      </c>
      <c r="AJ218" s="24">
        <f t="shared" si="38"/>
        <v>12</v>
      </c>
      <c r="AK218" s="23">
        <f t="shared" si="39"/>
        <v>7.2916666666666671E-2</v>
      </c>
      <c r="AL218" s="25">
        <f t="shared" si="40"/>
        <v>72</v>
      </c>
      <c r="AM218" s="25">
        <f t="shared" si="41"/>
        <v>61.5</v>
      </c>
      <c r="AN218" s="16">
        <f t="shared" si="42"/>
        <v>0.1350844277673546</v>
      </c>
      <c r="AO218" s="38"/>
      <c r="AP218" s="19"/>
      <c r="AQ218" s="34"/>
      <c r="AR218" s="30" t="s">
        <v>323</v>
      </c>
    </row>
    <row r="219" spans="2:44" ht="15" customHeight="1" x14ac:dyDescent="0.3">
      <c r="B219" s="97">
        <v>46051</v>
      </c>
      <c r="C219" s="21">
        <f t="shared" si="45"/>
        <v>1</v>
      </c>
      <c r="D219" s="18" t="s">
        <v>98</v>
      </c>
      <c r="E219" s="14">
        <v>116</v>
      </c>
      <c r="F219" s="14"/>
      <c r="G219" s="14"/>
      <c r="H219" s="14"/>
      <c r="I219" s="14">
        <v>2</v>
      </c>
      <c r="J219" s="14">
        <v>1</v>
      </c>
      <c r="K219" s="14">
        <v>2</v>
      </c>
      <c r="L219" s="14">
        <v>3</v>
      </c>
      <c r="M219" s="14"/>
      <c r="N219" s="14"/>
      <c r="O219" s="14"/>
      <c r="P219" s="14"/>
      <c r="Q219" s="14">
        <v>353</v>
      </c>
      <c r="R219" s="14"/>
      <c r="S219" s="14"/>
      <c r="T219" s="14">
        <v>1</v>
      </c>
      <c r="U219" s="14"/>
      <c r="V219" s="14">
        <v>32</v>
      </c>
      <c r="W219" s="14"/>
      <c r="X219" s="22">
        <f t="shared" si="44"/>
        <v>510</v>
      </c>
      <c r="Y219" s="14"/>
      <c r="Z219" s="31">
        <f>19+4+13</f>
        <v>36</v>
      </c>
      <c r="AA219" s="23">
        <v>0.29166666666666669</v>
      </c>
      <c r="AB219" s="23">
        <v>0.79166666666666663</v>
      </c>
      <c r="AC219" s="23" cm="1">
        <f t="array" ref="AC219">_xlfn.IFS($AJ219="","",$AJ219&gt;=8,TIME(1,0,0),$AJ219&lt;=5,"")</f>
        <v>4.1666666666666664E-2</v>
      </c>
      <c r="AD219" s="23" t="str">
        <f t="shared" si="36"/>
        <v/>
      </c>
      <c r="AE219" s="23" cm="1">
        <f t="array" ref="AE219">_xlfn.IFS($AA219="","",AND($AJ219&lt;=12,$AJ219&gt;10),TIME(0,35,0),AND($AJ219&lt;=10,$AJ219&gt;5),TIME(0,20,0),$AJ219&gt;12,TIME(0,20,0),AND(AJ219&gt;3,$AJ219&lt;=5),TIME(0,10,0),$AJ219&lt;3,"")</f>
        <v>2.4305555555555556E-2</v>
      </c>
      <c r="AF219" s="23">
        <f t="shared" si="37"/>
        <v>6.9444444444444441E-3</v>
      </c>
      <c r="AG219" s="23">
        <v>6.5972222222222224E-2</v>
      </c>
      <c r="AH219" s="30"/>
      <c r="AI219" s="30"/>
      <c r="AJ219" s="24">
        <f t="shared" si="38"/>
        <v>11.999999999999998</v>
      </c>
      <c r="AK219" s="23">
        <f t="shared" si="39"/>
        <v>7.2916666666666671E-2</v>
      </c>
      <c r="AL219" s="25">
        <f t="shared" si="40"/>
        <v>431.99999999999994</v>
      </c>
      <c r="AM219" s="25">
        <f t="shared" si="41"/>
        <v>311.99999999999989</v>
      </c>
      <c r="AN219" s="16">
        <f t="shared" si="42"/>
        <v>0.84705882352941164</v>
      </c>
      <c r="AO219" s="38"/>
      <c r="AP219" s="19"/>
      <c r="AQ219" s="34"/>
      <c r="AR219" s="30" t="s">
        <v>324</v>
      </c>
    </row>
    <row r="220" spans="2:44" ht="15" customHeight="1" x14ac:dyDescent="0.3">
      <c r="B220" s="97">
        <v>46051</v>
      </c>
      <c r="C220" s="21">
        <f t="shared" si="45"/>
        <v>1</v>
      </c>
      <c r="D220" s="18" t="s">
        <v>98</v>
      </c>
      <c r="E220" s="14">
        <v>140</v>
      </c>
      <c r="F220" s="14"/>
      <c r="G220" s="14"/>
      <c r="H220" s="14"/>
      <c r="I220" s="14"/>
      <c r="J220" s="14"/>
      <c r="K220" s="14">
        <v>69</v>
      </c>
      <c r="L220" s="14">
        <v>37</v>
      </c>
      <c r="M220" s="14"/>
      <c r="N220" s="14"/>
      <c r="O220" s="14">
        <v>160</v>
      </c>
      <c r="P220" s="14"/>
      <c r="Q220" s="14">
        <v>164</v>
      </c>
      <c r="R220" s="14"/>
      <c r="S220" s="14"/>
      <c r="T220" s="14"/>
      <c r="U220" s="14"/>
      <c r="V220" s="14">
        <v>24</v>
      </c>
      <c r="W220" s="14">
        <v>13</v>
      </c>
      <c r="X220" s="22">
        <f t="shared" si="44"/>
        <v>607</v>
      </c>
      <c r="Y220" s="14"/>
      <c r="Z220" s="31">
        <f>17+1+19</f>
        <v>37</v>
      </c>
      <c r="AA220" s="23">
        <v>0.79166666666666663</v>
      </c>
      <c r="AB220" s="23">
        <v>0.29166666666666669</v>
      </c>
      <c r="AC220" s="23" cm="1">
        <f t="array" ref="AC220">_xlfn.IFS($AJ220="","",$AJ220&gt;=8,TIME(1,0,0),$AJ220&lt;=5,"")</f>
        <v>4.1666666666666664E-2</v>
      </c>
      <c r="AD220" s="23" t="str">
        <f t="shared" si="36"/>
        <v/>
      </c>
      <c r="AE220" s="23" cm="1">
        <f t="array" ref="AE220">_xlfn.IFS($AA220="","",AND($AJ220&lt;=12,$AJ220&gt;10),TIME(0,35,0),AND($AJ220&lt;=10,$AJ220&gt;5),TIME(0,20,0),$AJ220&gt;12,TIME(0,20,0),AND(AJ220&gt;3,$AJ220&lt;=5),TIME(0,10,0),$AJ220&lt;3,"")</f>
        <v>2.4305555555555556E-2</v>
      </c>
      <c r="AF220" s="23">
        <f t="shared" si="37"/>
        <v>6.9444444444444441E-3</v>
      </c>
      <c r="AG220" s="23"/>
      <c r="AH220" s="30"/>
      <c r="AI220" s="30"/>
      <c r="AJ220" s="24">
        <f t="shared" si="38"/>
        <v>12</v>
      </c>
      <c r="AK220" s="23">
        <f t="shared" si="39"/>
        <v>7.2916666666666671E-2</v>
      </c>
      <c r="AL220" s="25">
        <f t="shared" si="40"/>
        <v>444</v>
      </c>
      <c r="AM220" s="25">
        <f t="shared" si="41"/>
        <v>379.25</v>
      </c>
      <c r="AN220" s="16">
        <f t="shared" si="42"/>
        <v>0.73146622734761124</v>
      </c>
      <c r="AO220" s="38"/>
      <c r="AP220" s="19"/>
      <c r="AQ220" s="34"/>
      <c r="AR220" s="30"/>
    </row>
    <row r="221" spans="2:44" ht="15" customHeight="1" x14ac:dyDescent="0.3">
      <c r="B221" s="97">
        <v>46051</v>
      </c>
      <c r="C221" s="21">
        <f t="shared" si="45"/>
        <v>1</v>
      </c>
      <c r="D221" s="18" t="s">
        <v>99</v>
      </c>
      <c r="E221" s="14">
        <v>146</v>
      </c>
      <c r="F221" s="14">
        <v>1</v>
      </c>
      <c r="G221" s="14"/>
      <c r="H221" s="14"/>
      <c r="I221" s="14">
        <v>1</v>
      </c>
      <c r="J221" s="14">
        <v>1</v>
      </c>
      <c r="K221" s="14"/>
      <c r="L221" s="14"/>
      <c r="M221" s="14"/>
      <c r="N221" s="14">
        <v>1</v>
      </c>
      <c r="O221" s="14"/>
      <c r="P221" s="14"/>
      <c r="Q221" s="14">
        <f>257+67</f>
        <v>324</v>
      </c>
      <c r="R221" s="14"/>
      <c r="S221" s="14">
        <v>4</v>
      </c>
      <c r="T221" s="14">
        <f>3+3+1</f>
        <v>7</v>
      </c>
      <c r="U221" s="14"/>
      <c r="V221" s="14">
        <v>91</v>
      </c>
      <c r="W221" s="14">
        <v>3</v>
      </c>
      <c r="X221" s="22">
        <f t="shared" si="44"/>
        <v>579</v>
      </c>
      <c r="Y221" s="14"/>
      <c r="Z221" s="31">
        <f>16+5+15</f>
        <v>36</v>
      </c>
      <c r="AA221" s="23">
        <v>0.29166666666666669</v>
      </c>
      <c r="AB221" s="23">
        <v>0.79166666666666663</v>
      </c>
      <c r="AC221" s="23" cm="1">
        <f t="array" ref="AC221">_xlfn.IFS($AJ221="","",$AJ221&gt;=8,TIME(1,0,0),$AJ221&lt;=5,"")</f>
        <v>4.1666666666666664E-2</v>
      </c>
      <c r="AD221" s="23" t="str">
        <f t="shared" si="36"/>
        <v/>
      </c>
      <c r="AE221" s="23" cm="1">
        <f t="array" ref="AE221">_xlfn.IFS($AA221="","",AND($AJ221&lt;=12,$AJ221&gt;10),TIME(0,35,0),AND($AJ221&lt;=10,$AJ221&gt;5),TIME(0,20,0),$AJ221&gt;12,TIME(0,20,0),AND(AJ221&gt;3,$AJ221&lt;=5),TIME(0,10,0),$AJ221&lt;3,"")</f>
        <v>2.4305555555555556E-2</v>
      </c>
      <c r="AF221" s="23">
        <f t="shared" si="37"/>
        <v>6.9444444444444441E-3</v>
      </c>
      <c r="AG221" s="23"/>
      <c r="AH221" s="30"/>
      <c r="AI221" s="30"/>
      <c r="AJ221" s="24">
        <f t="shared" si="38"/>
        <v>11.999999999999998</v>
      </c>
      <c r="AK221" s="23">
        <f t="shared" si="39"/>
        <v>7.2916666666666671E-2</v>
      </c>
      <c r="AL221" s="25">
        <f t="shared" si="40"/>
        <v>431.99999999999994</v>
      </c>
      <c r="AM221" s="25">
        <f t="shared" si="41"/>
        <v>368.99999999999994</v>
      </c>
      <c r="AN221" s="16">
        <f t="shared" si="42"/>
        <v>0.74611398963730557</v>
      </c>
      <c r="AO221" s="38"/>
      <c r="AP221" s="19"/>
      <c r="AQ221" s="34"/>
      <c r="AR221" s="30"/>
    </row>
    <row r="222" spans="2:44" ht="15" customHeight="1" x14ac:dyDescent="0.3">
      <c r="B222" s="97">
        <v>46051</v>
      </c>
      <c r="C222" s="21">
        <f t="shared" si="45"/>
        <v>1</v>
      </c>
      <c r="D222" s="18" t="s">
        <v>99</v>
      </c>
      <c r="E222" s="14">
        <v>116</v>
      </c>
      <c r="F222" s="14"/>
      <c r="G222" s="14"/>
      <c r="H222" s="14"/>
      <c r="I222" s="14">
        <v>1</v>
      </c>
      <c r="J222" s="14"/>
      <c r="K222" s="14">
        <v>29</v>
      </c>
      <c r="L222" s="14">
        <v>21</v>
      </c>
      <c r="M222" s="14"/>
      <c r="N222" s="14"/>
      <c r="O222" s="14"/>
      <c r="P222" s="14"/>
      <c r="Q222" s="14">
        <f>247+33+2</f>
        <v>282</v>
      </c>
      <c r="R222" s="14"/>
      <c r="S222" s="14"/>
      <c r="T222" s="14"/>
      <c r="U222" s="14"/>
      <c r="V222" s="14">
        <v>21</v>
      </c>
      <c r="W222" s="14">
        <v>10</v>
      </c>
      <c r="X222" s="22">
        <f t="shared" si="44"/>
        <v>480</v>
      </c>
      <c r="Y222" s="14"/>
      <c r="Z222" s="31">
        <f>18+6+8+1</f>
        <v>33</v>
      </c>
      <c r="AA222" s="23">
        <v>0.79166666666666663</v>
      </c>
      <c r="AB222" s="23">
        <v>0.29166666666666669</v>
      </c>
      <c r="AC222" s="23" cm="1">
        <f t="array" ref="AC222">_xlfn.IFS($AJ222="","",$AJ222&gt;=8,TIME(1,0,0),$AJ222&lt;=5,"")</f>
        <v>4.1666666666666664E-2</v>
      </c>
      <c r="AD222" s="23" t="str">
        <f t="shared" si="36"/>
        <v/>
      </c>
      <c r="AE222" s="23" cm="1">
        <f t="array" ref="AE222">_xlfn.IFS($AA222="","",AND($AJ222&lt;=12,$AJ222&gt;10),TIME(0,35,0),AND($AJ222&lt;=10,$AJ222&gt;5),TIME(0,20,0),$AJ222&gt;12,TIME(0,20,0),AND(AJ222&gt;3,$AJ222&lt;=5),TIME(0,10,0),$AJ222&lt;3,"")</f>
        <v>2.4305555555555556E-2</v>
      </c>
      <c r="AF222" s="23">
        <f t="shared" si="37"/>
        <v>6.9444444444444441E-3</v>
      </c>
      <c r="AG222" s="23"/>
      <c r="AH222" s="30"/>
      <c r="AI222" s="30"/>
      <c r="AJ222" s="24">
        <f t="shared" si="38"/>
        <v>12</v>
      </c>
      <c r="AK222" s="23">
        <f t="shared" si="39"/>
        <v>7.2916666666666671E-2</v>
      </c>
      <c r="AL222" s="25">
        <f t="shared" si="40"/>
        <v>396</v>
      </c>
      <c r="AM222" s="25">
        <f t="shared" si="41"/>
        <v>338.25</v>
      </c>
      <c r="AN222" s="16">
        <f t="shared" si="42"/>
        <v>0.82499999999999996</v>
      </c>
      <c r="AO222" s="16">
        <f>IF(COUNTIF(B215:B222,B215)=8,1/SUM(AN215:AN222),"")</f>
        <v>0.17788001699625966</v>
      </c>
      <c r="AP222" s="19"/>
      <c r="AQ222" s="34"/>
      <c r="AR222" s="30" t="s">
        <v>325</v>
      </c>
    </row>
    <row r="223" spans="2:44" ht="15" customHeight="1" x14ac:dyDescent="0.3">
      <c r="B223" s="98">
        <v>46052</v>
      </c>
      <c r="C223" s="21">
        <f t="shared" si="45"/>
        <v>1</v>
      </c>
      <c r="D223" s="36" t="s">
        <v>96</v>
      </c>
      <c r="E223" s="14">
        <v>213</v>
      </c>
      <c r="F223" s="14"/>
      <c r="G223" s="14"/>
      <c r="H223" s="14"/>
      <c r="I223" s="14"/>
      <c r="J223" s="14"/>
      <c r="K223" s="14"/>
      <c r="L223" s="14">
        <v>73</v>
      </c>
      <c r="M223" s="14">
        <v>48</v>
      </c>
      <c r="N223" s="14"/>
      <c r="O223" s="14">
        <v>173</v>
      </c>
      <c r="P223" s="14"/>
      <c r="Q223" s="14">
        <v>42</v>
      </c>
      <c r="R223" s="14"/>
      <c r="S223" s="14"/>
      <c r="T223" s="14"/>
      <c r="U223" s="14"/>
      <c r="V223" s="14">
        <v>81</v>
      </c>
      <c r="W223" s="14"/>
      <c r="X223" s="22">
        <f t="shared" si="44"/>
        <v>630</v>
      </c>
      <c r="Y223" s="14"/>
      <c r="Z223" s="31">
        <f>15+1+10+18+1+10</f>
        <v>55</v>
      </c>
      <c r="AA223" s="23">
        <v>0.29166666666666669</v>
      </c>
      <c r="AB223" s="23">
        <v>0.79166666666666663</v>
      </c>
      <c r="AC223" s="23" cm="1">
        <f t="array" ref="AC223">_xlfn.IFS($AJ223="","",$AJ223&gt;=8,TIME(1,0,0),$AJ223&lt;=5,"")</f>
        <v>4.1666666666666664E-2</v>
      </c>
      <c r="AD223" s="23" t="str">
        <f t="shared" si="36"/>
        <v/>
      </c>
      <c r="AE223" s="23" cm="1">
        <f t="array" ref="AE223">_xlfn.IFS($AA223="","",AND($AJ223&lt;=12,$AJ223&gt;10),TIME(0,35,0),AND($AJ223&lt;=10,$AJ223&gt;5),TIME(0,20,0),$AJ223&gt;12,TIME(0,20,0),AND(AJ223&gt;3,$AJ223&lt;=5),TIME(0,10,0),$AJ223&lt;3,"")</f>
        <v>2.4305555555555556E-2</v>
      </c>
      <c r="AF223" s="23">
        <f t="shared" si="37"/>
        <v>6.9444444444444441E-3</v>
      </c>
      <c r="AG223" s="23"/>
      <c r="AH223" s="30"/>
      <c r="AI223" s="23">
        <v>0.20833333333333334</v>
      </c>
      <c r="AJ223" s="24">
        <f t="shared" si="38"/>
        <v>11.999999999999998</v>
      </c>
      <c r="AK223" s="23">
        <f t="shared" si="39"/>
        <v>7.2916666666666671E-2</v>
      </c>
      <c r="AL223" s="25">
        <f t="shared" si="40"/>
        <v>659.99999999999989</v>
      </c>
      <c r="AM223" s="25">
        <f t="shared" si="41"/>
        <v>563.74999999999989</v>
      </c>
      <c r="AN223" s="16">
        <f t="shared" si="42"/>
        <v>1.0476190476190474</v>
      </c>
      <c r="AO223" s="38"/>
      <c r="AP223" s="19"/>
      <c r="AQ223" s="34"/>
      <c r="AR223" s="30" t="s">
        <v>326</v>
      </c>
    </row>
    <row r="224" spans="2:44" ht="15" customHeight="1" x14ac:dyDescent="0.3">
      <c r="B224" s="98">
        <v>46052</v>
      </c>
      <c r="C224" s="21">
        <f t="shared" si="45"/>
        <v>1</v>
      </c>
      <c r="D224" s="36" t="s">
        <v>96</v>
      </c>
      <c r="E224" s="14"/>
      <c r="F224" s="14"/>
      <c r="G224" s="14"/>
      <c r="H224" s="14"/>
      <c r="I224" s="14"/>
      <c r="J224" s="14"/>
      <c r="K224" s="14"/>
      <c r="L224" s="14"/>
      <c r="M224" s="14"/>
      <c r="N224" s="14"/>
      <c r="O224" s="14"/>
      <c r="P224" s="14"/>
      <c r="Q224" s="14">
        <v>303</v>
      </c>
      <c r="R224" s="14"/>
      <c r="S224" s="14"/>
      <c r="T224" s="14"/>
      <c r="U224" s="14"/>
      <c r="V224" s="14"/>
      <c r="W224" s="14"/>
      <c r="X224" s="22">
        <f t="shared" si="44"/>
        <v>303</v>
      </c>
      <c r="Y224" s="14"/>
      <c r="Z224" s="31">
        <f>23+8</f>
        <v>31</v>
      </c>
      <c r="AA224" s="23">
        <v>0.79166666666666663</v>
      </c>
      <c r="AB224" s="23">
        <v>0.29166666666666669</v>
      </c>
      <c r="AC224" s="23" cm="1">
        <f t="array" ref="AC224">_xlfn.IFS($AJ224="","",$AJ224&gt;=8,TIME(1,0,0),$AJ224&lt;=5,"")</f>
        <v>4.1666666666666664E-2</v>
      </c>
      <c r="AD224" s="23" t="str">
        <f t="shared" si="36"/>
        <v/>
      </c>
      <c r="AE224" s="23" cm="1">
        <f t="array" ref="AE224">_xlfn.IFS($AA224="","",AND($AJ224&lt;=12,$AJ224&gt;10),TIME(0,35,0),AND($AJ224&lt;=10,$AJ224&gt;5),TIME(0,20,0),$AJ224&gt;12,TIME(0,20,0),AND(AJ224&gt;3,$AJ224&lt;=5),TIME(0,10,0),$AJ224&lt;3,"")</f>
        <v>2.4305555555555556E-2</v>
      </c>
      <c r="AF224" s="23">
        <f t="shared" si="37"/>
        <v>6.9444444444444441E-3</v>
      </c>
      <c r="AG224" s="23"/>
      <c r="AH224" s="30"/>
      <c r="AI224" s="30"/>
      <c r="AJ224" s="24">
        <f t="shared" si="38"/>
        <v>12</v>
      </c>
      <c r="AK224" s="23">
        <f t="shared" si="39"/>
        <v>7.2916666666666671E-2</v>
      </c>
      <c r="AL224" s="25">
        <f t="shared" si="40"/>
        <v>372</v>
      </c>
      <c r="AM224" s="25">
        <f t="shared" si="41"/>
        <v>317.75</v>
      </c>
      <c r="AN224" s="16">
        <f t="shared" si="42"/>
        <v>1.2277227722772277</v>
      </c>
      <c r="AO224" s="38"/>
      <c r="AP224" s="19"/>
      <c r="AQ224" s="34"/>
      <c r="AR224" s="30"/>
    </row>
    <row r="225" spans="2:44" ht="15" customHeight="1" x14ac:dyDescent="0.3">
      <c r="B225" s="98">
        <v>46052</v>
      </c>
      <c r="C225" s="21">
        <f t="shared" si="45"/>
        <v>1</v>
      </c>
      <c r="D225" s="18" t="s">
        <v>97</v>
      </c>
      <c r="E225" s="14">
        <v>72</v>
      </c>
      <c r="F225" s="14"/>
      <c r="G225" s="14"/>
      <c r="H225" s="14"/>
      <c r="I225" s="14"/>
      <c r="J225" s="14"/>
      <c r="K225" s="14"/>
      <c r="L225" s="14">
        <v>75</v>
      </c>
      <c r="M225" s="14"/>
      <c r="N225" s="14"/>
      <c r="O225" s="14">
        <v>210</v>
      </c>
      <c r="P225" s="14"/>
      <c r="Q225" s="14"/>
      <c r="R225" s="14"/>
      <c r="S225" s="14"/>
      <c r="T225" s="14"/>
      <c r="U225" s="14"/>
      <c r="V225" s="14">
        <v>30</v>
      </c>
      <c r="W225" s="14"/>
      <c r="X225" s="22">
        <f t="shared" si="44"/>
        <v>387</v>
      </c>
      <c r="Y225" s="14"/>
      <c r="Z225" s="31">
        <f>4+2</f>
        <v>6</v>
      </c>
      <c r="AA225" s="23">
        <v>0.29166666666666669</v>
      </c>
      <c r="AB225" s="23">
        <v>0.79166666666666663</v>
      </c>
      <c r="AC225" s="23" cm="1">
        <f t="array" ref="AC225">_xlfn.IFS($AJ225="","",$AJ225&gt;=8,TIME(1,0,0),$AJ225&lt;=5,"")</f>
        <v>4.1666666666666664E-2</v>
      </c>
      <c r="AD225" s="23" t="str">
        <f t="shared" si="36"/>
        <v/>
      </c>
      <c r="AE225" s="23" cm="1">
        <f t="array" ref="AE225">_xlfn.IFS($AA225="","",AND($AJ225&lt;=12,$AJ225&gt;10),TIME(0,35,0),AND($AJ225&lt;=10,$AJ225&gt;5),TIME(0,20,0),$AJ225&gt;12,TIME(0,20,0),AND(AJ225&gt;3,$AJ225&lt;=5),TIME(0,10,0),$AJ225&lt;3,"")</f>
        <v>2.4305555555555556E-2</v>
      </c>
      <c r="AF225" s="23">
        <f t="shared" si="37"/>
        <v>6.9444444444444441E-3</v>
      </c>
      <c r="AG225" s="23"/>
      <c r="AH225" s="30"/>
      <c r="AI225" s="23">
        <v>0.33333333333333331</v>
      </c>
      <c r="AJ225" s="24">
        <f t="shared" si="38"/>
        <v>11.999999999999998</v>
      </c>
      <c r="AK225" s="23">
        <f t="shared" si="39"/>
        <v>7.2916666666666671E-2</v>
      </c>
      <c r="AL225" s="25">
        <f t="shared" si="40"/>
        <v>71.999999999999986</v>
      </c>
      <c r="AM225" s="25">
        <f t="shared" si="41"/>
        <v>61.499999999999986</v>
      </c>
      <c r="AN225" s="16">
        <f t="shared" si="42"/>
        <v>0.18604651162790695</v>
      </c>
      <c r="AO225" s="38"/>
      <c r="AP225" s="50" t="s">
        <v>327</v>
      </c>
      <c r="AQ225" s="34"/>
      <c r="AR225" s="30" t="s">
        <v>328</v>
      </c>
    </row>
    <row r="226" spans="2:44" ht="15" customHeight="1" x14ac:dyDescent="0.3">
      <c r="B226" s="98">
        <v>46052</v>
      </c>
      <c r="C226" s="21">
        <f t="shared" si="45"/>
        <v>1</v>
      </c>
      <c r="D226" s="18" t="s">
        <v>97</v>
      </c>
      <c r="E226" s="14">
        <v>138</v>
      </c>
      <c r="F226" s="14"/>
      <c r="G226" s="14"/>
      <c r="H226" s="14"/>
      <c r="I226" s="14"/>
      <c r="J226" s="14"/>
      <c r="K226" s="14">
        <v>1</v>
      </c>
      <c r="L226" s="14">
        <v>15</v>
      </c>
      <c r="M226" s="14">
        <v>44</v>
      </c>
      <c r="N226" s="14"/>
      <c r="O226" s="14"/>
      <c r="P226" s="14"/>
      <c r="Q226" s="14">
        <v>302</v>
      </c>
      <c r="R226" s="14"/>
      <c r="S226" s="14"/>
      <c r="T226" s="14"/>
      <c r="U226" s="14"/>
      <c r="V226" s="14">
        <v>52</v>
      </c>
      <c r="W226" s="14"/>
      <c r="X226" s="22">
        <f t="shared" si="44"/>
        <v>552</v>
      </c>
      <c r="Y226" s="14"/>
      <c r="Z226" s="31">
        <f>4+2</f>
        <v>6</v>
      </c>
      <c r="AA226" s="23">
        <v>0.79166666666666663</v>
      </c>
      <c r="AB226" s="23">
        <v>0.29166666666666669</v>
      </c>
      <c r="AC226" s="23" cm="1">
        <f t="array" ref="AC226">_xlfn.IFS($AJ226="","",$AJ226&gt;=8,TIME(1,0,0),$AJ226&lt;=5,"")</f>
        <v>4.1666666666666664E-2</v>
      </c>
      <c r="AD226" s="23" t="str">
        <f t="shared" si="36"/>
        <v/>
      </c>
      <c r="AE226" s="23" cm="1">
        <f t="array" ref="AE226">_xlfn.IFS($AA226="","",AND($AJ226&lt;=12,$AJ226&gt;10),TIME(0,35,0),AND($AJ226&lt;=10,$AJ226&gt;5),TIME(0,20,0),$AJ226&gt;12,TIME(0,20,0),AND(AJ226&gt;3,$AJ226&lt;=5),TIME(0,10,0),$AJ226&lt;3,"")</f>
        <v>2.4305555555555556E-2</v>
      </c>
      <c r="AF226" s="23">
        <f t="shared" si="37"/>
        <v>6.9444444444444441E-3</v>
      </c>
      <c r="AG226" s="23"/>
      <c r="AH226" s="23">
        <v>0.12152777777777778</v>
      </c>
      <c r="AI226" s="30"/>
      <c r="AJ226" s="24">
        <f t="shared" si="38"/>
        <v>12</v>
      </c>
      <c r="AK226" s="23">
        <f t="shared" si="39"/>
        <v>7.2916666666666671E-2</v>
      </c>
      <c r="AL226" s="25">
        <f t="shared" si="40"/>
        <v>72</v>
      </c>
      <c r="AM226" s="25">
        <f t="shared" si="41"/>
        <v>61.5</v>
      </c>
      <c r="AN226" s="16">
        <f t="shared" si="42"/>
        <v>0.13043478260869565</v>
      </c>
      <c r="AO226" s="38"/>
      <c r="AP226" s="50" t="s">
        <v>329</v>
      </c>
      <c r="AQ226" s="34">
        <v>2</v>
      </c>
      <c r="AR226" s="30" t="s">
        <v>330</v>
      </c>
    </row>
    <row r="227" spans="2:44" ht="15" customHeight="1" x14ac:dyDescent="0.3">
      <c r="B227" s="98">
        <v>46052</v>
      </c>
      <c r="C227" s="21">
        <f t="shared" si="45"/>
        <v>1</v>
      </c>
      <c r="D227" s="18" t="s">
        <v>98</v>
      </c>
      <c r="E227" s="14">
        <v>54</v>
      </c>
      <c r="F227" s="14"/>
      <c r="G227" s="14">
        <v>1</v>
      </c>
      <c r="H227" s="14"/>
      <c r="I227" s="14">
        <v>1</v>
      </c>
      <c r="J227" s="14">
        <v>1</v>
      </c>
      <c r="K227" s="14">
        <v>4</v>
      </c>
      <c r="L227" s="14">
        <v>77</v>
      </c>
      <c r="M227" s="14"/>
      <c r="N227" s="14"/>
      <c r="O227" s="14">
        <v>125</v>
      </c>
      <c r="P227" s="14"/>
      <c r="Q227" s="14">
        <v>86</v>
      </c>
      <c r="R227" s="14">
        <v>1</v>
      </c>
      <c r="S227" s="14">
        <v>4</v>
      </c>
      <c r="T227" s="14">
        <v>11</v>
      </c>
      <c r="U227" s="14"/>
      <c r="V227" s="14">
        <v>63</v>
      </c>
      <c r="W227" s="14">
        <v>1</v>
      </c>
      <c r="X227" s="22">
        <f t="shared" si="44"/>
        <v>429</v>
      </c>
      <c r="Y227" s="14"/>
      <c r="Z227" s="31">
        <f>19+5+13</f>
        <v>37</v>
      </c>
      <c r="AA227" s="23">
        <v>0.29166666666666669</v>
      </c>
      <c r="AB227" s="23">
        <v>0.79166666666666663</v>
      </c>
      <c r="AC227" s="23" cm="1">
        <f t="array" ref="AC227">_xlfn.IFS($AJ227="","",$AJ227&gt;=8,TIME(1,0,0),$AJ227&lt;=5,"")</f>
        <v>4.1666666666666664E-2</v>
      </c>
      <c r="AD227" s="23" t="str">
        <f t="shared" si="36"/>
        <v/>
      </c>
      <c r="AE227" s="23" cm="1">
        <f t="array" ref="AE227">_xlfn.IFS($AA227="","",AND($AJ227&lt;=12,$AJ227&gt;10),TIME(0,35,0),AND($AJ227&lt;=10,$AJ227&gt;5),TIME(0,20,0),$AJ227&gt;12,TIME(0,20,0),AND(AJ227&gt;3,$AJ227&lt;=5),TIME(0,10,0),$AJ227&lt;3,"")</f>
        <v>2.4305555555555556E-2</v>
      </c>
      <c r="AF227" s="23">
        <f t="shared" si="37"/>
        <v>6.9444444444444441E-3</v>
      </c>
      <c r="AG227" s="23">
        <v>4.8611111111111112E-2</v>
      </c>
      <c r="AH227" s="30"/>
      <c r="AI227" s="30"/>
      <c r="AJ227" s="24">
        <f t="shared" si="38"/>
        <v>11.999999999999998</v>
      </c>
      <c r="AK227" s="23">
        <f t="shared" si="39"/>
        <v>7.2916666666666671E-2</v>
      </c>
      <c r="AL227" s="25">
        <f t="shared" si="40"/>
        <v>443.99999999999994</v>
      </c>
      <c r="AM227" s="25">
        <f t="shared" si="41"/>
        <v>336.08333333333331</v>
      </c>
      <c r="AN227" s="16">
        <f t="shared" si="42"/>
        <v>1.0349650349650348</v>
      </c>
      <c r="AO227" s="38"/>
      <c r="AP227" s="19"/>
      <c r="AQ227" s="34"/>
      <c r="AR227" s="30" t="s">
        <v>331</v>
      </c>
    </row>
    <row r="228" spans="2:44" ht="15" customHeight="1" x14ac:dyDescent="0.3">
      <c r="B228" s="98">
        <v>46052</v>
      </c>
      <c r="C228" s="21">
        <f t="shared" si="45"/>
        <v>1</v>
      </c>
      <c r="D228" s="18" t="s">
        <v>98</v>
      </c>
      <c r="E228" s="14">
        <v>127</v>
      </c>
      <c r="F228" s="14"/>
      <c r="G228" s="14"/>
      <c r="H228" s="14"/>
      <c r="I228" s="14"/>
      <c r="J228" s="14"/>
      <c r="K228" s="14">
        <v>1</v>
      </c>
      <c r="L228" s="14">
        <v>24</v>
      </c>
      <c r="M228" s="14">
        <v>20</v>
      </c>
      <c r="N228" s="14"/>
      <c r="O228" s="14">
        <v>191</v>
      </c>
      <c r="P228" s="14"/>
      <c r="Q228" s="14">
        <v>180</v>
      </c>
      <c r="R228" s="14"/>
      <c r="S228" s="14"/>
      <c r="T228" s="14"/>
      <c r="U228" s="14"/>
      <c r="V228" s="14">
        <v>23</v>
      </c>
      <c r="W228" s="14"/>
      <c r="X228" s="22">
        <f t="shared" si="44"/>
        <v>566</v>
      </c>
      <c r="Y228" s="14"/>
      <c r="Z228" s="31">
        <f>17+1+19</f>
        <v>37</v>
      </c>
      <c r="AA228" s="23">
        <v>0.79166666666666663</v>
      </c>
      <c r="AB228" s="23">
        <v>0.29166666666666669</v>
      </c>
      <c r="AC228" s="23" cm="1">
        <f t="array" ref="AC228">_xlfn.IFS($AJ228="","",$AJ228&gt;=8,TIME(1,0,0),$AJ228&lt;=5,"")</f>
        <v>4.1666666666666664E-2</v>
      </c>
      <c r="AD228" s="23" t="str">
        <f t="shared" si="36"/>
        <v/>
      </c>
      <c r="AE228" s="23" cm="1">
        <f t="array" ref="AE228">_xlfn.IFS($AA228="","",AND($AJ228&lt;=12,$AJ228&gt;10),TIME(0,35,0),AND($AJ228&lt;=10,$AJ228&gt;5),TIME(0,20,0),$AJ228&gt;12,TIME(0,20,0),AND(AJ228&gt;3,$AJ228&lt;=5),TIME(0,10,0),$AJ228&lt;3,"")</f>
        <v>2.4305555555555556E-2</v>
      </c>
      <c r="AF228" s="23">
        <f t="shared" si="37"/>
        <v>6.9444444444444441E-3</v>
      </c>
      <c r="AG228" s="23">
        <v>2.4305555555555556E-2</v>
      </c>
      <c r="AH228" s="30"/>
      <c r="AI228" s="30"/>
      <c r="AJ228" s="24">
        <f t="shared" si="38"/>
        <v>12</v>
      </c>
      <c r="AK228" s="23">
        <f t="shared" si="39"/>
        <v>7.2916666666666671E-2</v>
      </c>
      <c r="AL228" s="25">
        <f t="shared" si="40"/>
        <v>444</v>
      </c>
      <c r="AM228" s="25">
        <f t="shared" si="41"/>
        <v>357.66666666666663</v>
      </c>
      <c r="AN228" s="16">
        <f t="shared" si="42"/>
        <v>0.78445229681978801</v>
      </c>
      <c r="AO228" s="38"/>
      <c r="AP228" s="19"/>
      <c r="AQ228" s="34"/>
      <c r="AR228" s="30" t="s">
        <v>332</v>
      </c>
    </row>
    <row r="229" spans="2:44" ht="15" customHeight="1" x14ac:dyDescent="0.3">
      <c r="B229" s="98">
        <v>46052</v>
      </c>
      <c r="C229" s="21">
        <f t="shared" si="45"/>
        <v>1</v>
      </c>
      <c r="D229" s="18" t="s">
        <v>99</v>
      </c>
      <c r="E229" s="14">
        <v>68</v>
      </c>
      <c r="F229" s="14">
        <v>2</v>
      </c>
      <c r="G229" s="14">
        <v>2</v>
      </c>
      <c r="H229" s="14">
        <v>1</v>
      </c>
      <c r="I229" s="14"/>
      <c r="J229" s="14">
        <v>4</v>
      </c>
      <c r="K229" s="14">
        <v>39</v>
      </c>
      <c r="L229" s="14">
        <v>39</v>
      </c>
      <c r="M229" s="14"/>
      <c r="N229" s="14">
        <v>1</v>
      </c>
      <c r="O229" s="14">
        <v>213</v>
      </c>
      <c r="P229" s="14"/>
      <c r="Q229" s="14">
        <f>17+96+6+2</f>
        <v>121</v>
      </c>
      <c r="R229" s="14"/>
      <c r="S229" s="14"/>
      <c r="T229" s="14">
        <f>3+1</f>
        <v>4</v>
      </c>
      <c r="U229" s="14"/>
      <c r="V229" s="14">
        <v>30</v>
      </c>
      <c r="W229" s="14">
        <v>1</v>
      </c>
      <c r="X229" s="22">
        <f t="shared" si="44"/>
        <v>525</v>
      </c>
      <c r="Y229" s="14"/>
      <c r="Z229" s="31">
        <f>17+5+16</f>
        <v>38</v>
      </c>
      <c r="AA229" s="23">
        <v>0.29166666666666669</v>
      </c>
      <c r="AB229" s="23">
        <v>0.79166666666666663</v>
      </c>
      <c r="AC229" s="23" cm="1">
        <f t="array" ref="AC229">_xlfn.IFS($AJ229="","",$AJ229&gt;=8,TIME(1,0,0),$AJ229&lt;=5,"")</f>
        <v>4.1666666666666664E-2</v>
      </c>
      <c r="AD229" s="23" t="str">
        <f t="shared" si="36"/>
        <v/>
      </c>
      <c r="AE229" s="23" cm="1">
        <f t="array" ref="AE229">_xlfn.IFS($AA229="","",AND($AJ229&lt;=12,$AJ229&gt;10),TIME(0,35,0),AND($AJ229&lt;=10,$AJ229&gt;5),TIME(0,20,0),$AJ229&gt;12,TIME(0,20,0),AND(AJ229&gt;3,$AJ229&lt;=5),TIME(0,10,0),$AJ229&lt;3,"")</f>
        <v>2.4305555555555556E-2</v>
      </c>
      <c r="AF229" s="23">
        <f t="shared" si="37"/>
        <v>6.9444444444444441E-3</v>
      </c>
      <c r="AG229" s="23"/>
      <c r="AH229" s="30"/>
      <c r="AI229" s="23">
        <v>8.3333333333333329E-2</v>
      </c>
      <c r="AJ229" s="24">
        <f t="shared" si="38"/>
        <v>11.999999999999998</v>
      </c>
      <c r="AK229" s="23">
        <f t="shared" si="39"/>
        <v>7.2916666666666671E-2</v>
      </c>
      <c r="AL229" s="25">
        <f t="shared" si="40"/>
        <v>455.99999999999994</v>
      </c>
      <c r="AM229" s="25">
        <f t="shared" si="41"/>
        <v>389.49999999999994</v>
      </c>
      <c r="AN229" s="16">
        <f t="shared" si="42"/>
        <v>0.86857142857142844</v>
      </c>
      <c r="AO229" s="38"/>
      <c r="AP229" s="19"/>
      <c r="AQ229" s="34"/>
      <c r="AR229" s="30" t="s">
        <v>333</v>
      </c>
    </row>
    <row r="230" spans="2:44" ht="15" customHeight="1" x14ac:dyDescent="0.3">
      <c r="B230" s="98">
        <v>46052</v>
      </c>
      <c r="C230" s="21">
        <f t="shared" si="45"/>
        <v>1</v>
      </c>
      <c r="D230" s="18" t="s">
        <v>99</v>
      </c>
      <c r="E230" s="14">
        <v>114</v>
      </c>
      <c r="F230" s="14"/>
      <c r="G230" s="14"/>
      <c r="H230" s="14"/>
      <c r="I230" s="14"/>
      <c r="J230" s="14">
        <v>1</v>
      </c>
      <c r="K230" s="14">
        <v>2</v>
      </c>
      <c r="L230" s="14">
        <v>45</v>
      </c>
      <c r="M230" s="14">
        <v>2</v>
      </c>
      <c r="N230" s="14">
        <v>1</v>
      </c>
      <c r="O230" s="14">
        <v>213</v>
      </c>
      <c r="P230" s="14"/>
      <c r="Q230" s="14">
        <f>38+37+8</f>
        <v>83</v>
      </c>
      <c r="R230" s="14"/>
      <c r="S230" s="14">
        <v>6</v>
      </c>
      <c r="T230" s="14">
        <f>6+1</f>
        <v>7</v>
      </c>
      <c r="U230" s="14">
        <v>3</v>
      </c>
      <c r="V230" s="14">
        <v>53</v>
      </c>
      <c r="W230" s="14">
        <v>1</v>
      </c>
      <c r="X230" s="22">
        <f t="shared" si="44"/>
        <v>531</v>
      </c>
      <c r="Y230" s="14"/>
      <c r="Z230" s="31">
        <f>18+5+8+1</f>
        <v>32</v>
      </c>
      <c r="AA230" s="23">
        <v>0.79166666666666663</v>
      </c>
      <c r="AB230" s="23">
        <v>0.29166666666666669</v>
      </c>
      <c r="AC230" s="23" cm="1">
        <f t="array" ref="AC230">_xlfn.IFS($AJ230="","",$AJ230&gt;=8,TIME(1,0,0),$AJ230&lt;=5,"")</f>
        <v>4.1666666666666664E-2</v>
      </c>
      <c r="AD230" s="23" t="str">
        <f t="shared" si="36"/>
        <v/>
      </c>
      <c r="AE230" s="23" cm="1">
        <f t="array" ref="AE230">_xlfn.IFS($AA230="","",AND($AJ230&lt;=12,$AJ230&gt;10),TIME(0,35,0),AND($AJ230&lt;=10,$AJ230&gt;5),TIME(0,20,0),$AJ230&gt;12,TIME(0,20,0),AND(AJ230&gt;3,$AJ230&lt;=5),TIME(0,10,0),$AJ230&lt;3,"")</f>
        <v>2.4305555555555556E-2</v>
      </c>
      <c r="AF230" s="23">
        <f t="shared" si="37"/>
        <v>6.9444444444444441E-3</v>
      </c>
      <c r="AG230" s="23"/>
      <c r="AH230" s="30"/>
      <c r="AI230" s="30"/>
      <c r="AJ230" s="24">
        <f t="shared" si="38"/>
        <v>12</v>
      </c>
      <c r="AK230" s="23">
        <f t="shared" si="39"/>
        <v>7.2916666666666671E-2</v>
      </c>
      <c r="AL230" s="25">
        <f t="shared" si="40"/>
        <v>384</v>
      </c>
      <c r="AM230" s="25">
        <f t="shared" si="41"/>
        <v>328</v>
      </c>
      <c r="AN230" s="16">
        <f t="shared" si="42"/>
        <v>0.7231638418079096</v>
      </c>
      <c r="AO230" s="16">
        <f>IF(COUNTIF(B223:B230,B223)=8,1/SUM(AN223:AN230),"")</f>
        <v>0.16658404885516584</v>
      </c>
      <c r="AP230" s="19"/>
      <c r="AQ230" s="34"/>
      <c r="AR230" s="30"/>
    </row>
    <row r="231" spans="2:44" ht="15" customHeight="1" x14ac:dyDescent="0.3">
      <c r="B231" s="97">
        <v>46053</v>
      </c>
      <c r="C231" s="21">
        <f t="shared" si="45"/>
        <v>1</v>
      </c>
      <c r="D231" s="36" t="s">
        <v>96</v>
      </c>
      <c r="E231" s="14">
        <v>235</v>
      </c>
      <c r="F231" s="14"/>
      <c r="G231" s="14"/>
      <c r="H231" s="14"/>
      <c r="I231" s="14"/>
      <c r="J231" s="14"/>
      <c r="K231" s="14">
        <f>75+3</f>
        <v>78</v>
      </c>
      <c r="L231" s="14"/>
      <c r="M231" s="14">
        <v>92</v>
      </c>
      <c r="N231" s="14"/>
      <c r="O231" s="14"/>
      <c r="P231" s="14"/>
      <c r="Q231" s="14">
        <v>294</v>
      </c>
      <c r="R231" s="14"/>
      <c r="S231" s="14"/>
      <c r="T231" s="14"/>
      <c r="U231" s="14"/>
      <c r="V231" s="14"/>
      <c r="W231" s="14"/>
      <c r="X231" s="22">
        <f t="shared" si="44"/>
        <v>699</v>
      </c>
      <c r="Y231" s="14"/>
      <c r="Z231" s="31">
        <f>14+1+10+17+1+10</f>
        <v>53</v>
      </c>
      <c r="AA231" s="23">
        <v>0.29166666666666669</v>
      </c>
      <c r="AB231" s="23">
        <v>0.79166666666666663</v>
      </c>
      <c r="AC231" s="23" cm="1">
        <f t="array" ref="AC231">_xlfn.IFS($AJ231="","",$AJ231&gt;=8,TIME(1,0,0),$AJ231&lt;=5,"")</f>
        <v>4.1666666666666664E-2</v>
      </c>
      <c r="AD231" s="23" t="str">
        <f t="shared" si="36"/>
        <v/>
      </c>
      <c r="AE231" s="23" cm="1">
        <f t="array" ref="AE231">_xlfn.IFS($AA231="","",AND($AJ231&lt;=12,$AJ231&gt;10),TIME(0,35,0),AND($AJ231&lt;=10,$AJ231&gt;5),TIME(0,20,0),$AJ231&gt;12,TIME(0,20,0),AND(AJ231&gt;3,$AJ231&lt;=5),TIME(0,10,0),$AJ231&lt;3,"")</f>
        <v>2.4305555555555556E-2</v>
      </c>
      <c r="AF231" s="23">
        <f t="shared" si="37"/>
        <v>6.9444444444444441E-3</v>
      </c>
      <c r="AG231" s="23"/>
      <c r="AH231" s="30"/>
      <c r="AI231" s="23">
        <v>0.33333333333333331</v>
      </c>
      <c r="AJ231" s="24">
        <f t="shared" si="38"/>
        <v>11.999999999999998</v>
      </c>
      <c r="AK231" s="23">
        <f t="shared" si="39"/>
        <v>7.2916666666666671E-2</v>
      </c>
      <c r="AL231" s="25">
        <f t="shared" si="40"/>
        <v>635.99999999999989</v>
      </c>
      <c r="AM231" s="25">
        <f t="shared" si="41"/>
        <v>543.24999999999989</v>
      </c>
      <c r="AN231" s="16">
        <f t="shared" si="42"/>
        <v>0.90987124463519298</v>
      </c>
      <c r="AO231" s="38"/>
      <c r="AP231" s="19"/>
      <c r="AQ231" s="34"/>
      <c r="AR231" s="30" t="s">
        <v>334</v>
      </c>
    </row>
    <row r="232" spans="2:44" ht="15" customHeight="1" x14ac:dyDescent="0.3">
      <c r="B232" s="97">
        <v>46053</v>
      </c>
      <c r="C232" s="21">
        <f t="shared" si="45"/>
        <v>1</v>
      </c>
      <c r="D232" s="36" t="s">
        <v>96</v>
      </c>
      <c r="E232" s="14"/>
      <c r="F232" s="14"/>
      <c r="G232" s="14"/>
      <c r="H232" s="14"/>
      <c r="I232" s="14"/>
      <c r="J232" s="14"/>
      <c r="K232" s="14"/>
      <c r="L232" s="14"/>
      <c r="M232" s="14"/>
      <c r="N232" s="14"/>
      <c r="O232" s="14"/>
      <c r="P232" s="14"/>
      <c r="Q232" s="14">
        <v>257</v>
      </c>
      <c r="R232" s="14"/>
      <c r="S232" s="14"/>
      <c r="T232" s="14"/>
      <c r="U232" s="14"/>
      <c r="V232" s="14"/>
      <c r="W232" s="14"/>
      <c r="X232" s="22">
        <f t="shared" si="44"/>
        <v>257</v>
      </c>
      <c r="Y232" s="14"/>
      <c r="Z232" s="31">
        <v>29</v>
      </c>
      <c r="AA232" s="23">
        <v>0.79166666666666663</v>
      </c>
      <c r="AB232" s="23">
        <v>0.29166666666666669</v>
      </c>
      <c r="AC232" s="23" cm="1">
        <f t="array" ref="AC232">_xlfn.IFS($AJ232="","",$AJ232&gt;=8,TIME(1,0,0),$AJ232&lt;=5,"")</f>
        <v>4.1666666666666664E-2</v>
      </c>
      <c r="AD232" s="23" t="str">
        <f t="shared" si="36"/>
        <v/>
      </c>
      <c r="AE232" s="23" cm="1">
        <f t="array" ref="AE232">_xlfn.IFS($AA232="","",AND($AJ232&lt;=12,$AJ232&gt;10),TIME(0,35,0),AND($AJ232&lt;=10,$AJ232&gt;5),TIME(0,20,0),$AJ232&gt;12,TIME(0,20,0),AND(AJ232&gt;3,$AJ232&lt;=5),TIME(0,10,0),$AJ232&lt;3,"")</f>
        <v>2.4305555555555556E-2</v>
      </c>
      <c r="AF232" s="23">
        <f t="shared" si="37"/>
        <v>6.9444444444444441E-3</v>
      </c>
      <c r="AG232" s="23">
        <v>3.4722222222222224E-2</v>
      </c>
      <c r="AH232" s="30"/>
      <c r="AI232" s="30"/>
      <c r="AJ232" s="24">
        <f t="shared" si="38"/>
        <v>12</v>
      </c>
      <c r="AK232" s="23">
        <f t="shared" si="39"/>
        <v>7.2916666666666671E-2</v>
      </c>
      <c r="AL232" s="25">
        <f t="shared" si="40"/>
        <v>348</v>
      </c>
      <c r="AM232" s="25">
        <f t="shared" si="41"/>
        <v>273.08333333333331</v>
      </c>
      <c r="AN232" s="16">
        <f t="shared" si="42"/>
        <v>1.3540856031128405</v>
      </c>
      <c r="AO232" s="38"/>
      <c r="AP232" s="19"/>
      <c r="AQ232" s="34"/>
      <c r="AR232" s="30" t="s">
        <v>335</v>
      </c>
    </row>
    <row r="233" spans="2:44" ht="15" customHeight="1" x14ac:dyDescent="0.3">
      <c r="B233" s="97">
        <v>46053</v>
      </c>
      <c r="C233" s="21">
        <f t="shared" si="45"/>
        <v>1</v>
      </c>
      <c r="D233" s="18" t="s">
        <v>97</v>
      </c>
      <c r="E233" s="14">
        <v>102</v>
      </c>
      <c r="F233" s="14"/>
      <c r="G233" s="14"/>
      <c r="H233" s="14"/>
      <c r="I233" s="14"/>
      <c r="J233" s="14"/>
      <c r="K233" s="14">
        <v>58</v>
      </c>
      <c r="L233" s="14"/>
      <c r="M233" s="14">
        <v>70</v>
      </c>
      <c r="N233" s="14"/>
      <c r="O233" s="14"/>
      <c r="P233" s="14"/>
      <c r="Q233" s="14">
        <v>262</v>
      </c>
      <c r="R233" s="14"/>
      <c r="S233" s="14"/>
      <c r="T233" s="14"/>
      <c r="U233" s="14"/>
      <c r="V233" s="14"/>
      <c r="W233" s="14"/>
      <c r="X233" s="22">
        <f t="shared" si="44"/>
        <v>492</v>
      </c>
      <c r="Y233" s="14"/>
      <c r="Z233" s="31">
        <f>4+2</f>
        <v>6</v>
      </c>
      <c r="AA233" s="23">
        <v>0.29166666666666669</v>
      </c>
      <c r="AB233" s="23">
        <v>0.79166666666666663</v>
      </c>
      <c r="AC233" s="23" cm="1">
        <f t="array" ref="AC233">_xlfn.IFS($AJ233="","",$AJ233&gt;=8,TIME(1,0,0),$AJ233&lt;=5,"")</f>
        <v>4.1666666666666664E-2</v>
      </c>
      <c r="AD233" s="23" t="str">
        <f t="shared" si="36"/>
        <v/>
      </c>
      <c r="AE233" s="23" cm="1">
        <f t="array" ref="AE233">_xlfn.IFS($AA233="","",AND($AJ233&lt;=12,$AJ233&gt;10),TIME(0,35,0),AND($AJ233&lt;=10,$AJ233&gt;5),TIME(0,20,0),$AJ233&gt;12,TIME(0,20,0),AND(AJ233&gt;3,$AJ233&lt;=5),TIME(0,10,0),$AJ233&lt;3,"")</f>
        <v>2.4305555555555556E-2</v>
      </c>
      <c r="AF233" s="23">
        <f t="shared" si="37"/>
        <v>6.9444444444444441E-3</v>
      </c>
      <c r="AG233" s="23"/>
      <c r="AH233" s="30"/>
      <c r="AI233" s="23">
        <v>0.375</v>
      </c>
      <c r="AJ233" s="24">
        <f t="shared" si="38"/>
        <v>11.999999999999998</v>
      </c>
      <c r="AK233" s="23">
        <f t="shared" si="39"/>
        <v>7.2916666666666671E-2</v>
      </c>
      <c r="AL233" s="25">
        <f t="shared" si="40"/>
        <v>71.999999999999986</v>
      </c>
      <c r="AM233" s="25">
        <f t="shared" si="41"/>
        <v>61.499999999999986</v>
      </c>
      <c r="AN233" s="16">
        <f t="shared" si="42"/>
        <v>0.14634146341463411</v>
      </c>
      <c r="AO233" s="38"/>
      <c r="AP233" s="50" t="s">
        <v>336</v>
      </c>
      <c r="AQ233" s="34"/>
      <c r="AR233" s="30" t="s">
        <v>337</v>
      </c>
    </row>
    <row r="234" spans="2:44" ht="15" customHeight="1" x14ac:dyDescent="0.3">
      <c r="B234" s="97">
        <v>46053</v>
      </c>
      <c r="C234" s="21">
        <f t="shared" si="45"/>
        <v>1</v>
      </c>
      <c r="D234" s="18" t="s">
        <v>97</v>
      </c>
      <c r="E234" s="14">
        <v>118</v>
      </c>
      <c r="F234" s="14"/>
      <c r="G234" s="14"/>
      <c r="H234" s="14"/>
      <c r="I234" s="14"/>
      <c r="J234" s="14"/>
      <c r="K234" s="14">
        <v>26</v>
      </c>
      <c r="L234" s="14"/>
      <c r="M234" s="14">
        <v>21</v>
      </c>
      <c r="N234" s="14"/>
      <c r="O234" s="14"/>
      <c r="P234" s="14"/>
      <c r="Q234" s="14">
        <v>302</v>
      </c>
      <c r="R234" s="14"/>
      <c r="S234" s="14"/>
      <c r="T234" s="14"/>
      <c r="U234" s="14"/>
      <c r="V234" s="14"/>
      <c r="W234" s="14"/>
      <c r="X234" s="22">
        <f t="shared" ref="X234:X274" si="46">SUM(E234:W234)</f>
        <v>467</v>
      </c>
      <c r="Y234" s="14"/>
      <c r="Z234" s="31">
        <f>4+1</f>
        <v>5</v>
      </c>
      <c r="AA234" s="23">
        <v>0.79166666666666663</v>
      </c>
      <c r="AB234" s="23">
        <v>0.29166666666666669</v>
      </c>
      <c r="AC234" s="23" cm="1">
        <f t="array" ref="AC234">_xlfn.IFS($AJ234="","",$AJ234&gt;=8,TIME(1,0,0),$AJ234&lt;=5,"")</f>
        <v>4.1666666666666664E-2</v>
      </c>
      <c r="AD234" s="23" t="str">
        <f t="shared" si="36"/>
        <v/>
      </c>
      <c r="AE234" s="23" cm="1">
        <f t="array" ref="AE234">_xlfn.IFS($AA234="","",AND($AJ234&lt;=12,$AJ234&gt;10),TIME(0,35,0),AND($AJ234&lt;=10,$AJ234&gt;5),TIME(0,20,0),$AJ234&gt;12,TIME(0,20,0),AND(AJ234&gt;3,$AJ234&lt;=5),TIME(0,10,0),$AJ234&lt;3,"")</f>
        <v>2.4305555555555556E-2</v>
      </c>
      <c r="AF234" s="23">
        <f t="shared" si="37"/>
        <v>6.9444444444444441E-3</v>
      </c>
      <c r="AG234" s="23">
        <v>4.8611111111111112E-2</v>
      </c>
      <c r="AH234" s="23">
        <v>4.8611111111111112E-2</v>
      </c>
      <c r="AI234" s="30"/>
      <c r="AJ234" s="24">
        <f t="shared" si="38"/>
        <v>12</v>
      </c>
      <c r="AK234" s="23">
        <f t="shared" si="39"/>
        <v>7.2916666666666671E-2</v>
      </c>
      <c r="AL234" s="25">
        <f t="shared" si="40"/>
        <v>60</v>
      </c>
      <c r="AM234" s="25">
        <f t="shared" si="41"/>
        <v>45.416666666666657</v>
      </c>
      <c r="AN234" s="16">
        <f t="shared" si="42"/>
        <v>0.1284796573875803</v>
      </c>
      <c r="AO234" s="38"/>
      <c r="AP234" s="50" t="s">
        <v>338</v>
      </c>
      <c r="AQ234" s="34">
        <v>1</v>
      </c>
      <c r="AR234" s="30" t="s">
        <v>339</v>
      </c>
    </row>
    <row r="235" spans="2:44" ht="15" customHeight="1" x14ac:dyDescent="0.3">
      <c r="B235" s="97">
        <v>46053</v>
      </c>
      <c r="C235" s="21">
        <f t="shared" si="45"/>
        <v>1</v>
      </c>
      <c r="D235" s="18" t="s">
        <v>98</v>
      </c>
      <c r="E235" s="14">
        <v>100</v>
      </c>
      <c r="F235" s="14"/>
      <c r="G235" s="14"/>
      <c r="H235" s="14"/>
      <c r="I235" s="14"/>
      <c r="J235" s="14"/>
      <c r="K235" s="14">
        <v>16</v>
      </c>
      <c r="L235" s="14">
        <v>9</v>
      </c>
      <c r="M235" s="14">
        <v>20</v>
      </c>
      <c r="N235" s="14"/>
      <c r="O235" s="14">
        <v>5</v>
      </c>
      <c r="P235" s="14"/>
      <c r="Q235" s="14">
        <v>240</v>
      </c>
      <c r="R235" s="14"/>
      <c r="S235" s="14">
        <v>1</v>
      </c>
      <c r="T235" s="14"/>
      <c r="U235" s="14"/>
      <c r="V235" s="14">
        <v>42</v>
      </c>
      <c r="W235" s="14"/>
      <c r="X235" s="22">
        <f t="shared" si="46"/>
        <v>433</v>
      </c>
      <c r="Y235" s="14"/>
      <c r="Z235" s="31">
        <f>17+5+10</f>
        <v>32</v>
      </c>
      <c r="AA235" s="23">
        <v>0.29166666666666669</v>
      </c>
      <c r="AB235" s="23">
        <v>0.79166666666666663</v>
      </c>
      <c r="AC235" s="23" cm="1">
        <f t="array" ref="AC235">_xlfn.IFS($AJ235="","",$AJ235&gt;=8,TIME(1,0,0),$AJ235&lt;=5,"")</f>
        <v>4.1666666666666664E-2</v>
      </c>
      <c r="AD235" s="23" t="str">
        <f t="shared" si="36"/>
        <v/>
      </c>
      <c r="AE235" s="23" cm="1">
        <f t="array" ref="AE235">_xlfn.IFS($AA235="","",AND($AJ235&lt;=12,$AJ235&gt;10),TIME(0,35,0),AND($AJ235&lt;=10,$AJ235&gt;5),TIME(0,20,0),$AJ235&gt;12,TIME(0,20,0),AND(AJ235&gt;3,$AJ235&lt;=5),TIME(0,10,0),$AJ235&lt;3,"")</f>
        <v>2.4305555555555556E-2</v>
      </c>
      <c r="AF235" s="23">
        <f t="shared" si="37"/>
        <v>6.9444444444444441E-3</v>
      </c>
      <c r="AG235" s="23">
        <v>3.8194444444444448E-2</v>
      </c>
      <c r="AH235" s="30"/>
      <c r="AI235" s="30"/>
      <c r="AJ235" s="24">
        <f t="shared" si="38"/>
        <v>11.999999999999998</v>
      </c>
      <c r="AK235" s="23">
        <f t="shared" si="39"/>
        <v>7.2916666666666671E-2</v>
      </c>
      <c r="AL235" s="25">
        <f t="shared" si="40"/>
        <v>383.99999999999994</v>
      </c>
      <c r="AM235" s="25">
        <f t="shared" si="41"/>
        <v>298.66666666666663</v>
      </c>
      <c r="AN235" s="16">
        <f t="shared" si="42"/>
        <v>0.88683602771362569</v>
      </c>
      <c r="AO235" s="38"/>
      <c r="AP235" s="19"/>
      <c r="AQ235" s="34"/>
      <c r="AR235" s="30" t="s">
        <v>340</v>
      </c>
    </row>
    <row r="236" spans="2:44" ht="15" customHeight="1" x14ac:dyDescent="0.3">
      <c r="B236" s="97">
        <v>46053</v>
      </c>
      <c r="C236" s="21">
        <f t="shared" si="45"/>
        <v>1</v>
      </c>
      <c r="D236" s="18" t="s">
        <v>98</v>
      </c>
      <c r="E236" s="14">
        <v>144</v>
      </c>
      <c r="F236" s="14"/>
      <c r="G236" s="14"/>
      <c r="H236" s="14"/>
      <c r="I236" s="14"/>
      <c r="J236" s="14"/>
      <c r="K236" s="14">
        <v>55</v>
      </c>
      <c r="L236" s="14"/>
      <c r="M236" s="14">
        <v>24</v>
      </c>
      <c r="N236" s="14"/>
      <c r="O236" s="14">
        <v>25</v>
      </c>
      <c r="P236" s="14"/>
      <c r="Q236" s="14">
        <v>302</v>
      </c>
      <c r="R236" s="14"/>
      <c r="S236" s="14"/>
      <c r="T236" s="14"/>
      <c r="U236" s="14"/>
      <c r="V236" s="14"/>
      <c r="W236" s="14"/>
      <c r="X236" s="22">
        <f t="shared" si="46"/>
        <v>550</v>
      </c>
      <c r="Y236" s="14"/>
      <c r="Z236" s="31">
        <f>17+1+18</f>
        <v>36</v>
      </c>
      <c r="AA236" s="23">
        <v>0.79166666666666663</v>
      </c>
      <c r="AB236" s="23">
        <v>0.29166666666666669</v>
      </c>
      <c r="AC236" s="23" cm="1">
        <f t="array" ref="AC236">_xlfn.IFS($AJ236="","",$AJ236&gt;=8,TIME(1,0,0),$AJ236&lt;=5,"")</f>
        <v>4.1666666666666664E-2</v>
      </c>
      <c r="AD236" s="23" t="str">
        <f t="shared" si="36"/>
        <v/>
      </c>
      <c r="AE236" s="23" cm="1">
        <f t="array" ref="AE236">_xlfn.IFS($AA236="","",AND($AJ236&lt;=12,$AJ236&gt;10),TIME(0,35,0),AND($AJ236&lt;=10,$AJ236&gt;5),TIME(0,20,0),$AJ236&gt;12,TIME(0,20,0),AND(AJ236&gt;3,$AJ236&lt;=5),TIME(0,10,0),$AJ236&lt;3,"")</f>
        <v>2.4305555555555556E-2</v>
      </c>
      <c r="AF236" s="23">
        <f t="shared" si="37"/>
        <v>6.9444444444444441E-3</v>
      </c>
      <c r="AG236" s="23">
        <v>4.5138888888888888E-2</v>
      </c>
      <c r="AH236" s="30"/>
      <c r="AI236" s="30"/>
      <c r="AJ236" s="24">
        <f t="shared" si="38"/>
        <v>12</v>
      </c>
      <c r="AK236" s="23">
        <f t="shared" si="39"/>
        <v>7.2916666666666671E-2</v>
      </c>
      <c r="AL236" s="25">
        <f t="shared" si="40"/>
        <v>432</v>
      </c>
      <c r="AM236" s="25">
        <f t="shared" si="41"/>
        <v>330.00000000000006</v>
      </c>
      <c r="AN236" s="16">
        <f t="shared" si="42"/>
        <v>0.78545454545454541</v>
      </c>
      <c r="AO236" s="38"/>
      <c r="AP236" s="19"/>
      <c r="AQ236" s="34"/>
      <c r="AR236" s="30" t="s">
        <v>341</v>
      </c>
    </row>
    <row r="237" spans="2:44" ht="15" customHeight="1" x14ac:dyDescent="0.3">
      <c r="B237" s="97">
        <v>46053</v>
      </c>
      <c r="C237" s="21">
        <f t="shared" si="45"/>
        <v>1</v>
      </c>
      <c r="D237" s="18" t="s">
        <v>99</v>
      </c>
      <c r="E237" s="14">
        <v>91</v>
      </c>
      <c r="F237" s="14">
        <v>1</v>
      </c>
      <c r="G237" s="14">
        <v>1</v>
      </c>
      <c r="H237" s="14"/>
      <c r="I237" s="14">
        <v>1</v>
      </c>
      <c r="J237" s="14"/>
      <c r="K237" s="14">
        <v>2</v>
      </c>
      <c r="L237" s="14"/>
      <c r="M237" s="14">
        <v>15</v>
      </c>
      <c r="N237" s="14"/>
      <c r="O237" s="14">
        <v>43</v>
      </c>
      <c r="P237" s="14"/>
      <c r="Q237" s="14">
        <f>14+226+23+2</f>
        <v>265</v>
      </c>
      <c r="R237" s="14">
        <v>32</v>
      </c>
      <c r="S237" s="14">
        <v>1</v>
      </c>
      <c r="T237" s="14"/>
      <c r="U237" s="14">
        <v>1</v>
      </c>
      <c r="V237" s="14">
        <v>39</v>
      </c>
      <c r="W237" s="14"/>
      <c r="X237" s="22">
        <f t="shared" si="46"/>
        <v>492</v>
      </c>
      <c r="Y237" s="14"/>
      <c r="Z237" s="31">
        <f>17+4+15</f>
        <v>36</v>
      </c>
      <c r="AA237" s="23">
        <v>0.29166666666666669</v>
      </c>
      <c r="AB237" s="23">
        <v>0.79166666666666663</v>
      </c>
      <c r="AC237" s="23" cm="1">
        <f t="array" ref="AC237">_xlfn.IFS($AJ237="","",$AJ237&gt;=8,TIME(1,0,0),$AJ237&lt;=5,"")</f>
        <v>4.1666666666666664E-2</v>
      </c>
      <c r="AD237" s="23" t="str">
        <f t="shared" si="36"/>
        <v/>
      </c>
      <c r="AE237" s="23" cm="1">
        <f t="array" ref="AE237">_xlfn.IFS($AA237="","",AND($AJ237&lt;=12,$AJ237&gt;10),TIME(0,35,0),AND($AJ237&lt;=10,$AJ237&gt;5),TIME(0,20,0),$AJ237&gt;12,TIME(0,20,0),AND(AJ237&gt;3,$AJ237&lt;=5),TIME(0,10,0),$AJ237&lt;3,"")</f>
        <v>2.4305555555555556E-2</v>
      </c>
      <c r="AF237" s="23">
        <f t="shared" si="37"/>
        <v>6.9444444444444441E-3</v>
      </c>
      <c r="AG237" s="23"/>
      <c r="AH237" s="30"/>
      <c r="AI237" s="30"/>
      <c r="AJ237" s="24">
        <f t="shared" si="38"/>
        <v>11.999999999999998</v>
      </c>
      <c r="AK237" s="23">
        <f t="shared" si="39"/>
        <v>7.2916666666666671E-2</v>
      </c>
      <c r="AL237" s="25">
        <f t="shared" si="40"/>
        <v>431.99999999999994</v>
      </c>
      <c r="AM237" s="25">
        <f t="shared" si="41"/>
        <v>368.99999999999994</v>
      </c>
      <c r="AN237" s="16">
        <f t="shared" si="42"/>
        <v>0.87804878048780477</v>
      </c>
      <c r="AO237" s="38"/>
      <c r="AP237" s="19"/>
      <c r="AQ237" s="34"/>
      <c r="AR237" s="30" t="s">
        <v>342</v>
      </c>
    </row>
    <row r="238" spans="2:44" ht="15" customHeight="1" x14ac:dyDescent="0.3">
      <c r="B238" s="97">
        <v>46053</v>
      </c>
      <c r="C238" s="21">
        <f t="shared" si="45"/>
        <v>1</v>
      </c>
      <c r="D238" s="18" t="s">
        <v>99</v>
      </c>
      <c r="E238" s="14">
        <v>124</v>
      </c>
      <c r="F238" s="14"/>
      <c r="G238" s="14"/>
      <c r="H238" s="14"/>
      <c r="I238" s="14"/>
      <c r="J238" s="14">
        <v>1</v>
      </c>
      <c r="K238" s="14">
        <v>65</v>
      </c>
      <c r="L238" s="14">
        <v>8</v>
      </c>
      <c r="M238" s="14">
        <v>21</v>
      </c>
      <c r="N238" s="14"/>
      <c r="O238" s="14">
        <v>4</v>
      </c>
      <c r="P238" s="14"/>
      <c r="Q238" s="14">
        <f>256+1+2</f>
        <v>259</v>
      </c>
      <c r="R238" s="14"/>
      <c r="S238" s="14"/>
      <c r="T238" s="14"/>
      <c r="U238" s="14"/>
      <c r="V238" s="14">
        <v>4</v>
      </c>
      <c r="W238" s="14"/>
      <c r="X238" s="22">
        <f t="shared" si="46"/>
        <v>486</v>
      </c>
      <c r="Y238" s="14"/>
      <c r="Z238" s="31">
        <f>17+6+9</f>
        <v>32</v>
      </c>
      <c r="AA238" s="23">
        <v>0.79166666666666663</v>
      </c>
      <c r="AB238" s="23">
        <v>0.29166666666666669</v>
      </c>
      <c r="AC238" s="23" cm="1">
        <f t="array" ref="AC238">_xlfn.IFS($AJ238="","",$AJ238&gt;=8,TIME(1,0,0),$AJ238&lt;=5,"")</f>
        <v>4.1666666666666664E-2</v>
      </c>
      <c r="AD238" s="23" t="str">
        <f t="shared" si="36"/>
        <v/>
      </c>
      <c r="AE238" s="23" cm="1">
        <f t="array" ref="AE238">_xlfn.IFS($AA238="","",AND($AJ238&lt;=12,$AJ238&gt;10),TIME(0,35,0),AND($AJ238&lt;=10,$AJ238&gt;5),TIME(0,20,0),$AJ238&gt;12,TIME(0,20,0),AND(AJ238&gt;3,$AJ238&lt;=5),TIME(0,10,0),$AJ238&lt;3,"")</f>
        <v>2.4305555555555556E-2</v>
      </c>
      <c r="AF238" s="23">
        <f t="shared" si="37"/>
        <v>6.9444444444444441E-3</v>
      </c>
      <c r="AG238" s="23"/>
      <c r="AH238" s="30"/>
      <c r="AI238" s="30"/>
      <c r="AJ238" s="24">
        <f t="shared" si="38"/>
        <v>12</v>
      </c>
      <c r="AK238" s="23">
        <f t="shared" si="39"/>
        <v>7.2916666666666671E-2</v>
      </c>
      <c r="AL238" s="25">
        <f t="shared" si="40"/>
        <v>384</v>
      </c>
      <c r="AM238" s="25">
        <f t="shared" si="41"/>
        <v>328</v>
      </c>
      <c r="AN238" s="16">
        <f t="shared" si="42"/>
        <v>0.79012345679012341</v>
      </c>
      <c r="AO238" s="16">
        <f>IF(COUNTIF(B231:B238,B231)=8,1/SUM(AN231:AN238),"")</f>
        <v>0.17008998909731865</v>
      </c>
      <c r="AP238" s="19"/>
      <c r="AQ238" s="34"/>
      <c r="AR238" s="30"/>
    </row>
    <row r="239" spans="2:44" ht="15" customHeight="1" x14ac:dyDescent="0.3">
      <c r="B239" s="98">
        <v>46054</v>
      </c>
      <c r="C239" s="21">
        <f t="shared" si="45"/>
        <v>2</v>
      </c>
      <c r="D239" s="36" t="s">
        <v>96</v>
      </c>
      <c r="E239" s="14">
        <v>23</v>
      </c>
      <c r="F239" s="14">
        <v>50</v>
      </c>
      <c r="G239" s="14"/>
      <c r="H239" s="14"/>
      <c r="I239" s="14"/>
      <c r="J239" s="14"/>
      <c r="K239" s="14"/>
      <c r="L239" s="14"/>
      <c r="M239" s="14"/>
      <c r="N239" s="14"/>
      <c r="O239" s="14"/>
      <c r="P239" s="14"/>
      <c r="Q239" s="14">
        <v>144</v>
      </c>
      <c r="R239" s="14"/>
      <c r="S239" s="14"/>
      <c r="T239" s="14"/>
      <c r="U239" s="14"/>
      <c r="V239" s="14"/>
      <c r="W239" s="14"/>
      <c r="X239" s="22">
        <f t="shared" si="46"/>
        <v>217</v>
      </c>
      <c r="Y239" s="14"/>
      <c r="Z239" s="31">
        <f>26+3</f>
        <v>29</v>
      </c>
      <c r="AA239" s="23">
        <v>0.29166666666666669</v>
      </c>
      <c r="AB239" s="23">
        <v>0.70833333333333337</v>
      </c>
      <c r="AC239" s="23" cm="1">
        <f t="array" ref="AC239">_xlfn.IFS($AJ239="","",$AJ239&gt;=8,TIME(1,0,0),$AJ239&lt;=5,"")</f>
        <v>4.1666666666666664E-2</v>
      </c>
      <c r="AD239" s="23" t="str">
        <f t="shared" si="36"/>
        <v/>
      </c>
      <c r="AE239" s="23" cm="1">
        <f t="array" ref="AE239">_xlfn.IFS($AA239="","",AND($AJ239&lt;=12,$AJ239&gt;10),TIME(0,35,0),AND($AJ239&lt;=10,$AJ239&gt;5),TIME(0,20,0),$AJ239&gt;12,TIME(0,20,0),AND(AJ239&gt;3,$AJ239&lt;=5),TIME(0,10,0),$AJ239&lt;3,"")</f>
        <v>1.3888888888888888E-2</v>
      </c>
      <c r="AF239" s="23">
        <f t="shared" si="37"/>
        <v>6.9444444444444441E-3</v>
      </c>
      <c r="AG239" s="23"/>
      <c r="AH239" s="30"/>
      <c r="AI239" s="23">
        <v>8.3333333333333329E-2</v>
      </c>
      <c r="AJ239" s="24">
        <f t="shared" si="38"/>
        <v>10</v>
      </c>
      <c r="AK239" s="23">
        <f t="shared" si="39"/>
        <v>6.25E-2</v>
      </c>
      <c r="AL239" s="25">
        <f t="shared" si="40"/>
        <v>290</v>
      </c>
      <c r="AM239" s="25">
        <f t="shared" si="41"/>
        <v>246.5</v>
      </c>
      <c r="AN239" s="16">
        <f t="shared" si="42"/>
        <v>1.336405529953917</v>
      </c>
      <c r="AO239" s="38"/>
      <c r="AP239" s="19"/>
      <c r="AQ239" s="34"/>
      <c r="AR239" s="30" t="s">
        <v>343</v>
      </c>
    </row>
    <row r="240" spans="2:44" ht="15" customHeight="1" x14ac:dyDescent="0.3">
      <c r="B240" s="98">
        <v>46054</v>
      </c>
      <c r="C240" s="21">
        <f t="shared" si="45"/>
        <v>2</v>
      </c>
      <c r="D240" s="18" t="s">
        <v>97</v>
      </c>
      <c r="E240" s="14">
        <v>56</v>
      </c>
      <c r="F240" s="14"/>
      <c r="G240" s="14"/>
      <c r="H240" s="14"/>
      <c r="I240" s="14"/>
      <c r="J240" s="14"/>
      <c r="K240" s="14"/>
      <c r="L240" s="14"/>
      <c r="M240" s="14"/>
      <c r="N240" s="14"/>
      <c r="O240" s="14"/>
      <c r="P240" s="14"/>
      <c r="Q240" s="14">
        <v>133</v>
      </c>
      <c r="R240" s="14"/>
      <c r="S240" s="14"/>
      <c r="T240" s="14"/>
      <c r="U240" s="14"/>
      <c r="V240" s="14"/>
      <c r="W240" s="14"/>
      <c r="X240" s="22">
        <f t="shared" si="46"/>
        <v>189</v>
      </c>
      <c r="Y240" s="14"/>
      <c r="Z240" s="31">
        <v>3</v>
      </c>
      <c r="AA240" s="23">
        <v>0.29166666666666669</v>
      </c>
      <c r="AB240" s="23">
        <v>0.70833333333333337</v>
      </c>
      <c r="AC240" s="23" cm="1">
        <f t="array" ref="AC240">_xlfn.IFS($AJ240="","",$AJ240&gt;=8,TIME(1,0,0),$AJ240&lt;=5,"")</f>
        <v>4.1666666666666664E-2</v>
      </c>
      <c r="AD240" s="23" t="str">
        <f t="shared" si="36"/>
        <v/>
      </c>
      <c r="AE240" s="23" cm="1">
        <f t="array" ref="AE240">_xlfn.IFS($AA240="","",AND($AJ240&lt;=12,$AJ240&gt;10),TIME(0,35,0),AND($AJ240&lt;=10,$AJ240&gt;5),TIME(0,20,0),$AJ240&gt;12,TIME(0,20,0),AND(AJ240&gt;3,$AJ240&lt;=5),TIME(0,10,0),$AJ240&lt;3,"")</f>
        <v>1.3888888888888888E-2</v>
      </c>
      <c r="AF240" s="23">
        <f t="shared" si="37"/>
        <v>6.9444444444444441E-3</v>
      </c>
      <c r="AG240" s="23"/>
      <c r="AH240" s="30"/>
      <c r="AI240" s="30"/>
      <c r="AJ240" s="24">
        <f t="shared" si="38"/>
        <v>10</v>
      </c>
      <c r="AK240" s="23">
        <f t="shared" si="39"/>
        <v>6.25E-2</v>
      </c>
      <c r="AL240" s="25">
        <f t="shared" si="40"/>
        <v>30</v>
      </c>
      <c r="AM240" s="25">
        <f t="shared" si="41"/>
        <v>25.5</v>
      </c>
      <c r="AN240" s="16">
        <f t="shared" si="42"/>
        <v>0.15873015873015872</v>
      </c>
      <c r="AO240" s="38"/>
      <c r="AP240" s="19"/>
      <c r="AQ240" s="34"/>
      <c r="AR240" s="30"/>
    </row>
    <row r="241" spans="2:44" ht="15" customHeight="1" x14ac:dyDescent="0.3">
      <c r="B241" s="98">
        <v>46054</v>
      </c>
      <c r="C241" s="21">
        <f t="shared" si="45"/>
        <v>2</v>
      </c>
      <c r="D241" s="18" t="s">
        <v>98</v>
      </c>
      <c r="E241" s="14">
        <v>24</v>
      </c>
      <c r="F241" s="14"/>
      <c r="G241" s="14"/>
      <c r="H241" s="14"/>
      <c r="I241" s="14"/>
      <c r="J241" s="14"/>
      <c r="K241" s="14">
        <v>5</v>
      </c>
      <c r="L241" s="14"/>
      <c r="M241" s="14">
        <v>30</v>
      </c>
      <c r="N241" s="14"/>
      <c r="O241" s="14">
        <v>1</v>
      </c>
      <c r="P241" s="14"/>
      <c r="Q241" s="14">
        <v>191</v>
      </c>
      <c r="R241" s="14"/>
      <c r="S241" s="14"/>
      <c r="T241" s="14"/>
      <c r="U241" s="14"/>
      <c r="V241" s="14"/>
      <c r="W241" s="14"/>
      <c r="X241" s="22">
        <f t="shared" si="46"/>
        <v>251</v>
      </c>
      <c r="Y241" s="14"/>
      <c r="Z241" s="31">
        <v>33</v>
      </c>
      <c r="AA241" s="23">
        <v>0.29166666666666669</v>
      </c>
      <c r="AB241" s="23">
        <v>0.70833333333333337</v>
      </c>
      <c r="AC241" s="23" cm="1">
        <f t="array" ref="AC241">_xlfn.IFS($AJ241="","",$AJ241&gt;=8,TIME(1,0,0),$AJ241&lt;=5,"")</f>
        <v>4.1666666666666664E-2</v>
      </c>
      <c r="AD241" s="23" t="str">
        <f t="shared" si="36"/>
        <v/>
      </c>
      <c r="AE241" s="23" cm="1">
        <f t="array" ref="AE241">_xlfn.IFS($AA241="","",AND($AJ241&lt;=12,$AJ241&gt;10),TIME(0,35,0),AND($AJ241&lt;=10,$AJ241&gt;5),TIME(0,20,0),$AJ241&gt;12,TIME(0,20,0),AND(AJ241&gt;3,$AJ241&lt;=5),TIME(0,10,0),$AJ241&lt;3,"")</f>
        <v>1.3888888888888888E-2</v>
      </c>
      <c r="AF241" s="23">
        <f t="shared" si="37"/>
        <v>6.9444444444444441E-3</v>
      </c>
      <c r="AG241" s="23"/>
      <c r="AH241" s="30"/>
      <c r="AI241" s="30"/>
      <c r="AJ241" s="24">
        <f t="shared" si="38"/>
        <v>10</v>
      </c>
      <c r="AK241" s="23">
        <f t="shared" si="39"/>
        <v>6.25E-2</v>
      </c>
      <c r="AL241" s="25">
        <f t="shared" si="40"/>
        <v>330</v>
      </c>
      <c r="AM241" s="25">
        <f t="shared" si="41"/>
        <v>280.5</v>
      </c>
      <c r="AN241" s="16">
        <f t="shared" si="42"/>
        <v>1.3147410358565736</v>
      </c>
      <c r="AO241" s="38"/>
      <c r="AP241" s="19"/>
      <c r="AQ241" s="34"/>
      <c r="AR241" s="30"/>
    </row>
    <row r="242" spans="2:44" ht="15" customHeight="1" x14ac:dyDescent="0.3">
      <c r="B242" s="98">
        <v>46054</v>
      </c>
      <c r="C242" s="21">
        <f t="shared" si="45"/>
        <v>2</v>
      </c>
      <c r="D242" s="18" t="s">
        <v>99</v>
      </c>
      <c r="E242" s="14">
        <v>84</v>
      </c>
      <c r="F242" s="14"/>
      <c r="G242" s="14"/>
      <c r="H242" s="14"/>
      <c r="I242" s="14"/>
      <c r="J242" s="14"/>
      <c r="K242" s="14">
        <v>6</v>
      </c>
      <c r="L242" s="14"/>
      <c r="M242" s="14">
        <v>10</v>
      </c>
      <c r="N242" s="14"/>
      <c r="O242" s="14">
        <v>2</v>
      </c>
      <c r="P242" s="14"/>
      <c r="Q242" s="14">
        <v>130</v>
      </c>
      <c r="R242" s="14"/>
      <c r="S242" s="14"/>
      <c r="T242" s="14"/>
      <c r="U242" s="14"/>
      <c r="V242" s="14"/>
      <c r="W242" s="14"/>
      <c r="X242" s="22">
        <f t="shared" si="46"/>
        <v>232</v>
      </c>
      <c r="Y242" s="14"/>
      <c r="Z242" s="31">
        <f>18+8</f>
        <v>26</v>
      </c>
      <c r="AA242" s="23">
        <v>0.29166666666666669</v>
      </c>
      <c r="AB242" s="23">
        <v>0.70833333333333337</v>
      </c>
      <c r="AC242" s="23" cm="1">
        <f t="array" ref="AC242">_xlfn.IFS($AJ242="","",$AJ242&gt;=8,TIME(1,0,0),$AJ242&lt;=5,"")</f>
        <v>4.1666666666666664E-2</v>
      </c>
      <c r="AD242" s="23" t="str">
        <f t="shared" si="36"/>
        <v/>
      </c>
      <c r="AE242" s="23" cm="1">
        <f t="array" ref="AE242">_xlfn.IFS($AA242="","",AND($AJ242&lt;=12,$AJ242&gt;10),TIME(0,35,0),AND($AJ242&lt;=10,$AJ242&gt;5),TIME(0,20,0),$AJ242&gt;12,TIME(0,20,0),AND(AJ242&gt;3,$AJ242&lt;=5),TIME(0,10,0),$AJ242&lt;3,"")</f>
        <v>1.3888888888888888E-2</v>
      </c>
      <c r="AF242" s="23">
        <f t="shared" si="37"/>
        <v>6.9444444444444441E-3</v>
      </c>
      <c r="AG242" s="23"/>
      <c r="AH242" s="30"/>
      <c r="AI242" s="30"/>
      <c r="AJ242" s="24">
        <f t="shared" si="38"/>
        <v>10</v>
      </c>
      <c r="AK242" s="23">
        <f t="shared" si="39"/>
        <v>6.25E-2</v>
      </c>
      <c r="AL242" s="25">
        <f t="shared" si="40"/>
        <v>260</v>
      </c>
      <c r="AM242" s="25">
        <f t="shared" si="41"/>
        <v>221</v>
      </c>
      <c r="AN242" s="16">
        <f t="shared" si="42"/>
        <v>1.1206896551724137</v>
      </c>
      <c r="AO242" s="16">
        <f>IF(COUNTIF(B239:B242,B239)=4,1/SUM(AN239:AN242),"")</f>
        <v>0.25441626050671134</v>
      </c>
      <c r="AP242" s="19"/>
      <c r="AQ242" s="34"/>
      <c r="AR242" s="30"/>
    </row>
    <row r="243" spans="2:44" ht="15" customHeight="1" x14ac:dyDescent="0.3">
      <c r="B243" s="97">
        <v>46055</v>
      </c>
      <c r="C243" s="21">
        <f t="shared" si="45"/>
        <v>2</v>
      </c>
      <c r="D243" s="36" t="s">
        <v>96</v>
      </c>
      <c r="E243" s="14"/>
      <c r="F243" s="14">
        <f>211+10+3</f>
        <v>224</v>
      </c>
      <c r="G243" s="14"/>
      <c r="H243" s="14"/>
      <c r="I243" s="14"/>
      <c r="J243" s="14">
        <v>87</v>
      </c>
      <c r="K243" s="14">
        <v>135</v>
      </c>
      <c r="L243" s="14"/>
      <c r="M243" s="14"/>
      <c r="N243" s="14"/>
      <c r="O243" s="14"/>
      <c r="P243" s="14"/>
      <c r="Q243" s="14">
        <f>45+45</f>
        <v>90</v>
      </c>
      <c r="R243" s="14"/>
      <c r="S243" s="14"/>
      <c r="T243" s="14"/>
      <c r="U243" s="14"/>
      <c r="V243" s="14"/>
      <c r="W243" s="14"/>
      <c r="X243" s="22">
        <f t="shared" si="46"/>
        <v>536</v>
      </c>
      <c r="Y243" s="14"/>
      <c r="Z243" s="31">
        <f>27+5</f>
        <v>32</v>
      </c>
      <c r="AA243" s="23">
        <v>0.29166666666666669</v>
      </c>
      <c r="AB243" s="23">
        <v>0.79166666666666663</v>
      </c>
      <c r="AC243" s="23" cm="1">
        <f t="array" ref="AC243">_xlfn.IFS($AJ243="","",$AJ243&gt;=8,TIME(1,0,0),$AJ243&lt;=5,"")</f>
        <v>4.1666666666666664E-2</v>
      </c>
      <c r="AD243" s="23" t="str">
        <f t="shared" si="36"/>
        <v/>
      </c>
      <c r="AE243" s="23" cm="1">
        <f t="array" ref="AE243">_xlfn.IFS($AA243="","",AND($AJ243&lt;=12,$AJ243&gt;10),TIME(0,35,0),AND($AJ243&lt;=10,$AJ243&gt;5),TIME(0,20,0),$AJ243&gt;12,TIME(0,20,0),AND(AJ243&gt;3,$AJ243&lt;=5),TIME(0,10,0),$AJ243&lt;3,"")</f>
        <v>2.4305555555555556E-2</v>
      </c>
      <c r="AF243" s="23">
        <f t="shared" si="37"/>
        <v>6.9444444444444441E-3</v>
      </c>
      <c r="AG243" s="23"/>
      <c r="AH243" s="30"/>
      <c r="AI243" s="30"/>
      <c r="AJ243" s="24">
        <f t="shared" si="38"/>
        <v>11.999999999999998</v>
      </c>
      <c r="AK243" s="23">
        <f t="shared" si="39"/>
        <v>7.2916666666666671E-2</v>
      </c>
      <c r="AL243" s="25">
        <f t="shared" si="40"/>
        <v>383.99999999999994</v>
      </c>
      <c r="AM243" s="25">
        <f t="shared" si="41"/>
        <v>327.99999999999994</v>
      </c>
      <c r="AN243" s="16">
        <f t="shared" si="42"/>
        <v>0.71641791044776104</v>
      </c>
      <c r="AO243" s="38"/>
      <c r="AP243" s="19"/>
      <c r="AQ243" s="34"/>
      <c r="AR243" s="30" t="s">
        <v>344</v>
      </c>
    </row>
    <row r="244" spans="2:44" ht="15" customHeight="1" x14ac:dyDescent="0.3">
      <c r="B244" s="97">
        <v>46055</v>
      </c>
      <c r="C244" s="21">
        <f t="shared" si="45"/>
        <v>2</v>
      </c>
      <c r="D244" s="36" t="s">
        <v>96</v>
      </c>
      <c r="E244" s="14"/>
      <c r="F244" s="14"/>
      <c r="G244" s="14"/>
      <c r="H244" s="14"/>
      <c r="I244" s="14"/>
      <c r="J244" s="14"/>
      <c r="K244" s="14"/>
      <c r="L244" s="14"/>
      <c r="M244" s="14"/>
      <c r="N244" s="14"/>
      <c r="O244" s="14"/>
      <c r="P244" s="14"/>
      <c r="Q244" s="14">
        <f>42+270</f>
        <v>312</v>
      </c>
      <c r="R244" s="14"/>
      <c r="S244" s="14"/>
      <c r="T244" s="14"/>
      <c r="U244" s="14"/>
      <c r="V244" s="14"/>
      <c r="W244" s="14"/>
      <c r="X244" s="22">
        <f t="shared" si="46"/>
        <v>312</v>
      </c>
      <c r="Y244" s="14"/>
      <c r="Z244" s="31">
        <f>22+12</f>
        <v>34</v>
      </c>
      <c r="AA244" s="23">
        <v>0.79166666666666663</v>
      </c>
      <c r="AB244" s="23">
        <v>0.29166666666666669</v>
      </c>
      <c r="AC244" s="23" cm="1">
        <f t="array" ref="AC244">_xlfn.IFS($AJ244="","",$AJ244&gt;=8,TIME(1,0,0),$AJ244&lt;=5,"")</f>
        <v>4.1666666666666664E-2</v>
      </c>
      <c r="AD244" s="23" t="str">
        <f t="shared" si="36"/>
        <v/>
      </c>
      <c r="AE244" s="23" cm="1">
        <f t="array" ref="AE244">_xlfn.IFS($AA244="","",AND($AJ244&lt;=12,$AJ244&gt;10),TIME(0,35,0),AND($AJ244&lt;=10,$AJ244&gt;5),TIME(0,20,0),$AJ244&gt;12,TIME(0,20,0),AND(AJ244&gt;3,$AJ244&lt;=5),TIME(0,10,0),$AJ244&lt;3,"")</f>
        <v>2.4305555555555556E-2</v>
      </c>
      <c r="AF244" s="23">
        <f t="shared" si="37"/>
        <v>6.9444444444444441E-3</v>
      </c>
      <c r="AG244" s="23"/>
      <c r="AH244" s="30"/>
      <c r="AI244" s="30"/>
      <c r="AJ244" s="24">
        <f t="shared" si="38"/>
        <v>12</v>
      </c>
      <c r="AK244" s="23">
        <f t="shared" si="39"/>
        <v>7.2916666666666671E-2</v>
      </c>
      <c r="AL244" s="25">
        <f t="shared" si="40"/>
        <v>408</v>
      </c>
      <c r="AM244" s="25">
        <f t="shared" si="41"/>
        <v>348.5</v>
      </c>
      <c r="AN244" s="16">
        <f t="shared" si="42"/>
        <v>1.3076923076923077</v>
      </c>
      <c r="AO244" s="38"/>
      <c r="AP244" s="19"/>
      <c r="AQ244" s="34"/>
      <c r="AR244" s="30"/>
    </row>
    <row r="245" spans="2:44" ht="15" customHeight="1" x14ac:dyDescent="0.3">
      <c r="B245" s="97">
        <v>46055</v>
      </c>
      <c r="C245" s="21">
        <f t="shared" si="45"/>
        <v>2</v>
      </c>
      <c r="D245" s="18" t="s">
        <v>97</v>
      </c>
      <c r="E245" s="14">
        <v>36</v>
      </c>
      <c r="F245" s="14">
        <v>144</v>
      </c>
      <c r="G245" s="14"/>
      <c r="H245" s="14"/>
      <c r="I245" s="14"/>
      <c r="J245" s="14">
        <v>24</v>
      </c>
      <c r="K245" s="14">
        <v>113</v>
      </c>
      <c r="L245" s="14"/>
      <c r="M245" s="14"/>
      <c r="N245" s="14"/>
      <c r="O245" s="14"/>
      <c r="P245" s="14"/>
      <c r="Q245" s="14">
        <v>50</v>
      </c>
      <c r="R245" s="14"/>
      <c r="S245" s="14"/>
      <c r="T245" s="14"/>
      <c r="U245" s="14"/>
      <c r="V245" s="14"/>
      <c r="W245" s="14"/>
      <c r="X245" s="22">
        <f t="shared" si="46"/>
        <v>367</v>
      </c>
      <c r="Y245" s="14"/>
      <c r="Z245" s="31">
        <f>4+1</f>
        <v>5</v>
      </c>
      <c r="AA245" s="23">
        <v>0.29166666666666669</v>
      </c>
      <c r="AB245" s="23">
        <v>0.79166666666666663</v>
      </c>
      <c r="AC245" s="23" cm="1">
        <f t="array" ref="AC245">_xlfn.IFS($AJ245="","",$AJ245&gt;=8,TIME(1,0,0),$AJ245&lt;=5,"")</f>
        <v>4.1666666666666664E-2</v>
      </c>
      <c r="AD245" s="23" t="str">
        <f t="shared" si="36"/>
        <v/>
      </c>
      <c r="AE245" s="23" cm="1">
        <f t="array" ref="AE245">_xlfn.IFS($AA245="","",AND($AJ245&lt;=12,$AJ245&gt;10),TIME(0,35,0),AND($AJ245&lt;=10,$AJ245&gt;5),TIME(0,20,0),$AJ245&gt;12,TIME(0,20,0),AND(AJ245&gt;3,$AJ245&lt;=5),TIME(0,10,0),$AJ245&lt;3,"")</f>
        <v>2.4305555555555556E-2</v>
      </c>
      <c r="AF245" s="23">
        <f t="shared" si="37"/>
        <v>6.9444444444444441E-3</v>
      </c>
      <c r="AG245" s="23"/>
      <c r="AH245" s="30"/>
      <c r="AI245" s="30"/>
      <c r="AJ245" s="24">
        <f t="shared" si="38"/>
        <v>11.999999999999998</v>
      </c>
      <c r="AK245" s="23">
        <f t="shared" si="39"/>
        <v>7.2916666666666671E-2</v>
      </c>
      <c r="AL245" s="25">
        <f t="shared" si="40"/>
        <v>59.999999999999993</v>
      </c>
      <c r="AM245" s="25">
        <f t="shared" si="41"/>
        <v>51.249999999999993</v>
      </c>
      <c r="AN245" s="16">
        <f t="shared" si="42"/>
        <v>0.1634877384196185</v>
      </c>
      <c r="AO245" s="38"/>
      <c r="AP245" s="19"/>
      <c r="AQ245" s="34"/>
      <c r="AR245" s="30"/>
    </row>
    <row r="246" spans="2:44" ht="15" customHeight="1" x14ac:dyDescent="0.3">
      <c r="B246" s="97">
        <v>46055</v>
      </c>
      <c r="C246" s="21">
        <f t="shared" si="45"/>
        <v>2</v>
      </c>
      <c r="D246" s="18" t="s">
        <v>97</v>
      </c>
      <c r="E246" s="14"/>
      <c r="F246" s="14">
        <v>91</v>
      </c>
      <c r="G246" s="14"/>
      <c r="H246" s="14"/>
      <c r="I246" s="14"/>
      <c r="J246" s="14">
        <v>63</v>
      </c>
      <c r="K246" s="14"/>
      <c r="L246" s="14"/>
      <c r="M246" s="14"/>
      <c r="N246" s="14"/>
      <c r="O246" s="14"/>
      <c r="P246" s="14"/>
      <c r="Q246" s="14">
        <v>264</v>
      </c>
      <c r="R246" s="14"/>
      <c r="S246" s="14"/>
      <c r="T246" s="14"/>
      <c r="U246" s="14"/>
      <c r="V246" s="14"/>
      <c r="W246" s="14"/>
      <c r="X246" s="22">
        <f t="shared" si="46"/>
        <v>418</v>
      </c>
      <c r="Y246" s="14"/>
      <c r="Z246" s="31">
        <f>4+1</f>
        <v>5</v>
      </c>
      <c r="AA246" s="23">
        <v>0.79166666666666663</v>
      </c>
      <c r="AB246" s="23">
        <v>0.29166666666666669</v>
      </c>
      <c r="AC246" s="23" cm="1">
        <f t="array" ref="AC246">_xlfn.IFS($AJ246="","",$AJ246&gt;=8,TIME(1,0,0),$AJ246&lt;=5,"")</f>
        <v>4.1666666666666664E-2</v>
      </c>
      <c r="AD246" s="23" t="str">
        <f t="shared" si="36"/>
        <v/>
      </c>
      <c r="AE246" s="23" cm="1">
        <f t="array" ref="AE246">_xlfn.IFS($AA246="","",AND($AJ246&lt;=12,$AJ246&gt;10),TIME(0,35,0),AND($AJ246&lt;=10,$AJ246&gt;5),TIME(0,20,0),$AJ246&gt;12,TIME(0,20,0),AND(AJ246&gt;3,$AJ246&lt;=5),TIME(0,10,0),$AJ246&lt;3,"")</f>
        <v>2.4305555555555556E-2</v>
      </c>
      <c r="AF246" s="23">
        <f t="shared" si="37"/>
        <v>6.9444444444444441E-3</v>
      </c>
      <c r="AG246" s="23"/>
      <c r="AH246" s="30"/>
      <c r="AI246" s="23">
        <v>0.375</v>
      </c>
      <c r="AJ246" s="24">
        <f t="shared" si="38"/>
        <v>12</v>
      </c>
      <c r="AK246" s="23">
        <f t="shared" si="39"/>
        <v>7.2916666666666671E-2</v>
      </c>
      <c r="AL246" s="25">
        <f t="shared" si="40"/>
        <v>60</v>
      </c>
      <c r="AM246" s="25">
        <f t="shared" si="41"/>
        <v>51.25</v>
      </c>
      <c r="AN246" s="16">
        <f t="shared" si="42"/>
        <v>0.14354066985645933</v>
      </c>
      <c r="AO246" s="38"/>
      <c r="AP246" s="19"/>
      <c r="AQ246" s="34"/>
      <c r="AR246" s="30" t="s">
        <v>345</v>
      </c>
    </row>
    <row r="247" spans="2:44" ht="15" customHeight="1" x14ac:dyDescent="0.3">
      <c r="B247" s="97">
        <v>46055</v>
      </c>
      <c r="C247" s="21">
        <f t="shared" si="45"/>
        <v>2</v>
      </c>
      <c r="D247" s="18" t="s">
        <v>98</v>
      </c>
      <c r="E247" s="14">
        <v>26</v>
      </c>
      <c r="F247" s="14">
        <v>138</v>
      </c>
      <c r="G247" s="14"/>
      <c r="H247" s="14"/>
      <c r="I247" s="14"/>
      <c r="J247" s="14"/>
      <c r="K247" s="14">
        <v>85</v>
      </c>
      <c r="L247" s="14"/>
      <c r="M247" s="14"/>
      <c r="N247" s="14"/>
      <c r="O247" s="14">
        <v>1</v>
      </c>
      <c r="P247" s="14"/>
      <c r="Q247" s="14">
        <f>123+35</f>
        <v>158</v>
      </c>
      <c r="R247" s="14"/>
      <c r="S247" s="14"/>
      <c r="T247" s="14"/>
      <c r="U247" s="14"/>
      <c r="V247" s="14">
        <v>2</v>
      </c>
      <c r="W247" s="14"/>
      <c r="X247" s="22">
        <f t="shared" si="46"/>
        <v>410</v>
      </c>
      <c r="Y247" s="14"/>
      <c r="Z247" s="31">
        <f>16+1+13+4</f>
        <v>34</v>
      </c>
      <c r="AA247" s="23">
        <v>0.29166666666666669</v>
      </c>
      <c r="AB247" s="23">
        <v>0.79166666666666663</v>
      </c>
      <c r="AC247" s="23" cm="1">
        <f t="array" ref="AC247">_xlfn.IFS($AJ247="","",$AJ247&gt;=8,TIME(1,0,0),$AJ247&lt;=5,"")</f>
        <v>4.1666666666666664E-2</v>
      </c>
      <c r="AD247" s="23" t="str">
        <f t="shared" si="36"/>
        <v/>
      </c>
      <c r="AE247" s="23" cm="1">
        <f t="array" ref="AE247">_xlfn.IFS($AA247="","",AND($AJ247&lt;=12,$AJ247&gt;10),TIME(0,35,0),AND($AJ247&lt;=10,$AJ247&gt;5),TIME(0,20,0),$AJ247&gt;12,TIME(0,20,0),AND(AJ247&gt;3,$AJ247&lt;=5),TIME(0,10,0),$AJ247&lt;3,"")</f>
        <v>2.4305555555555556E-2</v>
      </c>
      <c r="AF247" s="23">
        <f t="shared" si="37"/>
        <v>6.9444444444444441E-3</v>
      </c>
      <c r="AG247" s="23">
        <v>0.15277777777777779</v>
      </c>
      <c r="AH247" s="30"/>
      <c r="AI247" s="30"/>
      <c r="AJ247" s="24">
        <f t="shared" si="38"/>
        <v>11.999999999999998</v>
      </c>
      <c r="AK247" s="23">
        <f t="shared" si="39"/>
        <v>7.2916666666666671E-2</v>
      </c>
      <c r="AL247" s="25">
        <f t="shared" si="40"/>
        <v>407.99999999999994</v>
      </c>
      <c r="AM247" s="25">
        <f t="shared" si="41"/>
        <v>223.83333333333323</v>
      </c>
      <c r="AN247" s="16">
        <f t="shared" si="42"/>
        <v>0.99512195121951208</v>
      </c>
      <c r="AO247" s="38"/>
      <c r="AP247" s="19"/>
      <c r="AQ247" s="34"/>
      <c r="AR247" s="30" t="s">
        <v>346</v>
      </c>
    </row>
    <row r="248" spans="2:44" ht="15" customHeight="1" x14ac:dyDescent="0.3">
      <c r="B248" s="97">
        <v>46055</v>
      </c>
      <c r="C248" s="21">
        <f t="shared" si="45"/>
        <v>2</v>
      </c>
      <c r="D248" s="18" t="s">
        <v>98</v>
      </c>
      <c r="E248" s="14">
        <v>1</v>
      </c>
      <c r="F248" s="14">
        <v>55</v>
      </c>
      <c r="G248" s="14"/>
      <c r="H248" s="14"/>
      <c r="I248" s="14"/>
      <c r="J248" s="14">
        <v>73</v>
      </c>
      <c r="K248" s="14">
        <v>28</v>
      </c>
      <c r="L248" s="14"/>
      <c r="M248" s="14">
        <v>42</v>
      </c>
      <c r="N248" s="14"/>
      <c r="O248" s="14"/>
      <c r="P248" s="14"/>
      <c r="Q248" s="14">
        <f>159+39</f>
        <v>198</v>
      </c>
      <c r="R248" s="14"/>
      <c r="S248" s="14"/>
      <c r="T248" s="14"/>
      <c r="U248" s="14"/>
      <c r="V248" s="14"/>
      <c r="W248" s="14"/>
      <c r="X248" s="22">
        <f t="shared" si="46"/>
        <v>397</v>
      </c>
      <c r="Y248" s="14"/>
      <c r="Z248" s="31">
        <f>18+4+11</f>
        <v>33</v>
      </c>
      <c r="AA248" s="23">
        <v>0.79166666666666663</v>
      </c>
      <c r="AB248" s="23">
        <v>0.29166666666666669</v>
      </c>
      <c r="AC248" s="23" cm="1">
        <f t="array" ref="AC248">_xlfn.IFS($AJ248="","",$AJ248&gt;=8,TIME(1,0,0),$AJ248&lt;=5,"")</f>
        <v>4.1666666666666664E-2</v>
      </c>
      <c r="AD248" s="23" t="str">
        <f t="shared" si="36"/>
        <v/>
      </c>
      <c r="AE248" s="23" cm="1">
        <f t="array" ref="AE248">_xlfn.IFS($AA248="","",AND($AJ248&lt;=12,$AJ248&gt;10),TIME(0,35,0),AND($AJ248&lt;=10,$AJ248&gt;5),TIME(0,20,0),$AJ248&gt;12,TIME(0,20,0),AND(AJ248&gt;3,$AJ248&lt;=5),TIME(0,10,0),$AJ248&lt;3,"")</f>
        <v>2.4305555555555556E-2</v>
      </c>
      <c r="AF248" s="23">
        <f t="shared" si="37"/>
        <v>6.9444444444444441E-3</v>
      </c>
      <c r="AG248" s="23">
        <v>6.25E-2</v>
      </c>
      <c r="AH248" s="30"/>
      <c r="AI248" s="23">
        <v>6.25E-2</v>
      </c>
      <c r="AJ248" s="24">
        <f t="shared" si="38"/>
        <v>12</v>
      </c>
      <c r="AK248" s="23">
        <f t="shared" si="39"/>
        <v>7.2916666666666671E-2</v>
      </c>
      <c r="AL248" s="25">
        <f t="shared" si="40"/>
        <v>396</v>
      </c>
      <c r="AM248" s="25">
        <f t="shared" si="41"/>
        <v>288.75</v>
      </c>
      <c r="AN248" s="16">
        <f t="shared" si="42"/>
        <v>0.9974811083123426</v>
      </c>
      <c r="AO248" s="38"/>
      <c r="AP248" s="19"/>
      <c r="AQ248" s="34"/>
      <c r="AR248" s="30" t="s">
        <v>347</v>
      </c>
    </row>
    <row r="249" spans="2:44" ht="15" customHeight="1" x14ac:dyDescent="0.3">
      <c r="B249" s="97">
        <v>46055</v>
      </c>
      <c r="C249" s="21">
        <f t="shared" si="45"/>
        <v>2</v>
      </c>
      <c r="D249" s="18" t="s">
        <v>99</v>
      </c>
      <c r="E249" s="14">
        <v>39</v>
      </c>
      <c r="F249" s="14">
        <v>17</v>
      </c>
      <c r="G249" s="14">
        <v>1</v>
      </c>
      <c r="H249" s="14"/>
      <c r="I249" s="14"/>
      <c r="J249" s="14">
        <v>5</v>
      </c>
      <c r="K249" s="14">
        <v>5</v>
      </c>
      <c r="L249" s="14"/>
      <c r="M249" s="14">
        <v>40</v>
      </c>
      <c r="N249" s="14">
        <v>1</v>
      </c>
      <c r="O249" s="14">
        <v>2</v>
      </c>
      <c r="P249" s="14"/>
      <c r="Q249" s="14">
        <f>257+1</f>
        <v>258</v>
      </c>
      <c r="R249" s="14">
        <v>2</v>
      </c>
      <c r="S249" s="14"/>
      <c r="T249" s="14">
        <v>1</v>
      </c>
      <c r="U249" s="14"/>
      <c r="V249" s="14">
        <v>5</v>
      </c>
      <c r="W249" s="14"/>
      <c r="X249" s="22">
        <f t="shared" si="46"/>
        <v>376</v>
      </c>
      <c r="Y249" s="14"/>
      <c r="Z249" s="31">
        <f>15+3+7+5</f>
        <v>30</v>
      </c>
      <c r="AA249" s="23">
        <v>0.29166666666666669</v>
      </c>
      <c r="AB249" s="23">
        <v>0.79166666666666663</v>
      </c>
      <c r="AC249" s="23" cm="1">
        <f t="array" ref="AC249">_xlfn.IFS($AJ249="","",$AJ249&gt;=8,TIME(1,0,0),$AJ249&lt;=5,"")</f>
        <v>4.1666666666666664E-2</v>
      </c>
      <c r="AD249" s="23" t="str">
        <f t="shared" si="36"/>
        <v/>
      </c>
      <c r="AE249" s="23" cm="1">
        <f t="array" ref="AE249">_xlfn.IFS($AA249="","",AND($AJ249&lt;=12,$AJ249&gt;10),TIME(0,35,0),AND($AJ249&lt;=10,$AJ249&gt;5),TIME(0,20,0),$AJ249&gt;12,TIME(0,20,0),AND(AJ249&gt;3,$AJ249&lt;=5),TIME(0,10,0),$AJ249&lt;3,"")</f>
        <v>2.4305555555555556E-2</v>
      </c>
      <c r="AF249" s="23">
        <f t="shared" si="37"/>
        <v>6.9444444444444441E-3</v>
      </c>
      <c r="AG249" s="23"/>
      <c r="AH249" s="30"/>
      <c r="AI249" s="30"/>
      <c r="AJ249" s="24">
        <f t="shared" si="38"/>
        <v>11.999999999999998</v>
      </c>
      <c r="AK249" s="23">
        <f t="shared" si="39"/>
        <v>7.2916666666666671E-2</v>
      </c>
      <c r="AL249" s="25">
        <f t="shared" si="40"/>
        <v>359.99999999999994</v>
      </c>
      <c r="AM249" s="25">
        <f t="shared" si="41"/>
        <v>307.49999999999994</v>
      </c>
      <c r="AN249" s="16">
        <f t="shared" si="42"/>
        <v>0.95744680851063813</v>
      </c>
      <c r="AO249" s="38"/>
      <c r="AP249" s="19"/>
      <c r="AQ249" s="34"/>
      <c r="AR249" s="30" t="s">
        <v>348</v>
      </c>
    </row>
    <row r="250" spans="2:44" ht="15" customHeight="1" x14ac:dyDescent="0.3">
      <c r="B250" s="97">
        <v>46055</v>
      </c>
      <c r="C250" s="21">
        <f t="shared" si="45"/>
        <v>2</v>
      </c>
      <c r="D250" s="18" t="s">
        <v>99</v>
      </c>
      <c r="E250" s="14">
        <v>23</v>
      </c>
      <c r="F250" s="14">
        <v>166</v>
      </c>
      <c r="G250" s="14"/>
      <c r="H250" s="14"/>
      <c r="I250" s="14"/>
      <c r="J250" s="14">
        <v>22</v>
      </c>
      <c r="K250" s="14">
        <v>107</v>
      </c>
      <c r="L250" s="14">
        <v>1</v>
      </c>
      <c r="M250" s="14">
        <f>4+1</f>
        <v>5</v>
      </c>
      <c r="N250" s="14">
        <v>1</v>
      </c>
      <c r="O250" s="14">
        <v>2</v>
      </c>
      <c r="P250" s="14"/>
      <c r="Q250" s="14">
        <f>6+111+1+1</f>
        <v>119</v>
      </c>
      <c r="R250" s="14"/>
      <c r="S250" s="14"/>
      <c r="T250" s="14"/>
      <c r="U250" s="14">
        <v>1</v>
      </c>
      <c r="V250" s="14"/>
      <c r="W250" s="14"/>
      <c r="X250" s="22">
        <f t="shared" si="46"/>
        <v>447</v>
      </c>
      <c r="Y250" s="14"/>
      <c r="Z250" s="31">
        <f>15+5+14</f>
        <v>34</v>
      </c>
      <c r="AA250" s="23">
        <v>0.79166666666666663</v>
      </c>
      <c r="AB250" s="23">
        <v>0.29166666666666669</v>
      </c>
      <c r="AC250" s="23" cm="1">
        <f t="array" ref="AC250">_xlfn.IFS($AJ250="","",$AJ250&gt;=8,TIME(1,0,0),$AJ250&lt;=5,"")</f>
        <v>4.1666666666666664E-2</v>
      </c>
      <c r="AD250" s="23" t="str">
        <f t="shared" si="36"/>
        <v/>
      </c>
      <c r="AE250" s="23" cm="1">
        <f t="array" ref="AE250">_xlfn.IFS($AA250="","",AND($AJ250&lt;=12,$AJ250&gt;10),TIME(0,35,0),AND($AJ250&lt;=10,$AJ250&gt;5),TIME(0,20,0),$AJ250&gt;12,TIME(0,20,0),AND(AJ250&gt;3,$AJ250&lt;=5),TIME(0,10,0),$AJ250&lt;3,"")</f>
        <v>2.4305555555555556E-2</v>
      </c>
      <c r="AF250" s="23">
        <f t="shared" si="37"/>
        <v>6.9444444444444441E-3</v>
      </c>
      <c r="AG250" s="23">
        <v>8.3333333333333329E-2</v>
      </c>
      <c r="AH250" s="30"/>
      <c r="AI250" s="30"/>
      <c r="AJ250" s="24">
        <f t="shared" si="38"/>
        <v>12</v>
      </c>
      <c r="AK250" s="23">
        <f t="shared" si="39"/>
        <v>7.2916666666666671E-2</v>
      </c>
      <c r="AL250" s="25">
        <f t="shared" si="40"/>
        <v>408</v>
      </c>
      <c r="AM250" s="25">
        <f t="shared" si="41"/>
        <v>280.5</v>
      </c>
      <c r="AN250" s="16">
        <f t="shared" si="42"/>
        <v>0.91275167785234901</v>
      </c>
      <c r="AO250" s="16">
        <f>IF(COUNTIF(B243:B250,B243)=8,1/SUM(AN243:AN250),"")</f>
        <v>0.16144812061155175</v>
      </c>
      <c r="AP250" s="19"/>
      <c r="AQ250" s="34"/>
      <c r="AR250" s="30" t="s">
        <v>349</v>
      </c>
    </row>
    <row r="251" spans="2:44" ht="15" customHeight="1" x14ac:dyDescent="0.3">
      <c r="B251" s="98">
        <v>46056</v>
      </c>
      <c r="C251" s="21">
        <f t="shared" si="45"/>
        <v>2</v>
      </c>
      <c r="D251" s="36" t="s">
        <v>96</v>
      </c>
      <c r="E251" s="14">
        <v>85</v>
      </c>
      <c r="F251" s="14">
        <v>14</v>
      </c>
      <c r="G251" s="14"/>
      <c r="H251" s="14"/>
      <c r="I251" s="14"/>
      <c r="J251" s="14">
        <v>66</v>
      </c>
      <c r="K251" s="14">
        <v>143</v>
      </c>
      <c r="L251" s="14"/>
      <c r="M251" s="14"/>
      <c r="N251" s="14"/>
      <c r="O251" s="14"/>
      <c r="P251" s="14"/>
      <c r="Q251" s="14">
        <v>303</v>
      </c>
      <c r="R251" s="14"/>
      <c r="S251" s="14"/>
      <c r="T251" s="14"/>
      <c r="U251" s="14"/>
      <c r="V251" s="14"/>
      <c r="W251" s="14"/>
      <c r="X251" s="22">
        <f t="shared" si="46"/>
        <v>611</v>
      </c>
      <c r="Y251" s="14"/>
      <c r="Z251" s="31">
        <f>13+1+11+18+10</f>
        <v>53</v>
      </c>
      <c r="AA251" s="23">
        <v>0.29166666666666669</v>
      </c>
      <c r="AB251" s="23">
        <v>0.79166666666666663</v>
      </c>
      <c r="AC251" s="23" cm="1">
        <f t="array" ref="AC251">_xlfn.IFS($AJ251="","",$AJ251&gt;=8,TIME(1,0,0),$AJ251&lt;=5,"")</f>
        <v>4.1666666666666664E-2</v>
      </c>
      <c r="AD251" s="23" t="str">
        <f t="shared" si="36"/>
        <v/>
      </c>
      <c r="AE251" s="23" cm="1">
        <f t="array" ref="AE251">_xlfn.IFS($AA251="","",AND($AJ251&lt;=12,$AJ251&gt;10),TIME(0,35,0),AND($AJ251&lt;=10,$AJ251&gt;5),TIME(0,20,0),$AJ251&gt;12,TIME(0,20,0),AND(AJ251&gt;3,$AJ251&lt;=5),TIME(0,10,0),$AJ251&lt;3,"")</f>
        <v>2.4305555555555556E-2</v>
      </c>
      <c r="AF251" s="23">
        <f t="shared" si="37"/>
        <v>6.9444444444444441E-3</v>
      </c>
      <c r="AG251" s="23"/>
      <c r="AH251" s="30"/>
      <c r="AI251" s="23">
        <v>0.16666666666666666</v>
      </c>
      <c r="AJ251" s="24">
        <f t="shared" si="38"/>
        <v>11.999999999999998</v>
      </c>
      <c r="AK251" s="23">
        <f t="shared" si="39"/>
        <v>7.2916666666666671E-2</v>
      </c>
      <c r="AL251" s="25">
        <f t="shared" si="40"/>
        <v>635.99999999999989</v>
      </c>
      <c r="AM251" s="25">
        <f t="shared" si="41"/>
        <v>543.24999999999989</v>
      </c>
      <c r="AN251" s="16">
        <f t="shared" si="42"/>
        <v>1.0409165302782322</v>
      </c>
      <c r="AO251" s="38"/>
      <c r="AP251" s="19"/>
      <c r="AQ251" s="34"/>
      <c r="AR251" s="30" t="s">
        <v>350</v>
      </c>
    </row>
    <row r="252" spans="2:44" ht="15" customHeight="1" x14ac:dyDescent="0.3">
      <c r="B252" s="98">
        <v>46056</v>
      </c>
      <c r="C252" s="21">
        <f t="shared" si="45"/>
        <v>2</v>
      </c>
      <c r="D252" s="36" t="s">
        <v>96</v>
      </c>
      <c r="E252" s="14"/>
      <c r="F252" s="14"/>
      <c r="G252" s="14"/>
      <c r="H252" s="14"/>
      <c r="I252" s="14"/>
      <c r="J252" s="14"/>
      <c r="K252" s="14"/>
      <c r="L252" s="14"/>
      <c r="M252" s="14"/>
      <c r="N252" s="14"/>
      <c r="O252" s="14"/>
      <c r="P252" s="14"/>
      <c r="Q252" s="14">
        <f>112+203</f>
        <v>315</v>
      </c>
      <c r="R252" s="14"/>
      <c r="S252" s="14"/>
      <c r="T252" s="14"/>
      <c r="U252" s="14"/>
      <c r="V252" s="14"/>
      <c r="W252" s="14"/>
      <c r="X252" s="22">
        <f t="shared" si="46"/>
        <v>315</v>
      </c>
      <c r="Y252" s="14"/>
      <c r="Z252" s="31">
        <f>22+11</f>
        <v>33</v>
      </c>
      <c r="AA252" s="23">
        <v>0.79166666666666663</v>
      </c>
      <c r="AB252" s="23">
        <v>0.29166666666666669</v>
      </c>
      <c r="AC252" s="23" cm="1">
        <f t="array" ref="AC252">_xlfn.IFS($AJ252="","",$AJ252&gt;=8,TIME(1,0,0),$AJ252&lt;=5,"")</f>
        <v>4.1666666666666664E-2</v>
      </c>
      <c r="AD252" s="23" t="str">
        <f t="shared" si="36"/>
        <v/>
      </c>
      <c r="AE252" s="23" cm="1">
        <f t="array" ref="AE252">_xlfn.IFS($AA252="","",AND($AJ252&lt;=12,$AJ252&gt;10),TIME(0,35,0),AND($AJ252&lt;=10,$AJ252&gt;5),TIME(0,20,0),$AJ252&gt;12,TIME(0,20,0),AND(AJ252&gt;3,$AJ252&lt;=5),TIME(0,10,0),$AJ252&lt;3,"")</f>
        <v>2.4305555555555556E-2</v>
      </c>
      <c r="AF252" s="23">
        <f t="shared" si="37"/>
        <v>6.9444444444444441E-3</v>
      </c>
      <c r="AG252" s="23"/>
      <c r="AH252" s="30"/>
      <c r="AI252" s="30"/>
      <c r="AJ252" s="24">
        <f t="shared" si="38"/>
        <v>12</v>
      </c>
      <c r="AK252" s="23">
        <f t="shared" si="39"/>
        <v>7.2916666666666671E-2</v>
      </c>
      <c r="AL252" s="25">
        <f t="shared" si="40"/>
        <v>396</v>
      </c>
      <c r="AM252" s="25">
        <f t="shared" si="41"/>
        <v>338.25</v>
      </c>
      <c r="AN252" s="16">
        <f t="shared" si="42"/>
        <v>1.2571428571428571</v>
      </c>
      <c r="AO252" s="38"/>
      <c r="AP252" s="19"/>
      <c r="AQ252" s="34"/>
      <c r="AR252" s="30"/>
    </row>
    <row r="253" spans="2:44" ht="15" customHeight="1" x14ac:dyDescent="0.3">
      <c r="B253" s="98">
        <v>46056</v>
      </c>
      <c r="C253" s="21">
        <f t="shared" si="45"/>
        <v>2</v>
      </c>
      <c r="D253" s="18" t="s">
        <v>97</v>
      </c>
      <c r="E253" s="14">
        <v>85</v>
      </c>
      <c r="F253" s="14">
        <v>11</v>
      </c>
      <c r="G253" s="14"/>
      <c r="H253" s="14"/>
      <c r="I253" s="14"/>
      <c r="J253" s="14">
        <v>45</v>
      </c>
      <c r="K253" s="14">
        <v>123</v>
      </c>
      <c r="L253" s="14"/>
      <c r="M253" s="14"/>
      <c r="N253" s="14"/>
      <c r="O253" s="14"/>
      <c r="P253" s="14"/>
      <c r="Q253" s="14">
        <v>336</v>
      </c>
      <c r="R253" s="14"/>
      <c r="S253" s="14"/>
      <c r="T253" s="14"/>
      <c r="U253" s="14"/>
      <c r="V253" s="14"/>
      <c r="W253" s="14"/>
      <c r="X253" s="22">
        <f t="shared" si="46"/>
        <v>600</v>
      </c>
      <c r="Y253" s="14"/>
      <c r="Z253" s="31">
        <f>4+2</f>
        <v>6</v>
      </c>
      <c r="AA253" s="23">
        <v>0.29166666666666669</v>
      </c>
      <c r="AB253" s="23">
        <v>0.79166666666666663</v>
      </c>
      <c r="AC253" s="23" cm="1">
        <f t="array" ref="AC253">_xlfn.IFS($AJ253="","",$AJ253&gt;=8,TIME(1,0,0),$AJ253&lt;=5,"")</f>
        <v>4.1666666666666664E-2</v>
      </c>
      <c r="AD253" s="23" t="str">
        <f t="shared" si="36"/>
        <v/>
      </c>
      <c r="AE253" s="23" cm="1">
        <f t="array" ref="AE253">_xlfn.IFS($AA253="","",AND($AJ253&lt;=12,$AJ253&gt;10),TIME(0,35,0),AND($AJ253&lt;=10,$AJ253&gt;5),TIME(0,20,0),$AJ253&gt;12,TIME(0,20,0),AND(AJ253&gt;3,$AJ253&lt;=5),TIME(0,10,0),$AJ253&lt;3,"")</f>
        <v>2.4305555555555556E-2</v>
      </c>
      <c r="AF253" s="23">
        <f t="shared" si="37"/>
        <v>6.9444444444444441E-3</v>
      </c>
      <c r="AG253" s="23"/>
      <c r="AH253" s="30"/>
      <c r="AI253" s="30"/>
      <c r="AJ253" s="24">
        <f t="shared" si="38"/>
        <v>11.999999999999998</v>
      </c>
      <c r="AK253" s="23">
        <f t="shared" si="39"/>
        <v>7.2916666666666671E-2</v>
      </c>
      <c r="AL253" s="25">
        <f t="shared" si="40"/>
        <v>71.999999999999986</v>
      </c>
      <c r="AM253" s="25">
        <f t="shared" si="41"/>
        <v>61.499999999999986</v>
      </c>
      <c r="AN253" s="16">
        <f t="shared" si="42"/>
        <v>0.11999999999999998</v>
      </c>
      <c r="AO253" s="38"/>
      <c r="AP253" s="19"/>
      <c r="AQ253" s="34"/>
      <c r="AR253" s="30"/>
    </row>
    <row r="254" spans="2:44" ht="15" customHeight="1" x14ac:dyDescent="0.3">
      <c r="B254" s="98">
        <v>46056</v>
      </c>
      <c r="C254" s="21">
        <f t="shared" si="45"/>
        <v>2</v>
      </c>
      <c r="D254" s="18" t="s">
        <v>97</v>
      </c>
      <c r="E254" s="14"/>
      <c r="F254" s="14"/>
      <c r="G254" s="14"/>
      <c r="H254" s="14"/>
      <c r="I254" s="14"/>
      <c r="J254" s="14">
        <v>21</v>
      </c>
      <c r="K254" s="14"/>
      <c r="L254" s="14"/>
      <c r="M254" s="14"/>
      <c r="N254" s="14"/>
      <c r="O254" s="14"/>
      <c r="P254" s="14"/>
      <c r="Q254" s="14">
        <v>327</v>
      </c>
      <c r="R254" s="14"/>
      <c r="S254" s="14"/>
      <c r="T254" s="14"/>
      <c r="U254" s="14"/>
      <c r="V254" s="14"/>
      <c r="W254" s="14"/>
      <c r="X254" s="22">
        <f t="shared" si="46"/>
        <v>348</v>
      </c>
      <c r="Y254" s="14"/>
      <c r="Z254" s="31">
        <f>4+1</f>
        <v>5</v>
      </c>
      <c r="AA254" s="23">
        <v>0.79166666666666663</v>
      </c>
      <c r="AB254" s="23">
        <v>0.29166666666666669</v>
      </c>
      <c r="AC254" s="23" cm="1">
        <f t="array" ref="AC254">_xlfn.IFS($AJ254="","",$AJ254&gt;=8,TIME(1,0,0),$AJ254&lt;=5,"")</f>
        <v>4.1666666666666664E-2</v>
      </c>
      <c r="AD254" s="23" t="str">
        <f t="shared" si="36"/>
        <v/>
      </c>
      <c r="AE254" s="23" cm="1">
        <f t="array" ref="AE254">_xlfn.IFS($AA254="","",AND($AJ254&lt;=12,$AJ254&gt;10),TIME(0,35,0),AND($AJ254&lt;=10,$AJ254&gt;5),TIME(0,20,0),$AJ254&gt;12,TIME(0,20,0),AND(AJ254&gt;3,$AJ254&lt;=5),TIME(0,10,0),$AJ254&lt;3,"")</f>
        <v>2.4305555555555556E-2</v>
      </c>
      <c r="AF254" s="23">
        <f t="shared" si="37"/>
        <v>6.9444444444444441E-3</v>
      </c>
      <c r="AG254" s="23"/>
      <c r="AH254" s="30"/>
      <c r="AI254" s="23">
        <v>0.25</v>
      </c>
      <c r="AJ254" s="24">
        <f t="shared" si="38"/>
        <v>12</v>
      </c>
      <c r="AK254" s="23">
        <f t="shared" si="39"/>
        <v>7.2916666666666671E-2</v>
      </c>
      <c r="AL254" s="25">
        <f t="shared" si="40"/>
        <v>60</v>
      </c>
      <c r="AM254" s="25">
        <f t="shared" si="41"/>
        <v>51.25</v>
      </c>
      <c r="AN254" s="16">
        <f t="shared" si="42"/>
        <v>0.17241379310344829</v>
      </c>
      <c r="AO254" s="38"/>
      <c r="AP254" s="19"/>
      <c r="AQ254" s="34"/>
      <c r="AR254" s="30" t="s">
        <v>351</v>
      </c>
    </row>
    <row r="255" spans="2:44" ht="15" customHeight="1" x14ac:dyDescent="0.3">
      <c r="B255" s="98">
        <v>46056</v>
      </c>
      <c r="C255" s="21">
        <f t="shared" si="45"/>
        <v>2</v>
      </c>
      <c r="D255" s="18" t="s">
        <v>98</v>
      </c>
      <c r="E255" s="14">
        <v>53</v>
      </c>
      <c r="F255" s="14">
        <v>24</v>
      </c>
      <c r="G255" s="14"/>
      <c r="H255" s="14"/>
      <c r="I255" s="14"/>
      <c r="J255" s="14">
        <v>20</v>
      </c>
      <c r="K255" s="14">
        <v>90</v>
      </c>
      <c r="L255" s="14"/>
      <c r="M255" s="14"/>
      <c r="N255" s="14"/>
      <c r="O255" s="14"/>
      <c r="P255" s="14"/>
      <c r="Q255" s="14">
        <v>334</v>
      </c>
      <c r="R255" s="14"/>
      <c r="S255" s="14"/>
      <c r="T255" s="14"/>
      <c r="U255" s="14"/>
      <c r="V255" s="14"/>
      <c r="W255" s="14"/>
      <c r="X255" s="22">
        <f t="shared" si="46"/>
        <v>521</v>
      </c>
      <c r="Y255" s="14"/>
      <c r="Z255" s="31">
        <f>17+17+1</f>
        <v>35</v>
      </c>
      <c r="AA255" s="23">
        <v>0.29166666666666669</v>
      </c>
      <c r="AB255" s="23">
        <v>0.79166666666666663</v>
      </c>
      <c r="AC255" s="23" cm="1">
        <f t="array" ref="AC255">_xlfn.IFS($AJ255="","",$AJ255&gt;=8,TIME(1,0,0),$AJ255&lt;=5,"")</f>
        <v>4.1666666666666664E-2</v>
      </c>
      <c r="AD255" s="23" t="str">
        <f t="shared" si="36"/>
        <v/>
      </c>
      <c r="AE255" s="23" cm="1">
        <f t="array" ref="AE255">_xlfn.IFS($AA255="","",AND($AJ255&lt;=12,$AJ255&gt;10),TIME(0,35,0),AND($AJ255&lt;=10,$AJ255&gt;5),TIME(0,20,0),$AJ255&gt;12,TIME(0,20,0),AND(AJ255&gt;3,$AJ255&lt;=5),TIME(0,10,0),$AJ255&lt;3,"")</f>
        <v>2.4305555555555556E-2</v>
      </c>
      <c r="AF255" s="23">
        <f t="shared" si="37"/>
        <v>6.9444444444444441E-3</v>
      </c>
      <c r="AG255" s="23"/>
      <c r="AH255" s="30"/>
      <c r="AI255" s="30"/>
      <c r="AJ255" s="24">
        <f t="shared" si="38"/>
        <v>11.999999999999998</v>
      </c>
      <c r="AK255" s="23">
        <f t="shared" si="39"/>
        <v>7.2916666666666671E-2</v>
      </c>
      <c r="AL255" s="25">
        <f t="shared" si="40"/>
        <v>419.99999999999994</v>
      </c>
      <c r="AM255" s="25">
        <f t="shared" si="41"/>
        <v>358.74999999999994</v>
      </c>
      <c r="AN255" s="16">
        <f t="shared" si="42"/>
        <v>0.80614203454894418</v>
      </c>
      <c r="AO255" s="38"/>
      <c r="AP255" s="19"/>
      <c r="AQ255" s="34"/>
      <c r="AR255" s="30"/>
    </row>
    <row r="256" spans="2:44" ht="15" customHeight="1" x14ac:dyDescent="0.3">
      <c r="B256" s="98">
        <v>46056</v>
      </c>
      <c r="C256" s="21">
        <f t="shared" si="45"/>
        <v>2</v>
      </c>
      <c r="D256" s="18" t="s">
        <v>98</v>
      </c>
      <c r="E256" s="14">
        <v>27</v>
      </c>
      <c r="F256" s="14">
        <v>60</v>
      </c>
      <c r="G256" s="14"/>
      <c r="H256" s="14"/>
      <c r="I256" s="14"/>
      <c r="J256" s="14">
        <v>59</v>
      </c>
      <c r="K256" s="14">
        <v>31</v>
      </c>
      <c r="L256" s="14"/>
      <c r="M256" s="14"/>
      <c r="N256" s="14"/>
      <c r="O256" s="14"/>
      <c r="P256" s="14"/>
      <c r="Q256" s="14">
        <f>333+10</f>
        <v>343</v>
      </c>
      <c r="R256" s="14"/>
      <c r="S256" s="14"/>
      <c r="T256" s="14"/>
      <c r="U256" s="14"/>
      <c r="V256" s="14"/>
      <c r="W256" s="14"/>
      <c r="X256" s="22">
        <f t="shared" si="46"/>
        <v>520</v>
      </c>
      <c r="Y256" s="14"/>
      <c r="Z256" s="31">
        <f>18+3+12+1</f>
        <v>34</v>
      </c>
      <c r="AA256" s="23">
        <v>0.79166666666666663</v>
      </c>
      <c r="AB256" s="23">
        <v>0.29166666666666669</v>
      </c>
      <c r="AC256" s="23" cm="1">
        <f t="array" ref="AC256">_xlfn.IFS($AJ256="","",$AJ256&gt;=8,TIME(1,0,0),$AJ256&lt;=5,"")</f>
        <v>4.1666666666666664E-2</v>
      </c>
      <c r="AD256" s="23" t="str">
        <f t="shared" si="36"/>
        <v/>
      </c>
      <c r="AE256" s="23" cm="1">
        <f t="array" ref="AE256">_xlfn.IFS($AA256="","",AND($AJ256&lt;=12,$AJ256&gt;10),TIME(0,35,0),AND($AJ256&lt;=10,$AJ256&gt;5),TIME(0,20,0),$AJ256&gt;12,TIME(0,20,0),AND(AJ256&gt;3,$AJ256&lt;=5),TIME(0,10,0),$AJ256&lt;3,"")</f>
        <v>2.4305555555555556E-2</v>
      </c>
      <c r="AF256" s="23">
        <f t="shared" si="37"/>
        <v>6.9444444444444441E-3</v>
      </c>
      <c r="AG256" s="23">
        <v>4.1666666666666664E-2</v>
      </c>
      <c r="AH256" s="30"/>
      <c r="AI256" s="30"/>
      <c r="AJ256" s="24">
        <f t="shared" si="38"/>
        <v>12</v>
      </c>
      <c r="AK256" s="23">
        <f t="shared" si="39"/>
        <v>7.2916666666666671E-2</v>
      </c>
      <c r="AL256" s="25">
        <f t="shared" si="40"/>
        <v>408</v>
      </c>
      <c r="AM256" s="25">
        <f t="shared" si="41"/>
        <v>314.5</v>
      </c>
      <c r="AN256" s="16">
        <f t="shared" si="42"/>
        <v>0.7846153846153846</v>
      </c>
      <c r="AO256" s="38"/>
      <c r="AP256" s="19"/>
      <c r="AQ256" s="34"/>
      <c r="AR256" s="30" t="s">
        <v>352</v>
      </c>
    </row>
    <row r="257" spans="2:44" ht="15" customHeight="1" x14ac:dyDescent="0.3">
      <c r="B257" s="98">
        <v>46056</v>
      </c>
      <c r="C257" s="21">
        <f t="shared" si="45"/>
        <v>2</v>
      </c>
      <c r="D257" s="18" t="s">
        <v>99</v>
      </c>
      <c r="E257" s="14">
        <v>2</v>
      </c>
      <c r="F257" s="14">
        <v>11</v>
      </c>
      <c r="G257" s="14"/>
      <c r="H257" s="14"/>
      <c r="I257" s="14">
        <v>1</v>
      </c>
      <c r="J257" s="14">
        <v>57</v>
      </c>
      <c r="K257" s="14">
        <v>12</v>
      </c>
      <c r="L257" s="14"/>
      <c r="M257" s="14">
        <v>39</v>
      </c>
      <c r="N257" s="14"/>
      <c r="O257" s="14"/>
      <c r="P257" s="14"/>
      <c r="Q257" s="14">
        <f>92+202</f>
        <v>294</v>
      </c>
      <c r="R257" s="14"/>
      <c r="S257" s="14"/>
      <c r="T257" s="14"/>
      <c r="U257" s="14"/>
      <c r="V257" s="14"/>
      <c r="W257" s="14"/>
      <c r="X257" s="22">
        <f t="shared" si="46"/>
        <v>416</v>
      </c>
      <c r="Y257" s="14"/>
      <c r="Z257" s="31">
        <f>28+5</f>
        <v>33</v>
      </c>
      <c r="AA257" s="23">
        <v>0.29166666666666669</v>
      </c>
      <c r="AB257" s="23">
        <v>0.79166666666666663</v>
      </c>
      <c r="AC257" s="23" cm="1">
        <f t="array" ref="AC257">_xlfn.IFS($AJ257="","",$AJ257&gt;=8,TIME(1,0,0),$AJ257&lt;=5,"")</f>
        <v>4.1666666666666664E-2</v>
      </c>
      <c r="AD257" s="23" t="str">
        <f t="shared" si="36"/>
        <v/>
      </c>
      <c r="AE257" s="23" cm="1">
        <f t="array" ref="AE257">_xlfn.IFS($AA257="","",AND($AJ257&lt;=12,$AJ257&gt;10),TIME(0,35,0),AND($AJ257&lt;=10,$AJ257&gt;5),TIME(0,20,0),$AJ257&gt;12,TIME(0,20,0),AND(AJ257&gt;3,$AJ257&lt;=5),TIME(0,10,0),$AJ257&lt;3,"")</f>
        <v>2.4305555555555556E-2</v>
      </c>
      <c r="AF257" s="23">
        <f t="shared" si="37"/>
        <v>6.9444444444444441E-3</v>
      </c>
      <c r="AG257" s="23"/>
      <c r="AH257" s="30"/>
      <c r="AI257" s="23">
        <v>8.3333333333333329E-2</v>
      </c>
      <c r="AJ257" s="24">
        <f t="shared" si="38"/>
        <v>11.999999999999998</v>
      </c>
      <c r="AK257" s="23">
        <f t="shared" si="39"/>
        <v>7.2916666666666671E-2</v>
      </c>
      <c r="AL257" s="25">
        <f t="shared" si="40"/>
        <v>395.99999999999994</v>
      </c>
      <c r="AM257" s="25">
        <f t="shared" si="41"/>
        <v>338.24999999999994</v>
      </c>
      <c r="AN257" s="16">
        <f t="shared" si="42"/>
        <v>0.95192307692307676</v>
      </c>
      <c r="AO257" s="38"/>
      <c r="AP257" s="19"/>
      <c r="AQ257" s="34"/>
      <c r="AR257" s="30" t="s">
        <v>353</v>
      </c>
    </row>
    <row r="258" spans="2:44" ht="15" customHeight="1" x14ac:dyDescent="0.3">
      <c r="B258" s="98">
        <v>46056</v>
      </c>
      <c r="C258" s="21">
        <f t="shared" si="45"/>
        <v>2</v>
      </c>
      <c r="D258" s="18" t="s">
        <v>99</v>
      </c>
      <c r="E258" s="14">
        <v>80</v>
      </c>
      <c r="F258" s="14">
        <v>37</v>
      </c>
      <c r="G258" s="14"/>
      <c r="H258" s="14"/>
      <c r="I258" s="14">
        <v>1</v>
      </c>
      <c r="J258" s="14">
        <v>52</v>
      </c>
      <c r="K258" s="14">
        <v>105</v>
      </c>
      <c r="L258" s="14"/>
      <c r="M258" s="14"/>
      <c r="N258" s="14"/>
      <c r="O258" s="14"/>
      <c r="P258" s="14"/>
      <c r="Q258" s="14">
        <f>279+3</f>
        <v>282</v>
      </c>
      <c r="R258" s="14"/>
      <c r="S258" s="14"/>
      <c r="T258" s="14"/>
      <c r="U258" s="14"/>
      <c r="V258" s="14"/>
      <c r="W258" s="14"/>
      <c r="X258" s="22">
        <f t="shared" si="46"/>
        <v>557</v>
      </c>
      <c r="Y258" s="14"/>
      <c r="Z258" s="31">
        <f>16+5+14</f>
        <v>35</v>
      </c>
      <c r="AA258" s="23">
        <v>0.79166666666666663</v>
      </c>
      <c r="AB258" s="23">
        <v>0.29166666666666669</v>
      </c>
      <c r="AC258" s="23" cm="1">
        <f t="array" ref="AC258">_xlfn.IFS($AJ258="","",$AJ258&gt;=8,TIME(1,0,0),$AJ258&lt;=5,"")</f>
        <v>4.1666666666666664E-2</v>
      </c>
      <c r="AD258" s="23" t="str">
        <f t="shared" si="36"/>
        <v/>
      </c>
      <c r="AE258" s="23" cm="1">
        <f t="array" ref="AE258">_xlfn.IFS($AA258="","",AND($AJ258&lt;=12,$AJ258&gt;10),TIME(0,35,0),AND($AJ258&lt;=10,$AJ258&gt;5),TIME(0,20,0),$AJ258&gt;12,TIME(0,20,0),AND(AJ258&gt;3,$AJ258&lt;=5),TIME(0,10,0),$AJ258&lt;3,"")</f>
        <v>2.4305555555555556E-2</v>
      </c>
      <c r="AF258" s="23">
        <f t="shared" si="37"/>
        <v>6.9444444444444441E-3</v>
      </c>
      <c r="AG258" s="23"/>
      <c r="AH258" s="30"/>
      <c r="AI258" s="30"/>
      <c r="AJ258" s="24">
        <f t="shared" si="38"/>
        <v>12</v>
      </c>
      <c r="AK258" s="23">
        <f t="shared" si="39"/>
        <v>7.2916666666666671E-2</v>
      </c>
      <c r="AL258" s="25">
        <f t="shared" si="40"/>
        <v>420</v>
      </c>
      <c r="AM258" s="25">
        <f t="shared" si="41"/>
        <v>358.75</v>
      </c>
      <c r="AN258" s="16">
        <f t="shared" si="42"/>
        <v>0.75403949730700182</v>
      </c>
      <c r="AO258" s="16">
        <f>IF(COUNTIF(B251:B258,B251)=8,1/SUM(AN251:AN258),"")</f>
        <v>0.16986023228015246</v>
      </c>
      <c r="AP258" s="19"/>
      <c r="AQ258" s="34"/>
      <c r="AR258" s="30"/>
    </row>
    <row r="259" spans="2:44" ht="15" customHeight="1" x14ac:dyDescent="0.3">
      <c r="B259" s="97">
        <v>46057</v>
      </c>
      <c r="C259" s="21">
        <f t="shared" si="45"/>
        <v>2</v>
      </c>
      <c r="D259" s="36" t="s">
        <v>96</v>
      </c>
      <c r="E259" s="14">
        <v>115</v>
      </c>
      <c r="F259" s="14">
        <v>78</v>
      </c>
      <c r="G259" s="14"/>
      <c r="H259" s="14"/>
      <c r="I259" s="14"/>
      <c r="J259" s="14">
        <v>70</v>
      </c>
      <c r="K259" s="14">
        <v>147</v>
      </c>
      <c r="L259" s="14"/>
      <c r="M259" s="14"/>
      <c r="N259" s="14"/>
      <c r="O259" s="14"/>
      <c r="P259" s="14">
        <v>10</v>
      </c>
      <c r="Q259" s="14">
        <f>276+16</f>
        <v>292</v>
      </c>
      <c r="R259" s="14"/>
      <c r="S259" s="14"/>
      <c r="T259" s="14"/>
      <c r="U259" s="14"/>
      <c r="V259" s="14"/>
      <c r="W259" s="14"/>
      <c r="X259" s="22">
        <f t="shared" si="46"/>
        <v>712</v>
      </c>
      <c r="Y259" s="14"/>
      <c r="Z259" s="31">
        <f>13+10+19+10</f>
        <v>52</v>
      </c>
      <c r="AA259" s="23">
        <v>0.29166666666666669</v>
      </c>
      <c r="AB259" s="23">
        <v>0.79166666666666663</v>
      </c>
      <c r="AC259" s="23" cm="1">
        <f t="array" ref="AC259">_xlfn.IFS($AJ259="","",$AJ259&gt;=8,TIME(1,0,0),$AJ259&lt;=5,"")</f>
        <v>4.1666666666666664E-2</v>
      </c>
      <c r="AD259" s="23" t="str">
        <f t="shared" si="36"/>
        <v/>
      </c>
      <c r="AE259" s="23" cm="1">
        <f t="array" ref="AE259">_xlfn.IFS($AA259="","",AND($AJ259&lt;=12,$AJ259&gt;10),TIME(0,35,0),AND($AJ259&lt;=10,$AJ259&gt;5),TIME(0,20,0),$AJ259&gt;12,TIME(0,20,0),AND(AJ259&gt;3,$AJ259&lt;=5),TIME(0,10,0),$AJ259&lt;3,"")</f>
        <v>2.4305555555555556E-2</v>
      </c>
      <c r="AF259" s="23">
        <f t="shared" si="37"/>
        <v>6.9444444444444441E-3</v>
      </c>
      <c r="AG259" s="23"/>
      <c r="AH259" s="30"/>
      <c r="AI259" s="23">
        <v>8.3333333333333329E-2</v>
      </c>
      <c r="AJ259" s="24">
        <f t="shared" si="38"/>
        <v>11.999999999999998</v>
      </c>
      <c r="AK259" s="23">
        <f t="shared" si="39"/>
        <v>7.2916666666666671E-2</v>
      </c>
      <c r="AL259" s="25">
        <f t="shared" si="40"/>
        <v>623.99999999999989</v>
      </c>
      <c r="AM259" s="25">
        <f t="shared" si="41"/>
        <v>532.99999999999989</v>
      </c>
      <c r="AN259" s="16">
        <f t="shared" si="42"/>
        <v>0.87640449438202228</v>
      </c>
      <c r="AO259" s="38"/>
      <c r="AP259" s="19"/>
      <c r="AQ259" s="34"/>
      <c r="AR259" s="30" t="s">
        <v>354</v>
      </c>
    </row>
    <row r="260" spans="2:44" ht="15" customHeight="1" x14ac:dyDescent="0.3">
      <c r="B260" s="97">
        <v>46057</v>
      </c>
      <c r="C260" s="21">
        <f t="shared" si="45"/>
        <v>2</v>
      </c>
      <c r="D260" s="36" t="s">
        <v>96</v>
      </c>
      <c r="E260" s="14"/>
      <c r="F260" s="14"/>
      <c r="G260" s="14"/>
      <c r="H260" s="14"/>
      <c r="I260" s="14"/>
      <c r="J260" s="14"/>
      <c r="K260" s="14"/>
      <c r="L260" s="14"/>
      <c r="M260" s="14"/>
      <c r="N260" s="14"/>
      <c r="O260" s="14"/>
      <c r="P260" s="14"/>
      <c r="Q260" s="14">
        <f>184+97+36</f>
        <v>317</v>
      </c>
      <c r="R260" s="14"/>
      <c r="S260" s="14"/>
      <c r="T260" s="14"/>
      <c r="U260" s="14"/>
      <c r="V260" s="14"/>
      <c r="W260" s="14"/>
      <c r="X260" s="22">
        <f t="shared" si="46"/>
        <v>317</v>
      </c>
      <c r="Y260" s="14"/>
      <c r="Z260" s="31">
        <f>22+11</f>
        <v>33</v>
      </c>
      <c r="AA260" s="23">
        <v>0.79166666666666663</v>
      </c>
      <c r="AB260" s="23">
        <v>0.29166666666666669</v>
      </c>
      <c r="AC260" s="23" cm="1">
        <f t="array" ref="AC260">_xlfn.IFS($AJ260="","",$AJ260&gt;=8,TIME(1,0,0),$AJ260&lt;=5,"")</f>
        <v>4.1666666666666664E-2</v>
      </c>
      <c r="AD260" s="23" t="str">
        <f t="shared" si="36"/>
        <v/>
      </c>
      <c r="AE260" s="23" cm="1">
        <f t="array" ref="AE260">_xlfn.IFS($AA260="","",AND($AJ260&lt;=12,$AJ260&gt;10),TIME(0,35,0),AND($AJ260&lt;=10,$AJ260&gt;5),TIME(0,20,0),$AJ260&gt;12,TIME(0,20,0),AND(AJ260&gt;3,$AJ260&lt;=5),TIME(0,10,0),$AJ260&lt;3,"")</f>
        <v>2.4305555555555556E-2</v>
      </c>
      <c r="AF260" s="23">
        <f t="shared" si="37"/>
        <v>6.9444444444444441E-3</v>
      </c>
      <c r="AG260" s="23"/>
      <c r="AH260" s="30"/>
      <c r="AI260" s="30"/>
      <c r="AJ260" s="24">
        <f t="shared" si="38"/>
        <v>12</v>
      </c>
      <c r="AK260" s="23">
        <f t="shared" si="39"/>
        <v>7.2916666666666671E-2</v>
      </c>
      <c r="AL260" s="25">
        <f t="shared" si="40"/>
        <v>396</v>
      </c>
      <c r="AM260" s="25">
        <f t="shared" si="41"/>
        <v>338.25</v>
      </c>
      <c r="AN260" s="16">
        <f t="shared" si="42"/>
        <v>1.249211356466877</v>
      </c>
      <c r="AO260" s="38"/>
      <c r="AP260" s="19"/>
      <c r="AQ260" s="34"/>
      <c r="AR260" s="30"/>
    </row>
    <row r="261" spans="2:44" ht="15" customHeight="1" x14ac:dyDescent="0.3">
      <c r="B261" s="97">
        <v>46057</v>
      </c>
      <c r="C261" s="21">
        <f t="shared" si="45"/>
        <v>2</v>
      </c>
      <c r="D261" s="18" t="s">
        <v>97</v>
      </c>
      <c r="E261" s="14">
        <v>96</v>
      </c>
      <c r="F261" s="14"/>
      <c r="G261" s="14"/>
      <c r="H261" s="14"/>
      <c r="I261" s="14"/>
      <c r="J261" s="14">
        <v>40</v>
      </c>
      <c r="K261" s="14">
        <v>152</v>
      </c>
      <c r="L261" s="14"/>
      <c r="M261" s="14"/>
      <c r="N261" s="14"/>
      <c r="O261" s="14">
        <v>10</v>
      </c>
      <c r="P261" s="14"/>
      <c r="Q261" s="14">
        <v>284</v>
      </c>
      <c r="R261" s="14"/>
      <c r="S261" s="14"/>
      <c r="T261" s="14"/>
      <c r="U261" s="14"/>
      <c r="V261" s="14"/>
      <c r="W261" s="14"/>
      <c r="X261" s="22">
        <f t="shared" si="46"/>
        <v>582</v>
      </c>
      <c r="Y261" s="14"/>
      <c r="Z261" s="31">
        <f>4+1</f>
        <v>5</v>
      </c>
      <c r="AA261" s="23">
        <v>0.29166666666666669</v>
      </c>
      <c r="AB261" s="23">
        <v>0.79166666666666663</v>
      </c>
      <c r="AC261" s="23" cm="1">
        <f t="array" ref="AC261">_xlfn.IFS($AJ261="","",$AJ261&gt;=8,TIME(1,0,0),$AJ261&lt;=5,"")</f>
        <v>4.1666666666666664E-2</v>
      </c>
      <c r="AD261" s="23" t="str">
        <f t="shared" si="36"/>
        <v/>
      </c>
      <c r="AE261" s="23" cm="1">
        <f t="array" ref="AE261">_xlfn.IFS($AA261="","",AND($AJ261&lt;=12,$AJ261&gt;10),TIME(0,35,0),AND($AJ261&lt;=10,$AJ261&gt;5),TIME(0,20,0),$AJ261&gt;12,TIME(0,20,0),AND(AJ261&gt;3,$AJ261&lt;=5),TIME(0,10,0),$AJ261&lt;3,"")</f>
        <v>2.4305555555555556E-2</v>
      </c>
      <c r="AF261" s="23">
        <f t="shared" si="37"/>
        <v>6.9444444444444441E-3</v>
      </c>
      <c r="AG261" s="23">
        <v>4.1666666666666664E-2</v>
      </c>
      <c r="AH261" s="30"/>
      <c r="AI261" s="30"/>
      <c r="AJ261" s="24">
        <f t="shared" si="38"/>
        <v>11.999999999999998</v>
      </c>
      <c r="AK261" s="23">
        <f t="shared" si="39"/>
        <v>7.2916666666666671E-2</v>
      </c>
      <c r="AL261" s="25">
        <f t="shared" si="40"/>
        <v>59.999999999999993</v>
      </c>
      <c r="AM261" s="25">
        <f t="shared" si="41"/>
        <v>46.249999999999993</v>
      </c>
      <c r="AN261" s="16">
        <f t="shared" si="42"/>
        <v>0.10309278350515463</v>
      </c>
      <c r="AO261" s="38"/>
      <c r="AP261" s="19"/>
      <c r="AQ261" s="34"/>
      <c r="AR261" s="30" t="s">
        <v>355</v>
      </c>
    </row>
    <row r="262" spans="2:44" ht="15" customHeight="1" x14ac:dyDescent="0.3">
      <c r="B262" s="97">
        <v>46057</v>
      </c>
      <c r="C262" s="21">
        <f t="shared" si="45"/>
        <v>2</v>
      </c>
      <c r="D262" s="18" t="s">
        <v>97</v>
      </c>
      <c r="E262" s="14">
        <v>64</v>
      </c>
      <c r="F262" s="14"/>
      <c r="G262" s="14"/>
      <c r="H262" s="14"/>
      <c r="I262" s="14"/>
      <c r="J262" s="14">
        <v>30</v>
      </c>
      <c r="K262" s="14">
        <v>31</v>
      </c>
      <c r="L262" s="14"/>
      <c r="M262" s="14"/>
      <c r="N262" s="14"/>
      <c r="O262" s="14"/>
      <c r="P262" s="14"/>
      <c r="Q262" s="14">
        <v>299</v>
      </c>
      <c r="R262" s="14"/>
      <c r="S262" s="14"/>
      <c r="T262" s="14"/>
      <c r="U262" s="14"/>
      <c r="V262" s="14"/>
      <c r="W262" s="14"/>
      <c r="X262" s="22">
        <f t="shared" si="46"/>
        <v>424</v>
      </c>
      <c r="Y262" s="14"/>
      <c r="Z262" s="31">
        <f>4+1</f>
        <v>5</v>
      </c>
      <c r="AA262" s="23">
        <v>0.79166666666666663</v>
      </c>
      <c r="AB262" s="23">
        <v>0.29166666666666669</v>
      </c>
      <c r="AC262" s="23" cm="1">
        <f t="array" ref="AC262">_xlfn.IFS($AJ262="","",$AJ262&gt;=8,TIME(1,0,0),$AJ262&lt;=5,"")</f>
        <v>4.1666666666666664E-2</v>
      </c>
      <c r="AD262" s="23" t="str">
        <f t="shared" si="36"/>
        <v/>
      </c>
      <c r="AE262" s="23" cm="1">
        <f t="array" ref="AE262">_xlfn.IFS($AA262="","",AND($AJ262&lt;=12,$AJ262&gt;10),TIME(0,35,0),AND($AJ262&lt;=10,$AJ262&gt;5),TIME(0,20,0),$AJ262&gt;12,TIME(0,20,0),AND(AJ262&gt;3,$AJ262&lt;=5),TIME(0,10,0),$AJ262&lt;3,"")</f>
        <v>2.4305555555555556E-2</v>
      </c>
      <c r="AF262" s="23">
        <f t="shared" si="37"/>
        <v>6.9444444444444441E-3</v>
      </c>
      <c r="AG262" s="23">
        <v>3.125E-2</v>
      </c>
      <c r="AH262" s="30"/>
      <c r="AI262" s="23">
        <v>0.25</v>
      </c>
      <c r="AJ262" s="24">
        <f t="shared" si="38"/>
        <v>12</v>
      </c>
      <c r="AK262" s="23">
        <f t="shared" si="39"/>
        <v>7.2916666666666671E-2</v>
      </c>
      <c r="AL262" s="25">
        <f t="shared" si="40"/>
        <v>60</v>
      </c>
      <c r="AM262" s="25">
        <f t="shared" si="41"/>
        <v>47.5</v>
      </c>
      <c r="AN262" s="16">
        <f t="shared" si="42"/>
        <v>0.14150943396226415</v>
      </c>
      <c r="AO262" s="38"/>
      <c r="AP262" s="19"/>
      <c r="AQ262" s="34"/>
      <c r="AR262" s="30" t="s">
        <v>356</v>
      </c>
    </row>
    <row r="263" spans="2:44" ht="15" customHeight="1" x14ac:dyDescent="0.3">
      <c r="B263" s="97">
        <v>46057</v>
      </c>
      <c r="C263" s="21">
        <f t="shared" si="45"/>
        <v>2</v>
      </c>
      <c r="D263" s="18" t="s">
        <v>98</v>
      </c>
      <c r="E263" s="14">
        <v>65</v>
      </c>
      <c r="F263" s="14">
        <v>4</v>
      </c>
      <c r="G263" s="14"/>
      <c r="H263" s="14"/>
      <c r="I263" s="14"/>
      <c r="J263" s="14">
        <v>20</v>
      </c>
      <c r="K263" s="14">
        <v>117</v>
      </c>
      <c r="L263" s="14"/>
      <c r="M263" s="14"/>
      <c r="N263" s="14"/>
      <c r="O263" s="14"/>
      <c r="P263" s="14"/>
      <c r="Q263" s="14">
        <f>314+9</f>
        <v>323</v>
      </c>
      <c r="R263" s="14"/>
      <c r="S263" s="14"/>
      <c r="T263" s="14"/>
      <c r="U263" s="14"/>
      <c r="V263" s="14">
        <v>1</v>
      </c>
      <c r="W263" s="14"/>
      <c r="X263" s="22">
        <f t="shared" si="46"/>
        <v>530</v>
      </c>
      <c r="Y263" s="14"/>
      <c r="Z263" s="31">
        <f>17+17+1</f>
        <v>35</v>
      </c>
      <c r="AA263" s="23">
        <v>0.29166666666666669</v>
      </c>
      <c r="AB263" s="23">
        <v>0.79166666666666663</v>
      </c>
      <c r="AC263" s="23" cm="1">
        <f t="array" ref="AC263">_xlfn.IFS($AJ263="","",$AJ263&gt;=8,TIME(1,0,0),$AJ263&lt;=5,"")</f>
        <v>4.1666666666666664E-2</v>
      </c>
      <c r="AD263" s="23" t="str">
        <f t="shared" si="36"/>
        <v/>
      </c>
      <c r="AE263" s="23" cm="1">
        <f t="array" ref="AE263">_xlfn.IFS($AA263="","",AND($AJ263&lt;=12,$AJ263&gt;10),TIME(0,35,0),AND($AJ263&lt;=10,$AJ263&gt;5),TIME(0,20,0),$AJ263&gt;12,TIME(0,20,0),AND(AJ263&gt;3,$AJ263&lt;=5),TIME(0,10,0),$AJ263&lt;3,"")</f>
        <v>2.4305555555555556E-2</v>
      </c>
      <c r="AF263" s="23">
        <f t="shared" si="37"/>
        <v>6.9444444444444441E-3</v>
      </c>
      <c r="AG263" s="23">
        <v>6.5972222222222224E-2</v>
      </c>
      <c r="AH263" s="30"/>
      <c r="AI263" s="23">
        <v>0.16666666666666666</v>
      </c>
      <c r="AJ263" s="24">
        <f t="shared" si="38"/>
        <v>11.999999999999998</v>
      </c>
      <c r="AK263" s="23">
        <f t="shared" si="39"/>
        <v>7.2916666666666671E-2</v>
      </c>
      <c r="AL263" s="25">
        <f t="shared" si="40"/>
        <v>419.99999999999994</v>
      </c>
      <c r="AM263" s="25">
        <f t="shared" si="41"/>
        <v>303.33333333333326</v>
      </c>
      <c r="AN263" s="16">
        <f t="shared" si="42"/>
        <v>0.79245283018867918</v>
      </c>
      <c r="AO263" s="38"/>
      <c r="AP263" s="19"/>
      <c r="AQ263" s="34"/>
      <c r="AR263" s="30" t="s">
        <v>357</v>
      </c>
    </row>
    <row r="264" spans="2:44" ht="15" customHeight="1" x14ac:dyDescent="0.3">
      <c r="B264" s="97">
        <v>46057</v>
      </c>
      <c r="C264" s="21">
        <f t="shared" ref="C264:C274" si="47">IF($B264="","",MONTH(B264))</f>
        <v>2</v>
      </c>
      <c r="D264" s="18" t="s">
        <v>98</v>
      </c>
      <c r="E264" s="14">
        <v>27</v>
      </c>
      <c r="F264" s="14">
        <v>60</v>
      </c>
      <c r="G264" s="14"/>
      <c r="H264" s="14"/>
      <c r="I264" s="14"/>
      <c r="J264" s="14">
        <v>59</v>
      </c>
      <c r="K264" s="14">
        <v>31</v>
      </c>
      <c r="L264" s="14"/>
      <c r="M264" s="14"/>
      <c r="N264" s="14"/>
      <c r="O264" s="14">
        <v>6</v>
      </c>
      <c r="P264" s="14"/>
      <c r="Q264" s="14">
        <f>333+4</f>
        <v>337</v>
      </c>
      <c r="R264" s="14"/>
      <c r="S264" s="14"/>
      <c r="T264" s="14"/>
      <c r="U264" s="14"/>
      <c r="V264" s="14"/>
      <c r="W264" s="14"/>
      <c r="X264" s="22">
        <f t="shared" si="46"/>
        <v>520</v>
      </c>
      <c r="Y264" s="14"/>
      <c r="Z264" s="31">
        <f>18+3+12</f>
        <v>33</v>
      </c>
      <c r="AA264" s="23">
        <v>0.79166666666666663</v>
      </c>
      <c r="AB264" s="23">
        <v>0.29166666666666669</v>
      </c>
      <c r="AC264" s="23" cm="1">
        <f t="array" ref="AC264">_xlfn.IFS($AJ264="","",$AJ264&gt;=8,TIME(1,0,0),$AJ264&lt;=5,"")</f>
        <v>4.1666666666666664E-2</v>
      </c>
      <c r="AD264" s="23" t="str">
        <f t="shared" si="36"/>
        <v/>
      </c>
      <c r="AE264" s="23" cm="1">
        <f t="array" ref="AE264">_xlfn.IFS($AA264="","",AND($AJ264&lt;=12,$AJ264&gt;10),TIME(0,35,0),AND($AJ264&lt;=10,$AJ264&gt;5),TIME(0,20,0),$AJ264&gt;12,TIME(0,20,0),AND(AJ264&gt;3,$AJ264&lt;=5),TIME(0,10,0),$AJ264&lt;3,"")</f>
        <v>2.4305555555555556E-2</v>
      </c>
      <c r="AF264" s="23">
        <f t="shared" si="37"/>
        <v>6.9444444444444441E-3</v>
      </c>
      <c r="AG264" s="23">
        <v>4.5138888888888888E-2</v>
      </c>
      <c r="AH264" s="30"/>
      <c r="AI264" s="30"/>
      <c r="AJ264" s="24">
        <f t="shared" si="38"/>
        <v>12</v>
      </c>
      <c r="AK264" s="23">
        <f t="shared" si="39"/>
        <v>7.2916666666666671E-2</v>
      </c>
      <c r="AL264" s="25">
        <f t="shared" si="40"/>
        <v>396</v>
      </c>
      <c r="AM264" s="25">
        <f t="shared" si="41"/>
        <v>302.50000000000006</v>
      </c>
      <c r="AN264" s="16">
        <f t="shared" si="42"/>
        <v>0.7615384615384615</v>
      </c>
      <c r="AO264" s="38"/>
      <c r="AP264" s="19"/>
      <c r="AQ264" s="34"/>
      <c r="AR264" s="30" t="s">
        <v>358</v>
      </c>
    </row>
    <row r="265" spans="2:44" ht="15" customHeight="1" x14ac:dyDescent="0.3">
      <c r="B265" s="97">
        <v>46057</v>
      </c>
      <c r="C265" s="21">
        <f t="shared" si="47"/>
        <v>2</v>
      </c>
      <c r="D265" s="18" t="s">
        <v>99</v>
      </c>
      <c r="E265" s="14">
        <v>2</v>
      </c>
      <c r="F265" s="14">
        <v>46</v>
      </c>
      <c r="G265" s="14"/>
      <c r="H265" s="14"/>
      <c r="I265" s="14"/>
      <c r="J265" s="14">
        <v>10</v>
      </c>
      <c r="K265" s="14">
        <v>34</v>
      </c>
      <c r="L265" s="14">
        <v>2</v>
      </c>
      <c r="M265" s="14"/>
      <c r="N265" s="14"/>
      <c r="O265" s="14">
        <v>8</v>
      </c>
      <c r="P265" s="14"/>
      <c r="Q265" s="14">
        <f>268+95+4</f>
        <v>367</v>
      </c>
      <c r="R265" s="14"/>
      <c r="S265" s="14"/>
      <c r="T265" s="14"/>
      <c r="U265" s="14"/>
      <c r="V265" s="14"/>
      <c r="W265" s="14"/>
      <c r="X265" s="22">
        <f t="shared" si="46"/>
        <v>469</v>
      </c>
      <c r="Y265" s="14"/>
      <c r="Z265" s="31">
        <f>29+3</f>
        <v>32</v>
      </c>
      <c r="AA265" s="23">
        <v>0.29166666666666669</v>
      </c>
      <c r="AB265" s="23">
        <v>0.79166666666666663</v>
      </c>
      <c r="AC265" s="23" cm="1">
        <f t="array" ref="AC265">_xlfn.IFS($AJ265="","",$AJ265&gt;=8,TIME(1,0,0),$AJ265&lt;=5,"")</f>
        <v>4.1666666666666664E-2</v>
      </c>
      <c r="AD265" s="23" t="str">
        <f t="shared" si="36"/>
        <v/>
      </c>
      <c r="AE265" s="23" cm="1">
        <f t="array" ref="AE265">_xlfn.IFS($AA265="","",AND($AJ265&lt;=12,$AJ265&gt;10),TIME(0,35,0),AND($AJ265&lt;=10,$AJ265&gt;5),TIME(0,20,0),$AJ265&gt;12,TIME(0,20,0),AND(AJ265&gt;3,$AJ265&lt;=5),TIME(0,10,0),$AJ265&lt;3,"")</f>
        <v>2.4305555555555556E-2</v>
      </c>
      <c r="AF265" s="23">
        <f t="shared" si="37"/>
        <v>6.9444444444444441E-3</v>
      </c>
      <c r="AG265" s="23"/>
      <c r="AH265" s="30"/>
      <c r="AI265" s="30"/>
      <c r="AJ265" s="24">
        <f t="shared" si="38"/>
        <v>11.999999999999998</v>
      </c>
      <c r="AK265" s="23">
        <f t="shared" si="39"/>
        <v>7.2916666666666671E-2</v>
      </c>
      <c r="AL265" s="25">
        <f t="shared" si="40"/>
        <v>383.99999999999994</v>
      </c>
      <c r="AM265" s="25">
        <f t="shared" si="41"/>
        <v>327.99999999999994</v>
      </c>
      <c r="AN265" s="16">
        <f t="shared" si="42"/>
        <v>0.81876332622601267</v>
      </c>
      <c r="AO265" s="38"/>
      <c r="AP265" s="19"/>
      <c r="AQ265" s="34"/>
      <c r="AR265" s="30"/>
    </row>
    <row r="266" spans="2:44" ht="15" customHeight="1" x14ac:dyDescent="0.3">
      <c r="B266" s="97">
        <v>46057</v>
      </c>
      <c r="C266" s="21">
        <f t="shared" si="47"/>
        <v>2</v>
      </c>
      <c r="D266" s="18" t="s">
        <v>99</v>
      </c>
      <c r="E266" s="14">
        <v>93</v>
      </c>
      <c r="F266" s="14">
        <v>3</v>
      </c>
      <c r="G266" s="14"/>
      <c r="H266" s="14"/>
      <c r="I266" s="14"/>
      <c r="J266" s="14">
        <v>50</v>
      </c>
      <c r="K266" s="14">
        <v>144</v>
      </c>
      <c r="L266" s="14"/>
      <c r="M266" s="14"/>
      <c r="N266" s="14"/>
      <c r="O266" s="14">
        <f>7+10</f>
        <v>17</v>
      </c>
      <c r="P266" s="14"/>
      <c r="Q266" s="14">
        <f>24+262+1</f>
        <v>287</v>
      </c>
      <c r="R266" s="14"/>
      <c r="S266" s="14"/>
      <c r="T266" s="14"/>
      <c r="U266" s="14"/>
      <c r="V266" s="14"/>
      <c r="W266" s="14"/>
      <c r="X266" s="22">
        <f t="shared" si="46"/>
        <v>594</v>
      </c>
      <c r="Y266" s="14"/>
      <c r="Z266" s="31">
        <f>17+4+14</f>
        <v>35</v>
      </c>
      <c r="AA266" s="23">
        <v>0.79166666666666663</v>
      </c>
      <c r="AB266" s="23">
        <v>0.29166666666666669</v>
      </c>
      <c r="AC266" s="23" cm="1">
        <f t="array" ref="AC266">_xlfn.IFS($AJ266="","",$AJ266&gt;=8,TIME(1,0,0),$AJ266&lt;=5,"")</f>
        <v>4.1666666666666664E-2</v>
      </c>
      <c r="AD266" s="23" t="str">
        <f t="shared" si="36"/>
        <v/>
      </c>
      <c r="AE266" s="23" cm="1">
        <f t="array" ref="AE266">_xlfn.IFS($AA266="","",AND($AJ266&lt;=12,$AJ266&gt;10),TIME(0,35,0),AND($AJ266&lt;=10,$AJ266&gt;5),TIME(0,20,0),$AJ266&gt;12,TIME(0,20,0),AND(AJ266&gt;3,$AJ266&lt;=5),TIME(0,10,0),$AJ266&lt;3,"")</f>
        <v>2.4305555555555556E-2</v>
      </c>
      <c r="AF266" s="23">
        <f t="shared" si="37"/>
        <v>6.9444444444444441E-3</v>
      </c>
      <c r="AG266" s="23"/>
      <c r="AH266" s="30"/>
      <c r="AI266" s="30"/>
      <c r="AJ266" s="24">
        <f t="shared" ref="AJ266:AJ274" si="48">IF($AA266="","",MOD($AB266-$AA266,1)*24)</f>
        <v>12</v>
      </c>
      <c r="AK266" s="23">
        <f t="shared" ref="AK266:AK274" si="49">IF($AA266="","",SUM($AC266:$AF266))</f>
        <v>7.2916666666666671E-2</v>
      </c>
      <c r="AL266" s="25">
        <f t="shared" ref="AL266:AL274" si="50">IF(OR($Z266="",$AJ266=""),"",$AJ266*$Z266)</f>
        <v>420</v>
      </c>
      <c r="AM266" s="25">
        <f t="shared" ref="AM266:AM274" si="51">IF(OR($Z266="",$AJ266=""),"",($AJ266-($AK266+$AG266)*24)*$Z266)</f>
        <v>358.75</v>
      </c>
      <c r="AN266" s="16">
        <f t="shared" ref="AN266:AN274" si="52">IF(OR($X266=0,$Z266="",$AL266=""),"",$AL266/$X266)</f>
        <v>0.70707070707070707</v>
      </c>
      <c r="AO266" s="16">
        <f>IF(COUNTIF(B259:B266,B259)=8,1/SUM(AN259:AN266),"")</f>
        <v>0.18348477761149129</v>
      </c>
      <c r="AP266" s="19"/>
      <c r="AQ266" s="34"/>
      <c r="AR266" s="30"/>
    </row>
    <row r="267" spans="2:44" ht="15" customHeight="1" x14ac:dyDescent="0.3">
      <c r="B267" s="98">
        <v>46058</v>
      </c>
      <c r="C267" s="21">
        <f t="shared" si="47"/>
        <v>2</v>
      </c>
      <c r="D267" s="36" t="s">
        <v>96</v>
      </c>
      <c r="E267" s="14"/>
      <c r="F267" s="14">
        <v>122</v>
      </c>
      <c r="G267" s="14"/>
      <c r="H267" s="14"/>
      <c r="I267" s="14"/>
      <c r="J267" s="14">
        <v>70</v>
      </c>
      <c r="K267" s="14">
        <v>60</v>
      </c>
      <c r="L267" s="14"/>
      <c r="M267" s="14"/>
      <c r="N267" s="14"/>
      <c r="O267" s="14"/>
      <c r="P267" s="14"/>
      <c r="Q267" s="14">
        <f>64+4+97+8</f>
        <v>173</v>
      </c>
      <c r="R267" s="14"/>
      <c r="S267" s="14"/>
      <c r="T267" s="14"/>
      <c r="U267" s="14"/>
      <c r="V267" s="14"/>
      <c r="W267" s="14"/>
      <c r="X267" s="22">
        <f t="shared" si="46"/>
        <v>425</v>
      </c>
      <c r="Y267" s="14"/>
      <c r="Z267" s="31">
        <f>25+8</f>
        <v>33</v>
      </c>
      <c r="AA267" s="23">
        <v>0.29166666666666669</v>
      </c>
      <c r="AB267" s="23">
        <v>0.79166666666666663</v>
      </c>
      <c r="AC267" s="23" cm="1">
        <f t="array" ref="AC267">_xlfn.IFS($AJ267="","",$AJ267&gt;=8,TIME(1,0,0),$AJ267&lt;=5,"")</f>
        <v>4.1666666666666664E-2</v>
      </c>
      <c r="AD267" s="23" t="str">
        <f t="shared" si="36"/>
        <v/>
      </c>
      <c r="AE267" s="23" cm="1">
        <f t="array" ref="AE267">_xlfn.IFS($AA267="","",AND($AJ267&lt;=12,$AJ267&gt;10),TIME(0,35,0),AND($AJ267&lt;=10,$AJ267&gt;5),TIME(0,20,0),$AJ267&gt;12,TIME(0,20,0),AND(AJ267&gt;3,$AJ267&lt;=5),TIME(0,10,0),$AJ267&lt;3,"")</f>
        <v>2.4305555555555556E-2</v>
      </c>
      <c r="AF267" s="23">
        <f t="shared" si="37"/>
        <v>6.9444444444444441E-3</v>
      </c>
      <c r="AG267" s="23"/>
      <c r="AH267" s="30"/>
      <c r="AI267" s="30"/>
      <c r="AJ267" s="24">
        <f t="shared" si="48"/>
        <v>11.999999999999998</v>
      </c>
      <c r="AK267" s="23">
        <f t="shared" si="49"/>
        <v>7.2916666666666671E-2</v>
      </c>
      <c r="AL267" s="25">
        <f t="shared" si="50"/>
        <v>395.99999999999994</v>
      </c>
      <c r="AM267" s="25">
        <f t="shared" si="51"/>
        <v>338.24999999999994</v>
      </c>
      <c r="AN267" s="16">
        <f t="shared" si="52"/>
        <v>0.93176470588235283</v>
      </c>
      <c r="AO267" s="38"/>
      <c r="AP267" s="19"/>
      <c r="AQ267" s="34"/>
      <c r="AR267" s="30" t="s">
        <v>359</v>
      </c>
    </row>
    <row r="268" spans="2:44" ht="15" customHeight="1" x14ac:dyDescent="0.3">
      <c r="B268" s="98">
        <v>46058</v>
      </c>
      <c r="C268" s="21">
        <f t="shared" si="47"/>
        <v>2</v>
      </c>
      <c r="D268" s="36" t="s">
        <v>96</v>
      </c>
      <c r="E268" s="14"/>
      <c r="F268" s="14"/>
      <c r="G268" s="14"/>
      <c r="H268" s="14"/>
      <c r="I268" s="14"/>
      <c r="J268" s="14"/>
      <c r="K268" s="14"/>
      <c r="L268" s="14"/>
      <c r="M268" s="14"/>
      <c r="N268" s="14"/>
      <c r="O268" s="14"/>
      <c r="P268" s="14"/>
      <c r="Q268" s="14">
        <f>32+285</f>
        <v>317</v>
      </c>
      <c r="R268" s="14"/>
      <c r="S268" s="14"/>
      <c r="T268" s="14"/>
      <c r="U268" s="14"/>
      <c r="V268" s="14"/>
      <c r="W268" s="14"/>
      <c r="X268" s="22">
        <f t="shared" si="46"/>
        <v>317</v>
      </c>
      <c r="Y268" s="14"/>
      <c r="Z268" s="31">
        <f>21+10</f>
        <v>31</v>
      </c>
      <c r="AA268" s="23">
        <v>0.79166666666666663</v>
      </c>
      <c r="AB268" s="23">
        <v>0.29166666666666669</v>
      </c>
      <c r="AC268" s="23" cm="1">
        <f t="array" ref="AC268">_xlfn.IFS($AJ268="","",$AJ268&gt;=8,TIME(1,0,0),$AJ268&lt;=5,"")</f>
        <v>4.1666666666666664E-2</v>
      </c>
      <c r="AD268" s="23" t="str">
        <f t="shared" si="36"/>
        <v/>
      </c>
      <c r="AE268" s="23" cm="1">
        <f t="array" ref="AE268">_xlfn.IFS($AA268="","",AND($AJ268&lt;=12,$AJ268&gt;10),TIME(0,35,0),AND($AJ268&lt;=10,$AJ268&gt;5),TIME(0,20,0),$AJ268&gt;12,TIME(0,20,0),AND(AJ268&gt;3,$AJ268&lt;=5),TIME(0,10,0),$AJ268&lt;3,"")</f>
        <v>2.4305555555555556E-2</v>
      </c>
      <c r="AF268" s="23">
        <f t="shared" si="37"/>
        <v>6.9444444444444441E-3</v>
      </c>
      <c r="AG268" s="23"/>
      <c r="AH268" s="30"/>
      <c r="AI268" s="30"/>
      <c r="AJ268" s="24">
        <f t="shared" si="48"/>
        <v>12</v>
      </c>
      <c r="AK268" s="23">
        <f t="shared" si="49"/>
        <v>7.2916666666666671E-2</v>
      </c>
      <c r="AL268" s="25">
        <f t="shared" si="50"/>
        <v>372</v>
      </c>
      <c r="AM268" s="25">
        <f t="shared" si="51"/>
        <v>317.75</v>
      </c>
      <c r="AN268" s="16">
        <f t="shared" si="52"/>
        <v>1.1735015772870663</v>
      </c>
      <c r="AO268" s="38"/>
      <c r="AP268" s="19"/>
      <c r="AQ268" s="34"/>
      <c r="AR268" s="30"/>
    </row>
    <row r="269" spans="2:44" ht="15" customHeight="1" x14ac:dyDescent="0.3">
      <c r="B269" s="98">
        <v>46058</v>
      </c>
      <c r="C269" s="21">
        <f t="shared" si="47"/>
        <v>2</v>
      </c>
      <c r="D269" s="18" t="s">
        <v>97</v>
      </c>
      <c r="E269" s="14"/>
      <c r="F269" s="14">
        <v>107</v>
      </c>
      <c r="G269" s="14"/>
      <c r="H269" s="14"/>
      <c r="I269" s="14"/>
      <c r="J269" s="14">
        <v>26</v>
      </c>
      <c r="K269" s="14">
        <v>59</v>
      </c>
      <c r="L269" s="14"/>
      <c r="M269" s="14"/>
      <c r="N269" s="14"/>
      <c r="O269" s="14"/>
      <c r="P269" s="14"/>
      <c r="Q269" s="14">
        <v>193</v>
      </c>
      <c r="R269" s="14"/>
      <c r="S269" s="14"/>
      <c r="T269" s="14"/>
      <c r="U269" s="14"/>
      <c r="V269" s="14"/>
      <c r="W269" s="14"/>
      <c r="X269" s="22">
        <f t="shared" si="46"/>
        <v>385</v>
      </c>
      <c r="Y269" s="14"/>
      <c r="Z269" s="31">
        <f>3+2</f>
        <v>5</v>
      </c>
      <c r="AA269" s="23">
        <v>0.29166666666666669</v>
      </c>
      <c r="AB269" s="23">
        <v>0.79166666666666663</v>
      </c>
      <c r="AC269" s="23" cm="1">
        <f t="array" ref="AC269">_xlfn.IFS($AJ269="","",$AJ269&gt;=8,TIME(1,0,0),$AJ269&lt;=5,"")</f>
        <v>4.1666666666666664E-2</v>
      </c>
      <c r="AD269" s="23" t="str">
        <f t="shared" si="36"/>
        <v/>
      </c>
      <c r="AE269" s="23" cm="1">
        <f t="array" ref="AE269">_xlfn.IFS($AA269="","",AND($AJ269&lt;=12,$AJ269&gt;10),TIME(0,35,0),AND($AJ269&lt;=10,$AJ269&gt;5),TIME(0,20,0),$AJ269&gt;12,TIME(0,20,0),AND(AJ269&gt;3,$AJ269&lt;=5),TIME(0,10,0),$AJ269&lt;3,"")</f>
        <v>2.4305555555555556E-2</v>
      </c>
      <c r="AF269" s="23">
        <f t="shared" si="37"/>
        <v>6.9444444444444441E-3</v>
      </c>
      <c r="AG269" s="23"/>
      <c r="AH269" s="30"/>
      <c r="AI269" s="23">
        <v>0.41666666666666669</v>
      </c>
      <c r="AJ269" s="24">
        <f t="shared" si="48"/>
        <v>11.999999999999998</v>
      </c>
      <c r="AK269" s="23">
        <f t="shared" si="49"/>
        <v>7.2916666666666671E-2</v>
      </c>
      <c r="AL269" s="25">
        <f t="shared" si="50"/>
        <v>59.999999999999993</v>
      </c>
      <c r="AM269" s="25">
        <f t="shared" si="51"/>
        <v>51.249999999999993</v>
      </c>
      <c r="AN269" s="16">
        <f t="shared" si="52"/>
        <v>0.15584415584415581</v>
      </c>
      <c r="AO269" s="38"/>
      <c r="AP269" s="50" t="s">
        <v>360</v>
      </c>
      <c r="AQ269" s="34"/>
      <c r="AR269" s="30" t="s">
        <v>361</v>
      </c>
    </row>
    <row r="270" spans="2:44" ht="15" customHeight="1" x14ac:dyDescent="0.3">
      <c r="B270" s="98">
        <v>46058</v>
      </c>
      <c r="C270" s="21">
        <f t="shared" si="47"/>
        <v>2</v>
      </c>
      <c r="D270" s="18" t="s">
        <v>97</v>
      </c>
      <c r="E270" s="14"/>
      <c r="F270" s="14">
        <v>23</v>
      </c>
      <c r="G270" s="14"/>
      <c r="H270" s="14"/>
      <c r="I270" s="14"/>
      <c r="J270" s="14">
        <v>45</v>
      </c>
      <c r="K270" s="14">
        <v>1</v>
      </c>
      <c r="L270" s="14"/>
      <c r="M270" s="14"/>
      <c r="N270" s="14"/>
      <c r="O270" s="14"/>
      <c r="P270" s="14"/>
      <c r="Q270" s="14">
        <v>310</v>
      </c>
      <c r="R270" s="14"/>
      <c r="S270" s="14"/>
      <c r="T270" s="14"/>
      <c r="U270" s="14"/>
      <c r="V270" s="14"/>
      <c r="W270" s="14"/>
      <c r="X270" s="22">
        <f t="shared" si="46"/>
        <v>379</v>
      </c>
      <c r="Y270" s="14"/>
      <c r="Z270" s="31">
        <f>4+1</f>
        <v>5</v>
      </c>
      <c r="AA270" s="23">
        <v>0.79166666666666663</v>
      </c>
      <c r="AB270" s="23">
        <v>0.29166666666666669</v>
      </c>
      <c r="AC270" s="23" cm="1">
        <f t="array" ref="AC270">_xlfn.IFS($AJ270="","",$AJ270&gt;=8,TIME(1,0,0),$AJ270&lt;=5,"")</f>
        <v>4.1666666666666664E-2</v>
      </c>
      <c r="AD270" s="23" t="str">
        <f t="shared" si="36"/>
        <v/>
      </c>
      <c r="AE270" s="23" cm="1">
        <f t="array" ref="AE270">_xlfn.IFS($AA270="","",AND($AJ270&lt;=12,$AJ270&gt;10),TIME(0,35,0),AND($AJ270&lt;=10,$AJ270&gt;5),TIME(0,20,0),$AJ270&gt;12,TIME(0,20,0),AND(AJ270&gt;3,$AJ270&lt;=5),TIME(0,10,0),$AJ270&lt;3,"")</f>
        <v>2.4305555555555556E-2</v>
      </c>
      <c r="AF270" s="23">
        <f t="shared" si="37"/>
        <v>6.9444444444444441E-3</v>
      </c>
      <c r="AG270" s="23"/>
      <c r="AH270" s="23">
        <v>6.25E-2</v>
      </c>
      <c r="AI270" s="23">
        <v>0.29166666666666669</v>
      </c>
      <c r="AJ270" s="24">
        <f t="shared" si="48"/>
        <v>12</v>
      </c>
      <c r="AK270" s="23">
        <f t="shared" si="49"/>
        <v>7.2916666666666671E-2</v>
      </c>
      <c r="AL270" s="25">
        <f t="shared" si="50"/>
        <v>60</v>
      </c>
      <c r="AM270" s="25">
        <f t="shared" si="51"/>
        <v>51.25</v>
      </c>
      <c r="AN270" s="16">
        <f t="shared" si="52"/>
        <v>0.15831134564643801</v>
      </c>
      <c r="AO270" s="38"/>
      <c r="AP270" s="50" t="s">
        <v>362</v>
      </c>
      <c r="AQ270" s="34">
        <v>1</v>
      </c>
      <c r="AR270" s="30" t="s">
        <v>363</v>
      </c>
    </row>
    <row r="271" spans="2:44" ht="15" customHeight="1" x14ac:dyDescent="0.3">
      <c r="B271" s="98">
        <v>46058</v>
      </c>
      <c r="C271" s="21">
        <f t="shared" si="47"/>
        <v>2</v>
      </c>
      <c r="D271" s="18" t="s">
        <v>98</v>
      </c>
      <c r="E271" s="14">
        <v>1</v>
      </c>
      <c r="F271" s="14">
        <v>74</v>
      </c>
      <c r="G271" s="14"/>
      <c r="H271" s="14"/>
      <c r="I271" s="14"/>
      <c r="J271" s="14">
        <v>1</v>
      </c>
      <c r="K271" s="14">
        <v>34</v>
      </c>
      <c r="L271" s="14"/>
      <c r="M271" s="14"/>
      <c r="N271" s="14">
        <v>1</v>
      </c>
      <c r="O271" s="14"/>
      <c r="P271" s="14"/>
      <c r="Q271" s="14">
        <v>220</v>
      </c>
      <c r="R271" s="14"/>
      <c r="S271" s="14"/>
      <c r="T271" s="14"/>
      <c r="U271" s="14"/>
      <c r="V271" s="14">
        <v>1</v>
      </c>
      <c r="W271" s="14"/>
      <c r="X271" s="22">
        <f t="shared" si="46"/>
        <v>332</v>
      </c>
      <c r="Y271" s="14"/>
      <c r="Z271" s="31">
        <f>17+1+15</f>
        <v>33</v>
      </c>
      <c r="AA271" s="23">
        <v>0.29166666666666669</v>
      </c>
      <c r="AB271" s="23">
        <v>0.79166666666666663</v>
      </c>
      <c r="AC271" s="23" cm="1">
        <f t="array" ref="AC271">_xlfn.IFS($AJ271="","",$AJ271&gt;=8,TIME(1,0,0),$AJ271&lt;=5,"")</f>
        <v>4.1666666666666664E-2</v>
      </c>
      <c r="AD271" s="23" t="str">
        <f t="shared" si="36"/>
        <v/>
      </c>
      <c r="AE271" s="23" cm="1">
        <f t="array" ref="AE271">_xlfn.IFS($AA271="","",AND($AJ271&lt;=12,$AJ271&gt;10),TIME(0,35,0),AND($AJ271&lt;=10,$AJ271&gt;5),TIME(0,20,0),$AJ271&gt;12,TIME(0,20,0),AND(AJ271&gt;3,$AJ271&lt;=5),TIME(0,10,0),$AJ271&lt;3,"")</f>
        <v>2.4305555555555556E-2</v>
      </c>
      <c r="AF271" s="23">
        <f t="shared" si="37"/>
        <v>6.9444444444444441E-3</v>
      </c>
      <c r="AG271" s="23">
        <v>0.1111111111111111</v>
      </c>
      <c r="AH271" s="30"/>
      <c r="AI271" s="23">
        <v>0.125</v>
      </c>
      <c r="AJ271" s="24">
        <f t="shared" si="48"/>
        <v>11.999999999999998</v>
      </c>
      <c r="AK271" s="23">
        <f t="shared" si="49"/>
        <v>7.2916666666666671E-2</v>
      </c>
      <c r="AL271" s="25">
        <f t="shared" si="50"/>
        <v>395.99999999999994</v>
      </c>
      <c r="AM271" s="25">
        <f t="shared" si="51"/>
        <v>250.24999999999994</v>
      </c>
      <c r="AN271" s="16">
        <f t="shared" si="52"/>
        <v>1.1927710843373491</v>
      </c>
      <c r="AO271" s="38"/>
      <c r="AP271" s="19"/>
      <c r="AQ271" s="34"/>
      <c r="AR271" s="30" t="s">
        <v>364</v>
      </c>
    </row>
    <row r="272" spans="2:44" ht="15" customHeight="1" x14ac:dyDescent="0.3">
      <c r="B272" s="98">
        <v>46058</v>
      </c>
      <c r="C272" s="21">
        <f t="shared" si="47"/>
        <v>2</v>
      </c>
      <c r="D272" s="18" t="s">
        <v>98</v>
      </c>
      <c r="E272" s="14">
        <v>3</v>
      </c>
      <c r="F272" s="14">
        <v>51</v>
      </c>
      <c r="G272" s="14"/>
      <c r="H272" s="14"/>
      <c r="I272" s="14"/>
      <c r="J272" s="14">
        <v>61</v>
      </c>
      <c r="K272" s="14">
        <v>26</v>
      </c>
      <c r="L272" s="14"/>
      <c r="M272" s="14"/>
      <c r="N272" s="14"/>
      <c r="O272" s="14"/>
      <c r="P272" s="14"/>
      <c r="Q272" s="14">
        <f>309+3</f>
        <v>312</v>
      </c>
      <c r="R272" s="14"/>
      <c r="S272" s="14"/>
      <c r="T272" s="14"/>
      <c r="U272" s="14"/>
      <c r="V272" s="14"/>
      <c r="W272" s="14"/>
      <c r="X272" s="22">
        <f t="shared" si="46"/>
        <v>453</v>
      </c>
      <c r="Y272" s="14"/>
      <c r="Z272" s="31">
        <f>18+3+13</f>
        <v>34</v>
      </c>
      <c r="AA272" s="23">
        <v>0.79166666666666663</v>
      </c>
      <c r="AB272" s="23">
        <v>0.29166666666666669</v>
      </c>
      <c r="AC272" s="23" cm="1">
        <f t="array" ref="AC272">_xlfn.IFS($AJ272="","",$AJ272&gt;=8,TIME(1,0,0),$AJ272&lt;=5,"")</f>
        <v>4.1666666666666664E-2</v>
      </c>
      <c r="AD272" s="23" t="str">
        <f t="shared" si="36"/>
        <v/>
      </c>
      <c r="AE272" s="23" cm="1">
        <f t="array" ref="AE272">_xlfn.IFS($AA272="","",AND($AJ272&lt;=12,$AJ272&gt;10),TIME(0,35,0),AND($AJ272&lt;=10,$AJ272&gt;5),TIME(0,20,0),$AJ272&gt;12,TIME(0,20,0),AND(AJ272&gt;3,$AJ272&lt;=5),TIME(0,10,0),$AJ272&lt;3,"")</f>
        <v>2.4305555555555556E-2</v>
      </c>
      <c r="AF272" s="23">
        <f t="shared" si="37"/>
        <v>6.9444444444444441E-3</v>
      </c>
      <c r="AG272" s="23"/>
      <c r="AH272" s="30"/>
      <c r="AI272" s="30"/>
      <c r="AJ272" s="24">
        <f t="shared" si="48"/>
        <v>12</v>
      </c>
      <c r="AK272" s="23">
        <f t="shared" si="49"/>
        <v>7.2916666666666671E-2</v>
      </c>
      <c r="AL272" s="25">
        <f t="shared" si="50"/>
        <v>408</v>
      </c>
      <c r="AM272" s="25">
        <f t="shared" si="51"/>
        <v>348.5</v>
      </c>
      <c r="AN272" s="16">
        <f t="shared" si="52"/>
        <v>0.90066225165562919</v>
      </c>
      <c r="AO272" s="38"/>
      <c r="AP272" s="19"/>
      <c r="AQ272" s="34"/>
      <c r="AR272" s="30"/>
    </row>
    <row r="273" spans="2:44" ht="15" customHeight="1" x14ac:dyDescent="0.3">
      <c r="B273" s="98">
        <v>46058</v>
      </c>
      <c r="C273" s="21">
        <f t="shared" si="47"/>
        <v>2</v>
      </c>
      <c r="D273" s="18" t="s">
        <v>99</v>
      </c>
      <c r="E273" s="14">
        <v>26</v>
      </c>
      <c r="F273" s="14">
        <v>48</v>
      </c>
      <c r="G273" s="14"/>
      <c r="H273" s="14"/>
      <c r="I273" s="14"/>
      <c r="J273" s="14">
        <v>23</v>
      </c>
      <c r="K273" s="14">
        <v>15</v>
      </c>
      <c r="L273" s="14">
        <v>4</v>
      </c>
      <c r="M273" s="14">
        <v>5</v>
      </c>
      <c r="N273" s="14"/>
      <c r="O273" s="14">
        <v>2</v>
      </c>
      <c r="P273" s="14"/>
      <c r="Q273" s="14">
        <f>179+39+6+22+1</f>
        <v>247</v>
      </c>
      <c r="R273" s="14"/>
      <c r="S273" s="14"/>
      <c r="T273" s="14"/>
      <c r="U273" s="14">
        <v>1</v>
      </c>
      <c r="V273" s="14">
        <v>1</v>
      </c>
      <c r="W273" s="14"/>
      <c r="X273" s="22">
        <f t="shared" si="46"/>
        <v>372</v>
      </c>
      <c r="Y273" s="14"/>
      <c r="Z273" s="31">
        <f>28+5</f>
        <v>33</v>
      </c>
      <c r="AA273" s="23">
        <v>0.29166666666666669</v>
      </c>
      <c r="AB273" s="23">
        <v>0.79166666666666663</v>
      </c>
      <c r="AC273" s="23" cm="1">
        <f t="array" ref="AC273">_xlfn.IFS($AJ273="","",$AJ273&gt;=8,TIME(1,0,0),$AJ273&lt;=5,"")</f>
        <v>4.1666666666666664E-2</v>
      </c>
      <c r="AD273" s="23" t="str">
        <f t="shared" si="36"/>
        <v/>
      </c>
      <c r="AE273" s="23" cm="1">
        <f t="array" ref="AE273">_xlfn.IFS($AA273="","",AND($AJ273&lt;=12,$AJ273&gt;10),TIME(0,35,0),AND($AJ273&lt;=10,$AJ273&gt;5),TIME(0,20,0),$AJ273&gt;12,TIME(0,20,0),AND(AJ273&gt;3,$AJ273&lt;=5),TIME(0,10,0),$AJ273&lt;3,"")</f>
        <v>2.4305555555555556E-2</v>
      </c>
      <c r="AF273" s="23">
        <f t="shared" si="37"/>
        <v>6.9444444444444441E-3</v>
      </c>
      <c r="AG273" s="23"/>
      <c r="AH273" s="30"/>
      <c r="AI273" s="30"/>
      <c r="AJ273" s="24">
        <f t="shared" si="48"/>
        <v>11.999999999999998</v>
      </c>
      <c r="AK273" s="23">
        <f t="shared" si="49"/>
        <v>7.2916666666666671E-2</v>
      </c>
      <c r="AL273" s="25">
        <f t="shared" si="50"/>
        <v>395.99999999999994</v>
      </c>
      <c r="AM273" s="25">
        <f t="shared" si="51"/>
        <v>338.24999999999994</v>
      </c>
      <c r="AN273" s="16">
        <f t="shared" si="52"/>
        <v>1.064516129032258</v>
      </c>
      <c r="AO273" s="38"/>
      <c r="AP273" s="19"/>
      <c r="AQ273" s="34"/>
      <c r="AR273" s="30"/>
    </row>
    <row r="274" spans="2:44" ht="15" customHeight="1" x14ac:dyDescent="0.3">
      <c r="B274" s="98">
        <v>46058</v>
      </c>
      <c r="C274" s="21">
        <f t="shared" si="47"/>
        <v>2</v>
      </c>
      <c r="D274" s="18" t="s">
        <v>99</v>
      </c>
      <c r="E274" s="14">
        <v>3</v>
      </c>
      <c r="F274" s="14">
        <v>120</v>
      </c>
      <c r="G274" s="14"/>
      <c r="H274" s="14"/>
      <c r="I274" s="14"/>
      <c r="J274" s="14">
        <v>47</v>
      </c>
      <c r="K274" s="14">
        <v>60</v>
      </c>
      <c r="L274" s="14"/>
      <c r="M274" s="14">
        <v>7</v>
      </c>
      <c r="N274" s="14"/>
      <c r="O274" s="14"/>
      <c r="P274" s="14"/>
      <c r="Q274" s="14">
        <f>75+157+76</f>
        <v>308</v>
      </c>
      <c r="R274" s="14"/>
      <c r="S274" s="14"/>
      <c r="T274" s="14"/>
      <c r="U274" s="14"/>
      <c r="V274" s="14"/>
      <c r="W274" s="14"/>
      <c r="X274" s="22">
        <f t="shared" si="46"/>
        <v>545</v>
      </c>
      <c r="Y274" s="14"/>
      <c r="Z274" s="31">
        <f>17+3+14</f>
        <v>34</v>
      </c>
      <c r="AA274" s="23">
        <v>0.79166666666666663</v>
      </c>
      <c r="AB274" s="23">
        <v>0.29166666666666669</v>
      </c>
      <c r="AC274" s="23" cm="1">
        <f t="array" ref="AC274">_xlfn.IFS($AJ274="","",$AJ274&gt;=8,TIME(1,0,0),$AJ274&lt;=5,"")</f>
        <v>4.1666666666666664E-2</v>
      </c>
      <c r="AD274" s="23" t="str">
        <f t="shared" si="36"/>
        <v/>
      </c>
      <c r="AE274" s="23" cm="1">
        <f t="array" ref="AE274">_xlfn.IFS($AA274="","",AND($AJ274&lt;=12,$AJ274&gt;10),TIME(0,35,0),AND($AJ274&lt;=10,$AJ274&gt;5),TIME(0,20,0),$AJ274&gt;12,TIME(0,20,0),AND(AJ274&gt;3,$AJ274&lt;=5),TIME(0,10,0),$AJ274&lt;3,"")</f>
        <v>2.4305555555555556E-2</v>
      </c>
      <c r="AF274" s="23">
        <f t="shared" si="37"/>
        <v>6.9444444444444441E-3</v>
      </c>
      <c r="AG274" s="23">
        <v>6.25E-2</v>
      </c>
      <c r="AH274" s="30"/>
      <c r="AI274" s="23"/>
      <c r="AJ274" s="24">
        <f t="shared" si="48"/>
        <v>12</v>
      </c>
      <c r="AK274" s="23">
        <f t="shared" si="49"/>
        <v>7.2916666666666671E-2</v>
      </c>
      <c r="AL274" s="25">
        <f t="shared" si="50"/>
        <v>408</v>
      </c>
      <c r="AM274" s="25">
        <f t="shared" si="51"/>
        <v>297.5</v>
      </c>
      <c r="AN274" s="16">
        <f t="shared" si="52"/>
        <v>0.74862385321100922</v>
      </c>
      <c r="AO274" s="16">
        <f>IF(COUNTIF(B267:B274,B267)=8,1/SUM(AN267:AN274),"")</f>
        <v>0.15807789663671501</v>
      </c>
      <c r="AP274" s="19"/>
      <c r="AQ274" s="34"/>
      <c r="AR274" s="30" t="s">
        <v>365</v>
      </c>
    </row>
    <row r="275" spans="2:44" ht="15" customHeight="1" x14ac:dyDescent="0.3">
      <c r="AA275" s="32"/>
      <c r="AB275" s="32"/>
      <c r="AC275" s="32"/>
      <c r="AD275" s="32"/>
      <c r="AE275" s="32"/>
      <c r="AF275" s="32"/>
      <c r="AG275" s="32"/>
      <c r="AH275" s="32"/>
      <c r="AI275" s="32"/>
      <c r="AJ275" s="32"/>
      <c r="AK275" s="32"/>
      <c r="AL275" s="32"/>
      <c r="AM275" s="32"/>
      <c r="AN275" s="32"/>
      <c r="AO275" s="32"/>
      <c r="AP275" s="32"/>
    </row>
    <row r="276" spans="2:44" ht="15" customHeight="1" x14ac:dyDescent="0.3">
      <c r="AA276" s="32"/>
      <c r="AB276" s="32"/>
      <c r="AC276" s="32"/>
      <c r="AD276" s="32"/>
      <c r="AE276" s="32"/>
      <c r="AF276" s="32"/>
      <c r="AG276" s="32"/>
      <c r="AH276" s="32"/>
      <c r="AI276" s="32"/>
      <c r="AJ276" s="32"/>
      <c r="AK276" s="32"/>
      <c r="AL276" s="32"/>
      <c r="AM276" s="32"/>
      <c r="AN276" s="32"/>
      <c r="AO276" s="32"/>
      <c r="AP276" s="32"/>
    </row>
    <row r="277" spans="2:44" ht="15" customHeight="1" x14ac:dyDescent="0.3">
      <c r="AA277" s="32"/>
      <c r="AB277" s="32"/>
      <c r="AC277" s="32"/>
      <c r="AD277" s="32"/>
      <c r="AE277" s="32"/>
      <c r="AF277" s="32"/>
      <c r="AG277" s="32"/>
      <c r="AH277" s="32"/>
      <c r="AI277" s="32"/>
      <c r="AJ277" s="32"/>
      <c r="AK277" s="32"/>
      <c r="AL277" s="32"/>
      <c r="AM277" s="32"/>
      <c r="AN277" s="32"/>
      <c r="AO277" s="32"/>
      <c r="AP277" s="32"/>
    </row>
    <row r="278" spans="2:44" ht="15" customHeight="1" x14ac:dyDescent="0.3">
      <c r="AA278" s="32"/>
      <c r="AB278" s="32"/>
      <c r="AC278" s="32"/>
      <c r="AD278" s="32"/>
      <c r="AE278" s="32"/>
      <c r="AF278" s="32"/>
      <c r="AG278" s="32"/>
      <c r="AH278" s="32"/>
      <c r="AI278" s="32"/>
      <c r="AJ278" s="32"/>
      <c r="AK278" s="32"/>
      <c r="AL278" s="32"/>
      <c r="AM278" s="32"/>
      <c r="AN278" s="32"/>
      <c r="AO278" s="32"/>
      <c r="AP278" s="32"/>
    </row>
    <row r="279" spans="2:44" ht="15" customHeight="1" x14ac:dyDescent="0.3">
      <c r="AA279" s="32"/>
      <c r="AB279" s="32"/>
      <c r="AC279" s="32"/>
      <c r="AD279" s="32"/>
      <c r="AE279" s="32"/>
      <c r="AF279" s="32"/>
      <c r="AG279" s="32"/>
      <c r="AH279" s="32"/>
      <c r="AI279" s="32"/>
      <c r="AJ279" s="32"/>
      <c r="AK279" s="32"/>
      <c r="AL279" s="32"/>
      <c r="AM279" s="32"/>
      <c r="AN279" s="32"/>
      <c r="AO279" s="32"/>
      <c r="AP279" s="32"/>
    </row>
    <row r="280" spans="2:44" ht="15" customHeight="1" x14ac:dyDescent="0.3">
      <c r="AA280" s="32"/>
      <c r="AB280" s="32"/>
      <c r="AC280" s="32"/>
      <c r="AD280" s="32"/>
      <c r="AE280" s="32"/>
      <c r="AF280" s="32"/>
      <c r="AG280" s="32"/>
      <c r="AH280" s="32"/>
      <c r="AI280" s="32"/>
      <c r="AJ280" s="32"/>
      <c r="AK280" s="32"/>
      <c r="AL280" s="32"/>
      <c r="AM280" s="32"/>
      <c r="AN280" s="32"/>
      <c r="AO280" s="32"/>
      <c r="AP280" s="32"/>
    </row>
    <row r="281" spans="2:44" ht="15" customHeight="1" x14ac:dyDescent="0.3">
      <c r="AA281" s="32"/>
      <c r="AB281" s="32"/>
      <c r="AC281" s="32"/>
      <c r="AD281" s="32"/>
      <c r="AE281" s="32"/>
      <c r="AF281" s="32"/>
      <c r="AG281" s="32"/>
      <c r="AH281" s="32"/>
      <c r="AI281" s="32"/>
      <c r="AJ281" s="32"/>
      <c r="AK281" s="32"/>
      <c r="AL281" s="32"/>
      <c r="AM281" s="32"/>
      <c r="AN281" s="32"/>
      <c r="AO281" s="32"/>
      <c r="AP281" s="32"/>
    </row>
    <row r="282" spans="2:44" ht="15" customHeight="1" x14ac:dyDescent="0.3">
      <c r="AA282" s="32"/>
      <c r="AB282" s="32"/>
      <c r="AC282" s="32"/>
      <c r="AD282" s="32"/>
      <c r="AE282" s="32"/>
      <c r="AF282" s="32"/>
      <c r="AG282" s="32"/>
      <c r="AH282" s="32"/>
      <c r="AI282" s="32"/>
      <c r="AJ282" s="32"/>
      <c r="AK282" s="32"/>
      <c r="AL282" s="32"/>
      <c r="AM282" s="32"/>
      <c r="AN282" s="32"/>
      <c r="AO282" s="32"/>
      <c r="AP282" s="32"/>
    </row>
  </sheetData>
  <sheetProtection autoFilter="0"/>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E574-D390-4EF9-B448-DF0E26303639}">
  <dimension ref="A1:T308"/>
  <sheetViews>
    <sheetView workbookViewId="0"/>
  </sheetViews>
  <sheetFormatPr defaultRowHeight="14.4" x14ac:dyDescent="0.3"/>
  <cols>
    <col min="1" max="1" width="9.5546875" bestFit="1" customWidth="1"/>
    <col min="2" max="2" width="7.44140625" bestFit="1" customWidth="1"/>
    <col min="3" max="3" width="12.88671875" bestFit="1" customWidth="1"/>
    <col min="4" max="4" width="19.77734375" bestFit="1" customWidth="1"/>
    <col min="5" max="5" width="18.109375" bestFit="1" customWidth="1"/>
    <col min="6" max="6" width="17.5546875" bestFit="1" customWidth="1"/>
    <col min="7" max="7" width="28.88671875" bestFit="1" customWidth="1"/>
    <col min="8" max="8" width="23.109375" bestFit="1" customWidth="1"/>
    <col min="9" max="9" width="28.109375" bestFit="1" customWidth="1"/>
    <col min="10" max="10" width="16.5546875" bestFit="1" customWidth="1"/>
    <col min="11" max="11" width="17.33203125" bestFit="1" customWidth="1"/>
    <col min="12" max="12" width="18.5546875" bestFit="1" customWidth="1"/>
    <col min="13" max="13" width="16.88671875" bestFit="1" customWidth="1"/>
    <col min="14" max="14" width="14.6640625" bestFit="1" customWidth="1"/>
    <col min="15" max="15" width="12" bestFit="1" customWidth="1"/>
    <col min="16" max="16" width="23.33203125" bestFit="1" customWidth="1"/>
    <col min="17" max="17" width="28.33203125" bestFit="1" customWidth="1"/>
    <col min="18" max="19" width="28.77734375" bestFit="1" customWidth="1"/>
    <col min="20" max="20" width="12" bestFit="1" customWidth="1"/>
  </cols>
  <sheetData>
    <row r="1" spans="1:20" x14ac:dyDescent="0.3">
      <c r="A1" t="s">
        <v>1</v>
      </c>
      <c r="B1" t="s">
        <v>3</v>
      </c>
      <c r="C1" t="s">
        <v>400</v>
      </c>
      <c r="D1" t="s">
        <v>403</v>
      </c>
      <c r="E1" t="s">
        <v>404</v>
      </c>
      <c r="F1" t="s">
        <v>405</v>
      </c>
      <c r="G1" t="s">
        <v>406</v>
      </c>
      <c r="H1" t="s">
        <v>407</v>
      </c>
      <c r="I1" t="s">
        <v>408</v>
      </c>
      <c r="J1" t="s">
        <v>409</v>
      </c>
      <c r="K1" t="s">
        <v>410</v>
      </c>
      <c r="L1" t="s">
        <v>411</v>
      </c>
      <c r="M1" t="s">
        <v>414</v>
      </c>
      <c r="N1" t="s">
        <v>415</v>
      </c>
      <c r="O1" t="s">
        <v>384</v>
      </c>
      <c r="P1" t="s">
        <v>412</v>
      </c>
      <c r="Q1" t="s">
        <v>387</v>
      </c>
      <c r="R1" t="s">
        <v>389</v>
      </c>
      <c r="S1" t="s">
        <v>413</v>
      </c>
      <c r="T1" t="s">
        <v>24</v>
      </c>
    </row>
    <row r="2" spans="1:20" x14ac:dyDescent="0.3">
      <c r="A2" s="99">
        <v>46023</v>
      </c>
      <c r="B2" t="s">
        <v>392</v>
      </c>
      <c r="C2" t="s">
        <v>401</v>
      </c>
      <c r="D2" s="100"/>
      <c r="E2" s="100">
        <v>8.3333333333333329E-2</v>
      </c>
      <c r="F2" s="100"/>
      <c r="G2">
        <v>95</v>
      </c>
      <c r="H2">
        <v>1531</v>
      </c>
      <c r="I2" s="100">
        <v>0.14583333333333334</v>
      </c>
      <c r="J2" s="101">
        <v>46023.291666666664</v>
      </c>
      <c r="K2" s="101">
        <v>46024.291666666664</v>
      </c>
      <c r="L2">
        <v>24</v>
      </c>
      <c r="M2">
        <v>3.5</v>
      </c>
      <c r="O2">
        <v>20.5</v>
      </c>
      <c r="P2">
        <v>1947.5</v>
      </c>
      <c r="Q2">
        <v>2280</v>
      </c>
      <c r="R2">
        <v>1.2720444154147617</v>
      </c>
      <c r="S2">
        <v>1.4892227302416721</v>
      </c>
      <c r="T2">
        <v>0.67149122807017547</v>
      </c>
    </row>
    <row r="3" spans="1:20" x14ac:dyDescent="0.3">
      <c r="A3" s="99">
        <v>46024</v>
      </c>
      <c r="B3" t="s">
        <v>392</v>
      </c>
      <c r="C3" t="s">
        <v>401</v>
      </c>
      <c r="D3" s="100">
        <v>1.3888888888888888E-2</v>
      </c>
      <c r="E3" s="100">
        <v>0.10416666666666667</v>
      </c>
      <c r="F3" s="100">
        <v>3.125E-2</v>
      </c>
      <c r="G3">
        <v>93</v>
      </c>
      <c r="H3">
        <v>1403</v>
      </c>
      <c r="I3" s="100">
        <v>0.14583333333333334</v>
      </c>
      <c r="J3" s="101">
        <v>46024.291666666664</v>
      </c>
      <c r="K3" s="101">
        <v>46025.291666666664</v>
      </c>
      <c r="L3">
        <v>24</v>
      </c>
      <c r="M3">
        <v>3.5</v>
      </c>
      <c r="N3">
        <v>0.33333333333333331</v>
      </c>
      <c r="O3">
        <v>20.166666666666668</v>
      </c>
      <c r="P3">
        <v>1875.5</v>
      </c>
      <c r="Q3">
        <v>2232</v>
      </c>
      <c r="R3">
        <v>1.3367783321454028</v>
      </c>
      <c r="S3">
        <v>1.5908766928011404</v>
      </c>
      <c r="T3">
        <v>0.62858422939068104</v>
      </c>
    </row>
    <row r="4" spans="1:20" x14ac:dyDescent="0.3">
      <c r="A4" s="99">
        <v>46025</v>
      </c>
      <c r="B4" t="s">
        <v>392</v>
      </c>
      <c r="C4" t="s">
        <v>401</v>
      </c>
      <c r="D4" s="100"/>
      <c r="E4" s="100">
        <v>0.44791666666666669</v>
      </c>
      <c r="F4" s="100">
        <v>6.25E-2</v>
      </c>
      <c r="G4">
        <v>81</v>
      </c>
      <c r="H4">
        <v>1721</v>
      </c>
      <c r="I4" s="100">
        <v>0.14583333333333334</v>
      </c>
      <c r="J4" s="101">
        <v>46025.291666666664</v>
      </c>
      <c r="K4" s="101">
        <v>46026.291666666664</v>
      </c>
      <c r="L4">
        <v>24</v>
      </c>
      <c r="M4">
        <v>3.5</v>
      </c>
      <c r="O4">
        <v>20.5</v>
      </c>
      <c r="P4">
        <v>1660.5</v>
      </c>
      <c r="Q4">
        <v>1944</v>
      </c>
      <c r="R4">
        <v>0.96484601975595585</v>
      </c>
      <c r="S4">
        <v>1.1295758280069728</v>
      </c>
      <c r="T4">
        <v>0.8852880658436213</v>
      </c>
    </row>
    <row r="5" spans="1:20" x14ac:dyDescent="0.3">
      <c r="A5" s="99">
        <v>46026</v>
      </c>
      <c r="B5" t="s">
        <v>392</v>
      </c>
      <c r="C5" t="s">
        <v>401</v>
      </c>
      <c r="D5" s="100">
        <v>5.5555555555555552E-2</v>
      </c>
      <c r="E5" s="100">
        <v>3.4722222222222224E-2</v>
      </c>
      <c r="F5" s="100"/>
      <c r="G5">
        <v>73</v>
      </c>
      <c r="H5">
        <v>1167</v>
      </c>
      <c r="I5" s="100">
        <v>0.14583333333333334</v>
      </c>
      <c r="J5" s="101">
        <v>46026.291666666664</v>
      </c>
      <c r="K5" s="101">
        <v>46027.291666666664</v>
      </c>
      <c r="L5">
        <v>24</v>
      </c>
      <c r="M5">
        <v>3.5</v>
      </c>
      <c r="N5">
        <v>1.3333333333333333</v>
      </c>
      <c r="O5">
        <v>19.166666666666668</v>
      </c>
      <c r="P5">
        <v>1399.1666666666667</v>
      </c>
      <c r="Q5">
        <v>1752</v>
      </c>
      <c r="R5">
        <v>1.1989431590974009</v>
      </c>
      <c r="S5">
        <v>1.5012853470437018</v>
      </c>
      <c r="T5">
        <v>0.66609589041095896</v>
      </c>
    </row>
    <row r="6" spans="1:20" x14ac:dyDescent="0.3">
      <c r="A6" s="99">
        <v>46027</v>
      </c>
      <c r="B6" t="s">
        <v>392</v>
      </c>
      <c r="C6" t="s">
        <v>401</v>
      </c>
      <c r="D6" s="100"/>
      <c r="E6" s="100"/>
      <c r="F6" s="100"/>
      <c r="G6">
        <v>84</v>
      </c>
      <c r="H6">
        <v>1425</v>
      </c>
      <c r="I6" s="100">
        <v>0.14583333333333334</v>
      </c>
      <c r="J6" s="101">
        <v>46027.291666666664</v>
      </c>
      <c r="K6" s="101">
        <v>46028.291666666664</v>
      </c>
      <c r="L6">
        <v>24</v>
      </c>
      <c r="M6">
        <v>3.5</v>
      </c>
      <c r="O6">
        <v>20.5</v>
      </c>
      <c r="P6">
        <v>1722</v>
      </c>
      <c r="Q6">
        <v>2016</v>
      </c>
      <c r="R6">
        <v>1.2084210526315788</v>
      </c>
      <c r="S6">
        <v>1.4147368421052631</v>
      </c>
      <c r="T6">
        <v>0.70684523809523814</v>
      </c>
    </row>
    <row r="7" spans="1:20" x14ac:dyDescent="0.3">
      <c r="A7" s="99">
        <v>46028</v>
      </c>
      <c r="B7" t="s">
        <v>392</v>
      </c>
      <c r="C7" t="s">
        <v>401</v>
      </c>
      <c r="D7" s="100"/>
      <c r="E7" s="100">
        <v>0.2638888888888889</v>
      </c>
      <c r="F7" s="100">
        <v>9.0277777777777776E-2</v>
      </c>
      <c r="G7">
        <v>88</v>
      </c>
      <c r="H7">
        <v>1387</v>
      </c>
      <c r="I7" s="100">
        <v>0.14583333333333334</v>
      </c>
      <c r="J7" s="101">
        <v>46028.291666666664</v>
      </c>
      <c r="K7" s="101">
        <v>46029.291666666664</v>
      </c>
      <c r="L7">
        <v>24</v>
      </c>
      <c r="M7">
        <v>3.5</v>
      </c>
      <c r="O7">
        <v>20.5</v>
      </c>
      <c r="P7">
        <v>1804</v>
      </c>
      <c r="Q7">
        <v>2112</v>
      </c>
      <c r="R7">
        <v>1.300648882480173</v>
      </c>
      <c r="S7">
        <v>1.5227108868060562</v>
      </c>
      <c r="T7">
        <v>0.65672348484848486</v>
      </c>
    </row>
    <row r="8" spans="1:20" x14ac:dyDescent="0.3">
      <c r="A8" s="99">
        <v>46029</v>
      </c>
      <c r="B8" t="s">
        <v>392</v>
      </c>
      <c r="C8" t="s">
        <v>401</v>
      </c>
      <c r="D8" s="100">
        <v>3.4722222222222224E-2</v>
      </c>
      <c r="E8" s="100">
        <v>0.10416666666666667</v>
      </c>
      <c r="F8" s="100"/>
      <c r="G8">
        <v>90</v>
      </c>
      <c r="H8">
        <v>1475</v>
      </c>
      <c r="I8" s="100">
        <v>0.14583333333333334</v>
      </c>
      <c r="J8" s="101">
        <v>46029.291666666664</v>
      </c>
      <c r="K8" s="101">
        <v>46030.291666666664</v>
      </c>
      <c r="L8">
        <v>24</v>
      </c>
      <c r="M8">
        <v>3.5</v>
      </c>
      <c r="N8">
        <v>0.83333333333333326</v>
      </c>
      <c r="O8">
        <v>19.666666666666668</v>
      </c>
      <c r="P8">
        <v>1770</v>
      </c>
      <c r="Q8">
        <v>2160</v>
      </c>
      <c r="R8">
        <v>1.2</v>
      </c>
      <c r="S8">
        <v>1.464406779661017</v>
      </c>
      <c r="T8">
        <v>0.68287037037037035</v>
      </c>
    </row>
    <row r="9" spans="1:20" x14ac:dyDescent="0.3">
      <c r="A9" s="99">
        <v>46030</v>
      </c>
      <c r="B9" t="s">
        <v>392</v>
      </c>
      <c r="C9" t="s">
        <v>401</v>
      </c>
      <c r="D9" s="100">
        <v>1.3888888888888888E-2</v>
      </c>
      <c r="E9" s="100">
        <v>8.3333333333333329E-2</v>
      </c>
      <c r="F9" s="100"/>
      <c r="G9">
        <v>90</v>
      </c>
      <c r="H9">
        <v>1476</v>
      </c>
      <c r="I9" s="100">
        <v>0.14583333333333334</v>
      </c>
      <c r="J9" s="101">
        <v>46030.291666666664</v>
      </c>
      <c r="K9" s="101">
        <v>46031.291666666664</v>
      </c>
      <c r="L9">
        <v>24</v>
      </c>
      <c r="M9">
        <v>3.5</v>
      </c>
      <c r="N9">
        <v>0.33333333333333331</v>
      </c>
      <c r="O9">
        <v>20.166666666666668</v>
      </c>
      <c r="P9">
        <v>1815</v>
      </c>
      <c r="Q9">
        <v>2160</v>
      </c>
      <c r="R9">
        <v>1.2296747967479675</v>
      </c>
      <c r="S9">
        <v>1.4634146341463414</v>
      </c>
      <c r="T9">
        <v>0.68333333333333335</v>
      </c>
    </row>
    <row r="10" spans="1:20" x14ac:dyDescent="0.3">
      <c r="A10" s="99">
        <v>46031</v>
      </c>
      <c r="B10" t="s">
        <v>392</v>
      </c>
      <c r="C10" t="s">
        <v>401</v>
      </c>
      <c r="D10" s="100"/>
      <c r="E10" s="100">
        <v>0.11805555555555555</v>
      </c>
      <c r="F10" s="100">
        <v>2.0833333333333332E-2</v>
      </c>
      <c r="G10">
        <v>80</v>
      </c>
      <c r="H10">
        <v>990</v>
      </c>
      <c r="I10" s="100">
        <v>0.14583333333333334</v>
      </c>
      <c r="J10" s="101">
        <v>46031.291666666664</v>
      </c>
      <c r="K10" s="101">
        <v>46032.291666666664</v>
      </c>
      <c r="L10">
        <v>24</v>
      </c>
      <c r="M10">
        <v>3.5</v>
      </c>
      <c r="O10">
        <v>20.5</v>
      </c>
      <c r="P10">
        <v>1640</v>
      </c>
      <c r="Q10">
        <v>1920</v>
      </c>
      <c r="R10">
        <v>1.6565656565656566</v>
      </c>
      <c r="S10">
        <v>1.9393939393939394</v>
      </c>
      <c r="T10">
        <v>0.515625</v>
      </c>
    </row>
    <row r="11" spans="1:20" x14ac:dyDescent="0.3">
      <c r="A11" s="99">
        <v>46032</v>
      </c>
      <c r="B11" t="s">
        <v>392</v>
      </c>
      <c r="C11" t="s">
        <v>401</v>
      </c>
      <c r="D11" s="100"/>
      <c r="E11" s="100">
        <v>0.41666666666666669</v>
      </c>
      <c r="F11" s="100">
        <v>4.1666666666666664E-2</v>
      </c>
      <c r="G11">
        <v>86</v>
      </c>
      <c r="H11">
        <v>1266</v>
      </c>
      <c r="I11" s="100">
        <v>0.14583333333333334</v>
      </c>
      <c r="J11" s="101">
        <v>46032.291666666664</v>
      </c>
      <c r="K11" s="101">
        <v>46033.291666666664</v>
      </c>
      <c r="L11">
        <v>24</v>
      </c>
      <c r="M11">
        <v>3.5</v>
      </c>
      <c r="O11">
        <v>20.5</v>
      </c>
      <c r="P11">
        <v>1763</v>
      </c>
      <c r="Q11">
        <v>2064</v>
      </c>
      <c r="R11">
        <v>1.3925750394944707</v>
      </c>
      <c r="S11">
        <v>1.6303317535545023</v>
      </c>
      <c r="T11">
        <v>0.61337209302325579</v>
      </c>
    </row>
    <row r="12" spans="1:20" x14ac:dyDescent="0.3">
      <c r="A12" s="99">
        <v>46033</v>
      </c>
      <c r="B12" t="s">
        <v>392</v>
      </c>
      <c r="C12" t="s">
        <v>401</v>
      </c>
      <c r="D12" s="100"/>
      <c r="E12" s="100"/>
      <c r="F12" s="100"/>
      <c r="G12">
        <v>67</v>
      </c>
      <c r="H12">
        <v>914</v>
      </c>
      <c r="I12" s="100">
        <v>0.14583333333333334</v>
      </c>
      <c r="J12" s="101">
        <v>46033.291666666664</v>
      </c>
      <c r="K12" s="101">
        <v>46034.291666666664</v>
      </c>
      <c r="L12">
        <v>24</v>
      </c>
      <c r="M12">
        <v>3.5</v>
      </c>
      <c r="O12">
        <v>20.5</v>
      </c>
      <c r="P12">
        <v>1373.5</v>
      </c>
      <c r="Q12">
        <v>1608</v>
      </c>
      <c r="R12">
        <v>1.5027352297592997</v>
      </c>
      <c r="S12">
        <v>1.7592997811816193</v>
      </c>
      <c r="T12">
        <v>0.56840796019900497</v>
      </c>
    </row>
    <row r="13" spans="1:20" x14ac:dyDescent="0.3">
      <c r="A13" s="99">
        <v>46034</v>
      </c>
      <c r="B13" t="s">
        <v>392</v>
      </c>
      <c r="C13" t="s">
        <v>401</v>
      </c>
      <c r="D13" s="100"/>
      <c r="E13" s="100">
        <v>0.20833333333333334</v>
      </c>
      <c r="F13" s="100">
        <v>2.0833333333333332E-2</v>
      </c>
      <c r="G13">
        <v>82</v>
      </c>
      <c r="H13">
        <v>1320</v>
      </c>
      <c r="I13" s="100">
        <v>0.14583333333333334</v>
      </c>
      <c r="J13" s="101">
        <v>46034.291666666664</v>
      </c>
      <c r="K13" s="101">
        <v>46035.291666666664</v>
      </c>
      <c r="L13">
        <v>24</v>
      </c>
      <c r="M13">
        <v>3.5</v>
      </c>
      <c r="O13">
        <v>20.5</v>
      </c>
      <c r="P13">
        <v>1681</v>
      </c>
      <c r="Q13">
        <v>1968</v>
      </c>
      <c r="R13">
        <v>1.2734848484848484</v>
      </c>
      <c r="S13">
        <v>1.490909090909091</v>
      </c>
      <c r="T13">
        <v>0.6707317073170731</v>
      </c>
    </row>
    <row r="14" spans="1:20" x14ac:dyDescent="0.3">
      <c r="A14" s="99">
        <v>46035</v>
      </c>
      <c r="B14" t="s">
        <v>392</v>
      </c>
      <c r="C14" t="s">
        <v>401</v>
      </c>
      <c r="D14" s="100">
        <v>1.7361111111111112E-2</v>
      </c>
      <c r="E14" s="100">
        <v>0.4375</v>
      </c>
      <c r="F14" s="100">
        <v>4.8611111111111112E-2</v>
      </c>
      <c r="G14">
        <v>85</v>
      </c>
      <c r="H14">
        <v>1225</v>
      </c>
      <c r="I14" s="100">
        <v>0.14583333333333334</v>
      </c>
      <c r="J14" s="101">
        <v>46035.291666666664</v>
      </c>
      <c r="K14" s="101">
        <v>46036.291666666664</v>
      </c>
      <c r="L14">
        <v>24</v>
      </c>
      <c r="M14">
        <v>3.5</v>
      </c>
      <c r="N14">
        <v>0.41666666666666663</v>
      </c>
      <c r="O14">
        <v>20.083333333333332</v>
      </c>
      <c r="P14">
        <v>1707.0833333333333</v>
      </c>
      <c r="Q14">
        <v>2040</v>
      </c>
      <c r="R14">
        <v>1.3935374149659863</v>
      </c>
      <c r="S14">
        <v>1.6653061224489796</v>
      </c>
      <c r="T14">
        <v>0.60049019607843135</v>
      </c>
    </row>
    <row r="15" spans="1:20" x14ac:dyDescent="0.3">
      <c r="A15" s="99">
        <v>46036</v>
      </c>
      <c r="B15" t="s">
        <v>392</v>
      </c>
      <c r="C15" t="s">
        <v>401</v>
      </c>
      <c r="D15" s="100">
        <v>2.0833333333333332E-2</v>
      </c>
      <c r="E15" s="100">
        <v>0.53472222222222221</v>
      </c>
      <c r="F15" s="100">
        <v>2.7777777777777776E-2</v>
      </c>
      <c r="G15">
        <v>90</v>
      </c>
      <c r="H15">
        <v>1207</v>
      </c>
      <c r="I15" s="100">
        <v>0.14583333333333334</v>
      </c>
      <c r="J15" s="101">
        <v>46036.291666666664</v>
      </c>
      <c r="K15" s="101">
        <v>46037.291666666664</v>
      </c>
      <c r="L15">
        <v>24</v>
      </c>
      <c r="M15">
        <v>3.5</v>
      </c>
      <c r="N15">
        <v>0.5</v>
      </c>
      <c r="O15">
        <v>20</v>
      </c>
      <c r="P15">
        <v>1800</v>
      </c>
      <c r="Q15">
        <v>2160</v>
      </c>
      <c r="R15">
        <v>1.4913007456503728</v>
      </c>
      <c r="S15">
        <v>1.7895608947804473</v>
      </c>
      <c r="T15">
        <v>0.55879629629629635</v>
      </c>
    </row>
    <row r="16" spans="1:20" x14ac:dyDescent="0.3">
      <c r="A16" s="99">
        <v>46037</v>
      </c>
      <c r="B16" t="s">
        <v>392</v>
      </c>
      <c r="C16" t="s">
        <v>401</v>
      </c>
      <c r="D16" s="100">
        <v>0.10416666666666667</v>
      </c>
      <c r="E16" s="100">
        <v>0.25</v>
      </c>
      <c r="F16" s="100">
        <v>3.4722222222222224E-2</v>
      </c>
      <c r="G16">
        <v>84</v>
      </c>
      <c r="H16">
        <v>1464</v>
      </c>
      <c r="I16" s="100">
        <v>0.14583333333333334</v>
      </c>
      <c r="J16" s="101">
        <v>46037.291666666664</v>
      </c>
      <c r="K16" s="101">
        <v>46038.291666666664</v>
      </c>
      <c r="L16">
        <v>24</v>
      </c>
      <c r="M16">
        <v>3.5</v>
      </c>
      <c r="N16">
        <v>2.5</v>
      </c>
      <c r="O16">
        <v>18</v>
      </c>
      <c r="P16">
        <v>1512</v>
      </c>
      <c r="Q16">
        <v>2016</v>
      </c>
      <c r="R16">
        <v>1.0327868852459017</v>
      </c>
      <c r="S16">
        <v>1.3770491803278688</v>
      </c>
      <c r="T16">
        <v>0.72619047619047616</v>
      </c>
    </row>
    <row r="17" spans="1:20" x14ac:dyDescent="0.3">
      <c r="A17" s="99">
        <v>46038</v>
      </c>
      <c r="B17" t="s">
        <v>392</v>
      </c>
      <c r="C17" t="s">
        <v>401</v>
      </c>
      <c r="D17" s="100"/>
      <c r="E17" s="100"/>
      <c r="F17" s="100">
        <v>6.25E-2</v>
      </c>
      <c r="G17">
        <v>83</v>
      </c>
      <c r="H17">
        <v>1472</v>
      </c>
      <c r="I17" s="100">
        <v>0.14583333333333334</v>
      </c>
      <c r="J17" s="101">
        <v>46038.291666666664</v>
      </c>
      <c r="K17" s="101">
        <v>46039.291666666664</v>
      </c>
      <c r="L17">
        <v>24</v>
      </c>
      <c r="M17">
        <v>3.5</v>
      </c>
      <c r="O17">
        <v>20.5</v>
      </c>
      <c r="P17">
        <v>1701.5</v>
      </c>
      <c r="Q17">
        <v>1992</v>
      </c>
      <c r="R17">
        <v>1.1559103260869565</v>
      </c>
      <c r="S17">
        <v>1.3532608695652173</v>
      </c>
      <c r="T17">
        <v>0.73895582329317278</v>
      </c>
    </row>
    <row r="18" spans="1:20" x14ac:dyDescent="0.3">
      <c r="A18" s="99">
        <v>46039</v>
      </c>
      <c r="B18" t="s">
        <v>392</v>
      </c>
      <c r="C18" t="s">
        <v>401</v>
      </c>
      <c r="D18" s="100">
        <v>5.9027777777777776E-2</v>
      </c>
      <c r="E18" s="100"/>
      <c r="F18" s="100"/>
      <c r="G18">
        <v>75</v>
      </c>
      <c r="H18">
        <v>1455</v>
      </c>
      <c r="I18" s="100">
        <v>0.14583333333333334</v>
      </c>
      <c r="J18" s="101">
        <v>46039.291666666664</v>
      </c>
      <c r="K18" s="101">
        <v>46040.291666666664</v>
      </c>
      <c r="L18">
        <v>24</v>
      </c>
      <c r="M18">
        <v>3.5</v>
      </c>
      <c r="N18">
        <v>1.4166666666666665</v>
      </c>
      <c r="O18">
        <v>19.083333333333332</v>
      </c>
      <c r="P18">
        <v>1431.25</v>
      </c>
      <c r="Q18">
        <v>1800</v>
      </c>
      <c r="R18">
        <v>0.98367697594501713</v>
      </c>
      <c r="S18">
        <v>1.2371134020618557</v>
      </c>
      <c r="T18">
        <v>0.80833333333333335</v>
      </c>
    </row>
    <row r="19" spans="1:20" x14ac:dyDescent="0.3">
      <c r="A19" s="99">
        <v>46040</v>
      </c>
      <c r="B19" t="s">
        <v>392</v>
      </c>
      <c r="C19" t="s">
        <v>401</v>
      </c>
      <c r="D19" s="100"/>
      <c r="E19" s="100"/>
      <c r="F19" s="100">
        <v>2.7777777777777776E-2</v>
      </c>
      <c r="G19">
        <v>34</v>
      </c>
      <c r="H19">
        <v>405</v>
      </c>
      <c r="I19" s="100">
        <v>7.2916666666666671E-2</v>
      </c>
      <c r="J19" s="101">
        <v>46040</v>
      </c>
      <c r="K19" s="101">
        <v>46040.791666666664</v>
      </c>
      <c r="L19">
        <v>19</v>
      </c>
      <c r="M19">
        <v>1.75</v>
      </c>
      <c r="O19">
        <v>17.25</v>
      </c>
      <c r="P19">
        <v>586.5</v>
      </c>
      <c r="Q19">
        <v>646</v>
      </c>
      <c r="R19">
        <v>1.4481481481481482</v>
      </c>
      <c r="S19">
        <v>1.5950617283950617</v>
      </c>
      <c r="T19">
        <v>0.62693498452012386</v>
      </c>
    </row>
    <row r="20" spans="1:20" x14ac:dyDescent="0.3">
      <c r="A20" s="99">
        <v>46041</v>
      </c>
      <c r="B20" t="s">
        <v>392</v>
      </c>
      <c r="C20" t="s">
        <v>401</v>
      </c>
      <c r="D20" s="100">
        <v>0.1111111111111111</v>
      </c>
      <c r="E20" s="100"/>
      <c r="F20" s="100">
        <v>6.9444444444444448E-2</v>
      </c>
      <c r="G20">
        <v>78</v>
      </c>
      <c r="H20">
        <v>1379</v>
      </c>
      <c r="I20" s="100">
        <v>0.14583333333333334</v>
      </c>
      <c r="J20" s="101">
        <v>46041.291666666664</v>
      </c>
      <c r="K20" s="101">
        <v>46042.291666666664</v>
      </c>
      <c r="L20">
        <v>24</v>
      </c>
      <c r="M20">
        <v>3.5</v>
      </c>
      <c r="N20">
        <v>2.6666666666666665</v>
      </c>
      <c r="O20">
        <v>17.833333333333332</v>
      </c>
      <c r="P20">
        <v>1391</v>
      </c>
      <c r="Q20">
        <v>1872</v>
      </c>
      <c r="R20">
        <v>1.0087019579405365</v>
      </c>
      <c r="S20">
        <v>1.3575054387237129</v>
      </c>
      <c r="T20">
        <v>0.73664529914529908</v>
      </c>
    </row>
    <row r="21" spans="1:20" x14ac:dyDescent="0.3">
      <c r="A21" s="99">
        <v>46042</v>
      </c>
      <c r="B21" t="s">
        <v>392</v>
      </c>
      <c r="C21" t="s">
        <v>401</v>
      </c>
      <c r="D21" s="100"/>
      <c r="E21" s="100">
        <v>0.41666666666666669</v>
      </c>
      <c r="F21" s="100"/>
      <c r="G21">
        <v>81</v>
      </c>
      <c r="H21">
        <v>1643</v>
      </c>
      <c r="I21" s="100">
        <v>0.14583333333333334</v>
      </c>
      <c r="J21" s="101">
        <v>46042.291666666664</v>
      </c>
      <c r="K21" s="101">
        <v>46043.291666666664</v>
      </c>
      <c r="L21">
        <v>24</v>
      </c>
      <c r="M21">
        <v>3.5</v>
      </c>
      <c r="O21">
        <v>20.5</v>
      </c>
      <c r="P21">
        <v>1660.5</v>
      </c>
      <c r="Q21">
        <v>1944</v>
      </c>
      <c r="R21">
        <v>1.0106512477175897</v>
      </c>
      <c r="S21">
        <v>1.1832014607425441</v>
      </c>
      <c r="T21">
        <v>0.84516460905349799</v>
      </c>
    </row>
    <row r="22" spans="1:20" x14ac:dyDescent="0.3">
      <c r="A22" s="99">
        <v>46043</v>
      </c>
      <c r="B22" t="s">
        <v>392</v>
      </c>
      <c r="C22" t="s">
        <v>401</v>
      </c>
      <c r="D22" s="100"/>
      <c r="E22" s="100">
        <v>0.85416666666666663</v>
      </c>
      <c r="F22" s="100"/>
      <c r="G22">
        <v>81</v>
      </c>
      <c r="H22">
        <v>1346</v>
      </c>
      <c r="I22" s="100">
        <v>0.14583333333333334</v>
      </c>
      <c r="J22" s="101">
        <v>46043.291666666664</v>
      </c>
      <c r="K22" s="101">
        <v>46044.291666666664</v>
      </c>
      <c r="L22">
        <v>24</v>
      </c>
      <c r="M22">
        <v>3.5</v>
      </c>
      <c r="O22">
        <v>20.5</v>
      </c>
      <c r="P22">
        <v>1660.5</v>
      </c>
      <c r="Q22">
        <v>1944</v>
      </c>
      <c r="R22">
        <v>1.2336552748885588</v>
      </c>
      <c r="S22">
        <v>1.4442793462109955</v>
      </c>
      <c r="T22">
        <v>0.6923868312757202</v>
      </c>
    </row>
    <row r="23" spans="1:20" x14ac:dyDescent="0.3">
      <c r="A23" s="99">
        <v>46044</v>
      </c>
      <c r="B23" t="s">
        <v>392</v>
      </c>
      <c r="C23" t="s">
        <v>401</v>
      </c>
      <c r="D23" s="100"/>
      <c r="E23" s="100">
        <v>0.35416666666666669</v>
      </c>
      <c r="F23" s="100">
        <v>4.1666666666666664E-2</v>
      </c>
      <c r="G23">
        <v>81</v>
      </c>
      <c r="H23">
        <v>1568</v>
      </c>
      <c r="I23" s="100">
        <v>0.14583333333333334</v>
      </c>
      <c r="J23" s="101">
        <v>46044.291666666664</v>
      </c>
      <c r="K23" s="101">
        <v>46045.291666666664</v>
      </c>
      <c r="L23">
        <v>24</v>
      </c>
      <c r="M23">
        <v>3.5</v>
      </c>
      <c r="O23">
        <v>20.5</v>
      </c>
      <c r="P23">
        <v>1660.5</v>
      </c>
      <c r="Q23">
        <v>1944</v>
      </c>
      <c r="R23">
        <v>1.0589923469387754</v>
      </c>
      <c r="S23">
        <v>1.239795918367347</v>
      </c>
      <c r="T23">
        <v>0.80658436213991758</v>
      </c>
    </row>
    <row r="24" spans="1:20" x14ac:dyDescent="0.3">
      <c r="A24" s="99">
        <v>46045</v>
      </c>
      <c r="B24" t="s">
        <v>392</v>
      </c>
      <c r="C24" t="s">
        <v>401</v>
      </c>
      <c r="D24" s="100"/>
      <c r="E24" s="100">
        <v>7.6388888888888895E-2</v>
      </c>
      <c r="F24" s="100">
        <v>6.9444444444444448E-2</v>
      </c>
      <c r="G24">
        <v>80</v>
      </c>
      <c r="H24">
        <v>1528</v>
      </c>
      <c r="I24" s="100">
        <v>0.14583333333333334</v>
      </c>
      <c r="J24" s="101">
        <v>46045.291666666664</v>
      </c>
      <c r="K24" s="101">
        <v>46046.291666666664</v>
      </c>
      <c r="L24">
        <v>24</v>
      </c>
      <c r="M24">
        <v>3.5</v>
      </c>
      <c r="O24">
        <v>20.5</v>
      </c>
      <c r="P24">
        <v>1640</v>
      </c>
      <c r="Q24">
        <v>1920</v>
      </c>
      <c r="R24">
        <v>1.0732984293193717</v>
      </c>
      <c r="S24">
        <v>1.256544502617801</v>
      </c>
      <c r="T24">
        <v>0.79583333333333339</v>
      </c>
    </row>
    <row r="25" spans="1:20" x14ac:dyDescent="0.3">
      <c r="A25" s="99">
        <v>46046</v>
      </c>
      <c r="B25" t="s">
        <v>392</v>
      </c>
      <c r="C25" t="s">
        <v>401</v>
      </c>
      <c r="D25" s="100"/>
      <c r="E25" s="100"/>
      <c r="F25" s="100">
        <v>2.7777777777777776E-2</v>
      </c>
      <c r="G25">
        <v>76</v>
      </c>
      <c r="H25">
        <v>1472</v>
      </c>
      <c r="I25" s="100">
        <v>0.14583333333333334</v>
      </c>
      <c r="J25" s="101">
        <v>46046.291666666664</v>
      </c>
      <c r="K25" s="101">
        <v>46047.291666666664</v>
      </c>
      <c r="L25">
        <v>24</v>
      </c>
      <c r="M25">
        <v>3.5</v>
      </c>
      <c r="O25">
        <v>20.5</v>
      </c>
      <c r="P25">
        <v>1558</v>
      </c>
      <c r="Q25">
        <v>1824</v>
      </c>
      <c r="R25">
        <v>1.0584239130434783</v>
      </c>
      <c r="S25">
        <v>1.2391304347826086</v>
      </c>
      <c r="T25">
        <v>0.80701754385964919</v>
      </c>
    </row>
    <row r="26" spans="1:20" x14ac:dyDescent="0.3">
      <c r="A26" s="99">
        <v>46047</v>
      </c>
      <c r="B26" t="s">
        <v>392</v>
      </c>
      <c r="C26" t="s">
        <v>401</v>
      </c>
      <c r="D26" s="100"/>
      <c r="E26" s="100"/>
      <c r="F26" s="100"/>
      <c r="G26">
        <v>30</v>
      </c>
      <c r="H26">
        <v>268</v>
      </c>
      <c r="I26" s="100">
        <v>6.25E-2</v>
      </c>
      <c r="J26" s="101">
        <v>46047</v>
      </c>
      <c r="K26" s="101">
        <v>46047.625</v>
      </c>
      <c r="L26">
        <v>15</v>
      </c>
      <c r="M26">
        <v>1.5</v>
      </c>
      <c r="O26">
        <v>13.5</v>
      </c>
      <c r="P26">
        <v>405</v>
      </c>
      <c r="Q26">
        <v>450</v>
      </c>
      <c r="R26">
        <v>1.5111940298507462</v>
      </c>
      <c r="S26">
        <v>1.6791044776119404</v>
      </c>
      <c r="T26">
        <v>0.5955555555555555</v>
      </c>
    </row>
    <row r="27" spans="1:20" x14ac:dyDescent="0.3">
      <c r="A27" s="99">
        <v>46048</v>
      </c>
      <c r="B27" t="s">
        <v>392</v>
      </c>
      <c r="C27" t="s">
        <v>401</v>
      </c>
      <c r="D27" s="100">
        <v>4.1666666666666664E-2</v>
      </c>
      <c r="E27" s="100">
        <v>0.67708333333333337</v>
      </c>
      <c r="F27" s="100"/>
      <c r="G27">
        <v>77</v>
      </c>
      <c r="H27">
        <v>1481</v>
      </c>
      <c r="I27" s="100">
        <v>0.14583333333333334</v>
      </c>
      <c r="J27" s="101">
        <v>46048.291666666664</v>
      </c>
      <c r="K27" s="101">
        <v>46049.291666666664</v>
      </c>
      <c r="L27">
        <v>24</v>
      </c>
      <c r="M27">
        <v>3.5</v>
      </c>
      <c r="N27">
        <v>1</v>
      </c>
      <c r="O27">
        <v>19.5</v>
      </c>
      <c r="P27">
        <v>1501.5</v>
      </c>
      <c r="Q27">
        <v>1848</v>
      </c>
      <c r="R27">
        <v>1.013841998649561</v>
      </c>
      <c r="S27">
        <v>1.2478055367994598</v>
      </c>
      <c r="T27">
        <v>0.80140692640692646</v>
      </c>
    </row>
    <row r="28" spans="1:20" x14ac:dyDescent="0.3">
      <c r="A28" s="99">
        <v>46049</v>
      </c>
      <c r="B28" t="s">
        <v>392</v>
      </c>
      <c r="C28" t="s">
        <v>401</v>
      </c>
      <c r="D28" s="100">
        <v>1.7361111111111112E-2</v>
      </c>
      <c r="E28" s="100">
        <v>0.14583333333333334</v>
      </c>
      <c r="F28" s="100">
        <v>9.7222222222222224E-2</v>
      </c>
      <c r="G28">
        <v>75</v>
      </c>
      <c r="H28">
        <v>1309</v>
      </c>
      <c r="I28" s="100">
        <v>0.14583333333333334</v>
      </c>
      <c r="J28" s="101">
        <v>46049.291666666664</v>
      </c>
      <c r="K28" s="101">
        <v>46050.291666666664</v>
      </c>
      <c r="L28">
        <v>24</v>
      </c>
      <c r="M28">
        <v>3.5</v>
      </c>
      <c r="N28">
        <v>0.41666666666666663</v>
      </c>
      <c r="O28">
        <v>20.083333333333332</v>
      </c>
      <c r="P28">
        <v>1506.25</v>
      </c>
      <c r="Q28">
        <v>1800</v>
      </c>
      <c r="R28">
        <v>1.1506875477463714</v>
      </c>
      <c r="S28">
        <v>1.3750954927425516</v>
      </c>
      <c r="T28">
        <v>0.72722222222222221</v>
      </c>
    </row>
    <row r="29" spans="1:20" x14ac:dyDescent="0.3">
      <c r="A29" s="99">
        <v>46050</v>
      </c>
      <c r="B29" t="s">
        <v>392</v>
      </c>
      <c r="C29" t="s">
        <v>401</v>
      </c>
      <c r="D29" s="100">
        <v>8.3333333333333329E-2</v>
      </c>
      <c r="E29" s="100"/>
      <c r="F29" s="100">
        <v>4.1666666666666664E-2</v>
      </c>
      <c r="G29">
        <v>76</v>
      </c>
      <c r="H29">
        <v>1592</v>
      </c>
      <c r="I29" s="100">
        <v>0.14583333333333334</v>
      </c>
      <c r="J29" s="101">
        <v>46050.291666666664</v>
      </c>
      <c r="K29" s="101">
        <v>46051.291666666664</v>
      </c>
      <c r="L29">
        <v>24</v>
      </c>
      <c r="M29">
        <v>3.5</v>
      </c>
      <c r="N29">
        <v>2</v>
      </c>
      <c r="O29">
        <v>18.5</v>
      </c>
      <c r="P29">
        <v>1406</v>
      </c>
      <c r="Q29">
        <v>1824</v>
      </c>
      <c r="R29">
        <v>0.88316582914572861</v>
      </c>
      <c r="S29">
        <v>1.1457286432160805</v>
      </c>
      <c r="T29">
        <v>0.87280701754385959</v>
      </c>
    </row>
    <row r="30" spans="1:20" x14ac:dyDescent="0.3">
      <c r="A30" s="99">
        <v>46051</v>
      </c>
      <c r="B30" t="s">
        <v>392</v>
      </c>
      <c r="C30" t="s">
        <v>401</v>
      </c>
      <c r="D30" s="100"/>
      <c r="E30" s="100"/>
      <c r="F30" s="100">
        <v>4.8611111111111112E-2</v>
      </c>
      <c r="G30">
        <v>80</v>
      </c>
      <c r="H30">
        <v>1708</v>
      </c>
      <c r="I30" s="100">
        <v>0.14583333333333334</v>
      </c>
      <c r="J30" s="101">
        <v>46051.291666666664</v>
      </c>
      <c r="K30" s="101">
        <v>46052.291666666664</v>
      </c>
      <c r="L30">
        <v>24</v>
      </c>
      <c r="M30">
        <v>3.5</v>
      </c>
      <c r="O30">
        <v>20.5</v>
      </c>
      <c r="P30">
        <v>1640</v>
      </c>
      <c r="Q30">
        <v>1920</v>
      </c>
      <c r="R30">
        <v>0.96018735362997654</v>
      </c>
      <c r="S30">
        <v>1.1241217798594847</v>
      </c>
      <c r="T30">
        <v>0.88958333333333339</v>
      </c>
    </row>
    <row r="31" spans="1:20" x14ac:dyDescent="0.3">
      <c r="A31" s="99">
        <v>46052</v>
      </c>
      <c r="B31" t="s">
        <v>392</v>
      </c>
      <c r="C31" t="s">
        <v>401</v>
      </c>
      <c r="D31" s="100"/>
      <c r="E31" s="100">
        <v>0.32291666666666669</v>
      </c>
      <c r="F31" s="100">
        <v>6.5972222222222224E-2</v>
      </c>
      <c r="G31">
        <v>75</v>
      </c>
      <c r="H31">
        <v>1518</v>
      </c>
      <c r="I31" s="100">
        <v>0.14583333333333334</v>
      </c>
      <c r="J31" s="101">
        <v>46052.291666666664</v>
      </c>
      <c r="K31" s="101">
        <v>46053.291666666664</v>
      </c>
      <c r="L31">
        <v>24</v>
      </c>
      <c r="M31">
        <v>3.5</v>
      </c>
      <c r="O31">
        <v>20.5</v>
      </c>
      <c r="P31">
        <v>1537.5</v>
      </c>
      <c r="Q31">
        <v>1800</v>
      </c>
      <c r="R31">
        <v>1.0128458498023716</v>
      </c>
      <c r="S31">
        <v>1.1857707509881423</v>
      </c>
      <c r="T31">
        <v>0.84333333333333327</v>
      </c>
    </row>
    <row r="32" spans="1:20" x14ac:dyDescent="0.3">
      <c r="A32" s="99">
        <v>46053</v>
      </c>
      <c r="B32" t="s">
        <v>392</v>
      </c>
      <c r="C32" t="s">
        <v>401</v>
      </c>
      <c r="D32" s="100">
        <v>4.1666666666666664E-2</v>
      </c>
      <c r="E32" s="100">
        <v>8.3333333333333329E-2</v>
      </c>
      <c r="F32" s="100">
        <v>2.0833333333333332E-2</v>
      </c>
      <c r="G32">
        <v>76</v>
      </c>
      <c r="H32">
        <v>1203</v>
      </c>
      <c r="I32" s="100">
        <v>0.14583333333333334</v>
      </c>
      <c r="J32" s="101">
        <v>46053.291666666664</v>
      </c>
      <c r="K32" s="101">
        <v>46054.291666666664</v>
      </c>
      <c r="L32">
        <v>24</v>
      </c>
      <c r="M32">
        <v>3.5</v>
      </c>
      <c r="N32">
        <v>1</v>
      </c>
      <c r="O32">
        <v>19.5</v>
      </c>
      <c r="P32">
        <v>1482</v>
      </c>
      <c r="Q32">
        <v>1824</v>
      </c>
      <c r="R32">
        <v>1.231920199501247</v>
      </c>
      <c r="S32">
        <v>1.5162094763092269</v>
      </c>
      <c r="T32">
        <v>0.65953947368421051</v>
      </c>
    </row>
    <row r="33" spans="1:20" x14ac:dyDescent="0.3">
      <c r="A33" s="99">
        <v>46054</v>
      </c>
      <c r="B33" t="s">
        <v>392</v>
      </c>
      <c r="C33" t="s">
        <v>401</v>
      </c>
      <c r="D33" s="100"/>
      <c r="E33" s="100"/>
      <c r="F33" s="100"/>
      <c r="G33">
        <v>27</v>
      </c>
      <c r="H33">
        <v>415</v>
      </c>
      <c r="I33" s="100">
        <v>6.25E-2</v>
      </c>
      <c r="J33" s="101">
        <v>46054</v>
      </c>
      <c r="K33" s="101">
        <v>46054.708333333336</v>
      </c>
      <c r="L33">
        <v>17</v>
      </c>
      <c r="M33">
        <v>1.5</v>
      </c>
      <c r="O33">
        <v>15.5</v>
      </c>
      <c r="P33">
        <v>418.5</v>
      </c>
      <c r="Q33">
        <v>459</v>
      </c>
      <c r="R33">
        <v>1.008433734939759</v>
      </c>
      <c r="S33">
        <v>1.1060240963855421</v>
      </c>
      <c r="T33">
        <v>0.9041394335511983</v>
      </c>
    </row>
    <row r="34" spans="1:20" x14ac:dyDescent="0.3">
      <c r="A34" s="99">
        <v>46055</v>
      </c>
      <c r="B34" t="s">
        <v>392</v>
      </c>
      <c r="C34" t="s">
        <v>401</v>
      </c>
      <c r="D34" s="100">
        <v>7.9861111111111105E-2</v>
      </c>
      <c r="E34" s="100">
        <v>0.14583333333333334</v>
      </c>
      <c r="F34" s="100">
        <v>4.1666666666666664E-2</v>
      </c>
      <c r="G34">
        <v>66</v>
      </c>
      <c r="H34">
        <v>880</v>
      </c>
      <c r="I34" s="100">
        <v>0.14583333333333334</v>
      </c>
      <c r="J34" s="101">
        <v>46055.291666666664</v>
      </c>
      <c r="K34" s="101">
        <v>46056.291666666664</v>
      </c>
      <c r="L34">
        <v>24</v>
      </c>
      <c r="M34">
        <v>3.5</v>
      </c>
      <c r="N34">
        <v>1.9166666666666665</v>
      </c>
      <c r="O34">
        <v>18.583333333333332</v>
      </c>
      <c r="P34">
        <v>1226.5</v>
      </c>
      <c r="Q34">
        <v>1584</v>
      </c>
      <c r="R34">
        <v>1.39375</v>
      </c>
      <c r="S34">
        <v>1.8</v>
      </c>
      <c r="T34">
        <v>0.55555555555555558</v>
      </c>
    </row>
    <row r="35" spans="1:20" x14ac:dyDescent="0.3">
      <c r="A35" s="99">
        <v>46056</v>
      </c>
      <c r="B35" t="s">
        <v>392</v>
      </c>
      <c r="C35" t="s">
        <v>401</v>
      </c>
      <c r="D35" s="100"/>
      <c r="E35" s="100"/>
      <c r="F35" s="100"/>
      <c r="G35">
        <v>72</v>
      </c>
      <c r="H35">
        <v>1082</v>
      </c>
      <c r="I35" s="100">
        <v>0.14583333333333334</v>
      </c>
      <c r="J35" s="101">
        <v>46056.291666666664</v>
      </c>
      <c r="K35" s="101">
        <v>46057.291666666664</v>
      </c>
      <c r="L35">
        <v>24</v>
      </c>
      <c r="M35">
        <v>3.5</v>
      </c>
      <c r="O35">
        <v>20.5</v>
      </c>
      <c r="P35">
        <v>1476</v>
      </c>
      <c r="Q35">
        <v>1728</v>
      </c>
      <c r="R35">
        <v>1.3641404805914972</v>
      </c>
      <c r="S35">
        <v>1.5970425138632163</v>
      </c>
      <c r="T35">
        <v>0.62615740740740744</v>
      </c>
    </row>
    <row r="36" spans="1:20" x14ac:dyDescent="0.3">
      <c r="A36" s="99">
        <v>46057</v>
      </c>
      <c r="B36" t="s">
        <v>392</v>
      </c>
      <c r="C36" t="s">
        <v>401</v>
      </c>
      <c r="D36" s="100"/>
      <c r="E36" s="100">
        <v>0.41666666666666669</v>
      </c>
      <c r="F36" s="100"/>
      <c r="G36">
        <v>73</v>
      </c>
      <c r="H36">
        <v>1173</v>
      </c>
      <c r="I36" s="100">
        <v>0.14583333333333334</v>
      </c>
      <c r="J36" s="101">
        <v>46057.291666666664</v>
      </c>
      <c r="K36" s="101">
        <v>46058.291666666664</v>
      </c>
      <c r="L36">
        <v>24</v>
      </c>
      <c r="M36">
        <v>3.5</v>
      </c>
      <c r="O36">
        <v>20.5</v>
      </c>
      <c r="P36">
        <v>1496.5</v>
      </c>
      <c r="Q36">
        <v>1752</v>
      </c>
      <c r="R36">
        <v>1.2757885763000854</v>
      </c>
      <c r="S36">
        <v>1.4936061381074168</v>
      </c>
      <c r="T36">
        <v>0.66952054794520555</v>
      </c>
    </row>
    <row r="37" spans="1:20" x14ac:dyDescent="0.3">
      <c r="A37" s="99">
        <v>46058</v>
      </c>
      <c r="B37" t="s">
        <v>392</v>
      </c>
      <c r="C37" t="s">
        <v>401</v>
      </c>
      <c r="D37" s="100"/>
      <c r="E37" s="100">
        <v>0.125</v>
      </c>
      <c r="F37" s="100"/>
      <c r="G37">
        <v>73</v>
      </c>
      <c r="H37">
        <v>1349</v>
      </c>
      <c r="I37" s="100">
        <v>0.14583333333333334</v>
      </c>
      <c r="J37" s="101">
        <v>46058.291666666664</v>
      </c>
      <c r="K37" s="101">
        <v>46059.291666666664</v>
      </c>
      <c r="L37">
        <v>24</v>
      </c>
      <c r="M37">
        <v>3.5</v>
      </c>
      <c r="O37">
        <v>20.5</v>
      </c>
      <c r="P37">
        <v>1496.5</v>
      </c>
      <c r="Q37">
        <v>1752</v>
      </c>
      <c r="R37">
        <v>1.1093402520385471</v>
      </c>
      <c r="S37">
        <v>1.2987398072646406</v>
      </c>
      <c r="T37">
        <v>0.76997716894977164</v>
      </c>
    </row>
    <row r="38" spans="1:20" x14ac:dyDescent="0.3">
      <c r="A38" s="99">
        <v>46023</v>
      </c>
      <c r="B38" t="s">
        <v>96</v>
      </c>
      <c r="C38" t="s">
        <v>402</v>
      </c>
      <c r="D38" s="100"/>
      <c r="E38" s="100"/>
      <c r="F38" s="100"/>
      <c r="G38">
        <v>24</v>
      </c>
      <c r="H38">
        <v>350</v>
      </c>
      <c r="I38" s="100">
        <v>7.2916666666666671E-2</v>
      </c>
      <c r="J38" s="101">
        <v>46023.291666666664</v>
      </c>
      <c r="K38" s="101">
        <v>46023.791666666664</v>
      </c>
      <c r="L38">
        <v>12</v>
      </c>
      <c r="M38">
        <v>1.75</v>
      </c>
      <c r="O38">
        <v>10.25</v>
      </c>
      <c r="P38">
        <v>246</v>
      </c>
      <c r="Q38">
        <v>288</v>
      </c>
      <c r="R38">
        <v>0.70285714285714285</v>
      </c>
      <c r="S38">
        <v>0.82285714285714284</v>
      </c>
      <c r="T38">
        <v>1.2152777777777779</v>
      </c>
    </row>
    <row r="39" spans="1:20" x14ac:dyDescent="0.3">
      <c r="A39" s="99">
        <v>46023</v>
      </c>
      <c r="B39" t="s">
        <v>97</v>
      </c>
      <c r="C39" t="s">
        <v>402</v>
      </c>
      <c r="D39" s="100"/>
      <c r="E39" s="100"/>
      <c r="F39" s="100"/>
      <c r="G39">
        <v>5</v>
      </c>
      <c r="H39">
        <v>355</v>
      </c>
      <c r="I39" s="100">
        <v>7.2916666666666671E-2</v>
      </c>
      <c r="J39" s="101">
        <v>46023.291666666664</v>
      </c>
      <c r="K39" s="101">
        <v>46023.791666666664</v>
      </c>
      <c r="L39">
        <v>12</v>
      </c>
      <c r="M39">
        <v>1.75</v>
      </c>
      <c r="O39">
        <v>10.25</v>
      </c>
      <c r="P39">
        <v>51.25</v>
      </c>
      <c r="Q39">
        <v>60</v>
      </c>
      <c r="R39">
        <v>0.14436619718309859</v>
      </c>
      <c r="S39">
        <v>0.16901408450704225</v>
      </c>
      <c r="T39">
        <v>5.916666666666667</v>
      </c>
    </row>
    <row r="40" spans="1:20" x14ac:dyDescent="0.3">
      <c r="A40" s="99">
        <v>46023</v>
      </c>
      <c r="B40" t="s">
        <v>98</v>
      </c>
      <c r="C40" t="s">
        <v>402</v>
      </c>
      <c r="D40" s="100"/>
      <c r="E40" s="100"/>
      <c r="F40" s="100"/>
      <c r="G40">
        <v>23</v>
      </c>
      <c r="H40">
        <v>362</v>
      </c>
      <c r="I40" s="100">
        <v>7.2916666666666671E-2</v>
      </c>
      <c r="J40" s="101">
        <v>46023.291666666664</v>
      </c>
      <c r="K40" s="101">
        <v>46023.791666666664</v>
      </c>
      <c r="L40">
        <v>12</v>
      </c>
      <c r="M40">
        <v>1.75</v>
      </c>
      <c r="O40">
        <v>10.25</v>
      </c>
      <c r="P40">
        <v>235.75</v>
      </c>
      <c r="Q40">
        <v>276</v>
      </c>
      <c r="R40">
        <v>0.65124309392265189</v>
      </c>
      <c r="S40">
        <v>0.76243093922651939</v>
      </c>
      <c r="T40">
        <v>1.3115942028985506</v>
      </c>
    </row>
    <row r="41" spans="1:20" x14ac:dyDescent="0.3">
      <c r="A41" s="99">
        <v>46023</v>
      </c>
      <c r="B41" t="s">
        <v>99</v>
      </c>
      <c r="C41" t="s">
        <v>402</v>
      </c>
      <c r="D41" s="100"/>
      <c r="E41" s="100"/>
      <c r="F41" s="100"/>
      <c r="G41">
        <v>24</v>
      </c>
      <c r="H41">
        <v>254</v>
      </c>
      <c r="I41" s="100">
        <v>7.2916666666666671E-2</v>
      </c>
      <c r="J41" s="101">
        <v>46023.291666666664</v>
      </c>
      <c r="K41" s="101">
        <v>46023.791666666664</v>
      </c>
      <c r="L41">
        <v>12</v>
      </c>
      <c r="M41">
        <v>1.75</v>
      </c>
      <c r="O41">
        <v>10.25</v>
      </c>
      <c r="P41">
        <v>246</v>
      </c>
      <c r="Q41">
        <v>288</v>
      </c>
      <c r="R41">
        <v>0.96850393700787396</v>
      </c>
      <c r="S41">
        <v>1.1338582677165354</v>
      </c>
      <c r="T41">
        <v>0.88194444444444442</v>
      </c>
    </row>
    <row r="42" spans="1:20" x14ac:dyDescent="0.3">
      <c r="A42" s="99">
        <v>46024</v>
      </c>
      <c r="B42" t="s">
        <v>96</v>
      </c>
      <c r="C42" t="s">
        <v>402</v>
      </c>
      <c r="D42" s="100"/>
      <c r="E42" s="100"/>
      <c r="F42" s="100"/>
      <c r="G42">
        <v>25</v>
      </c>
      <c r="H42">
        <v>452</v>
      </c>
      <c r="I42" s="100">
        <v>7.2916666666666671E-2</v>
      </c>
      <c r="J42" s="101">
        <v>46024.291666666664</v>
      </c>
      <c r="K42" s="101">
        <v>46024.791666666664</v>
      </c>
      <c r="L42">
        <v>12</v>
      </c>
      <c r="M42">
        <v>1.75</v>
      </c>
      <c r="O42">
        <v>10.25</v>
      </c>
      <c r="P42">
        <v>256.25</v>
      </c>
      <c r="Q42">
        <v>300</v>
      </c>
      <c r="R42">
        <v>0.56692477876106195</v>
      </c>
      <c r="S42">
        <v>0.66371681415929207</v>
      </c>
      <c r="T42">
        <v>1.5066666666666666</v>
      </c>
    </row>
    <row r="43" spans="1:20" x14ac:dyDescent="0.3">
      <c r="A43" s="99">
        <v>46024</v>
      </c>
      <c r="B43" t="s">
        <v>97</v>
      </c>
      <c r="C43" t="s">
        <v>402</v>
      </c>
      <c r="D43" s="100"/>
      <c r="E43" s="100"/>
      <c r="F43" s="100"/>
      <c r="G43">
        <v>5</v>
      </c>
      <c r="H43">
        <v>384</v>
      </c>
      <c r="I43" s="100">
        <v>7.2916666666666671E-2</v>
      </c>
      <c r="J43" s="101">
        <v>46024.291666666664</v>
      </c>
      <c r="K43" s="101">
        <v>46024.791666666664</v>
      </c>
      <c r="L43">
        <v>12</v>
      </c>
      <c r="M43">
        <v>1.75</v>
      </c>
      <c r="O43">
        <v>10.25</v>
      </c>
      <c r="P43">
        <v>51.25</v>
      </c>
      <c r="Q43">
        <v>60</v>
      </c>
      <c r="R43">
        <v>0.13346354166666666</v>
      </c>
      <c r="S43">
        <v>0.15625</v>
      </c>
      <c r="T43">
        <v>6.4</v>
      </c>
    </row>
    <row r="44" spans="1:20" x14ac:dyDescent="0.3">
      <c r="A44" s="99">
        <v>46024</v>
      </c>
      <c r="B44" t="s">
        <v>98</v>
      </c>
      <c r="C44" t="s">
        <v>402</v>
      </c>
      <c r="D44" s="100"/>
      <c r="E44" s="100"/>
      <c r="F44" s="100"/>
      <c r="G44">
        <v>22</v>
      </c>
      <c r="H44">
        <v>346</v>
      </c>
      <c r="I44" s="100">
        <v>7.2916666666666671E-2</v>
      </c>
      <c r="J44" s="101">
        <v>46024.291666666664</v>
      </c>
      <c r="K44" s="101">
        <v>46024.791666666664</v>
      </c>
      <c r="L44">
        <v>12</v>
      </c>
      <c r="M44">
        <v>1.75</v>
      </c>
      <c r="O44">
        <v>10.25</v>
      </c>
      <c r="P44">
        <v>225.5</v>
      </c>
      <c r="Q44">
        <v>264</v>
      </c>
      <c r="R44">
        <v>0.65173410404624277</v>
      </c>
      <c r="S44">
        <v>0.76300578034682076</v>
      </c>
      <c r="T44">
        <v>1.3106060606060608</v>
      </c>
    </row>
    <row r="45" spans="1:20" x14ac:dyDescent="0.3">
      <c r="A45" s="99">
        <v>46024</v>
      </c>
      <c r="B45" t="s">
        <v>99</v>
      </c>
      <c r="C45" t="s">
        <v>402</v>
      </c>
      <c r="D45" s="100"/>
      <c r="E45" s="100"/>
      <c r="F45" s="100"/>
      <c r="G45">
        <v>25</v>
      </c>
      <c r="H45">
        <v>290</v>
      </c>
      <c r="I45" s="100">
        <v>7.2916666666666671E-2</v>
      </c>
      <c r="J45" s="101">
        <v>46024.291666666664</v>
      </c>
      <c r="K45" s="101">
        <v>46024.791666666664</v>
      </c>
      <c r="L45">
        <v>12</v>
      </c>
      <c r="M45">
        <v>1.75</v>
      </c>
      <c r="O45">
        <v>10.25</v>
      </c>
      <c r="P45">
        <v>256.25</v>
      </c>
      <c r="Q45">
        <v>300</v>
      </c>
      <c r="R45">
        <v>0.88362068965517238</v>
      </c>
      <c r="S45">
        <v>1.0344827586206897</v>
      </c>
      <c r="T45">
        <v>0.96666666666666656</v>
      </c>
    </row>
    <row r="46" spans="1:20" x14ac:dyDescent="0.3">
      <c r="A46" s="99">
        <v>46025</v>
      </c>
      <c r="B46" t="s">
        <v>97</v>
      </c>
      <c r="C46" t="s">
        <v>402</v>
      </c>
      <c r="D46" s="100"/>
      <c r="E46" s="100"/>
      <c r="F46" s="100"/>
      <c r="G46">
        <v>5</v>
      </c>
      <c r="H46">
        <v>412</v>
      </c>
      <c r="I46" s="100">
        <v>7.2916666666666671E-2</v>
      </c>
      <c r="J46" s="101">
        <v>46025.291666666664</v>
      </c>
      <c r="K46" s="101">
        <v>46025.791666666664</v>
      </c>
      <c r="L46">
        <v>12</v>
      </c>
      <c r="M46">
        <v>1.75</v>
      </c>
      <c r="O46">
        <v>10.25</v>
      </c>
      <c r="P46">
        <v>51.25</v>
      </c>
      <c r="Q46">
        <v>60</v>
      </c>
      <c r="R46">
        <v>0.12439320388349515</v>
      </c>
      <c r="S46">
        <v>0.14563106796116504</v>
      </c>
      <c r="T46">
        <v>6.8666666666666671</v>
      </c>
    </row>
    <row r="47" spans="1:20" x14ac:dyDescent="0.3">
      <c r="A47" s="99">
        <v>46025</v>
      </c>
      <c r="B47" t="s">
        <v>98</v>
      </c>
      <c r="C47" t="s">
        <v>402</v>
      </c>
      <c r="D47" s="100">
        <v>0.12083333333333333</v>
      </c>
      <c r="E47" s="100"/>
      <c r="F47" s="100"/>
      <c r="G47">
        <v>23</v>
      </c>
      <c r="H47">
        <v>348</v>
      </c>
      <c r="I47" s="100">
        <v>0.10416666666666667</v>
      </c>
      <c r="J47" s="101">
        <v>46025.291666666664</v>
      </c>
      <c r="K47" s="101">
        <v>46025.875</v>
      </c>
      <c r="L47">
        <v>14</v>
      </c>
      <c r="M47">
        <v>2.5</v>
      </c>
      <c r="N47">
        <v>2.9</v>
      </c>
      <c r="O47">
        <v>8.6</v>
      </c>
      <c r="P47">
        <v>197.79999999999998</v>
      </c>
      <c r="Q47">
        <v>322</v>
      </c>
      <c r="R47">
        <v>0.56839080459770108</v>
      </c>
      <c r="S47">
        <v>0.92528735632183912</v>
      </c>
      <c r="T47">
        <v>1.0807453416149069</v>
      </c>
    </row>
    <row r="48" spans="1:20" x14ac:dyDescent="0.3">
      <c r="A48" s="99">
        <v>46025</v>
      </c>
      <c r="B48" t="s">
        <v>99</v>
      </c>
      <c r="C48" t="s">
        <v>402</v>
      </c>
      <c r="D48" s="100"/>
      <c r="E48" s="100"/>
      <c r="F48" s="100"/>
      <c r="G48">
        <v>23</v>
      </c>
      <c r="H48">
        <v>340</v>
      </c>
      <c r="I48" s="100">
        <v>0.10416666666666667</v>
      </c>
      <c r="J48" s="101">
        <v>46025.291666666664</v>
      </c>
      <c r="K48" s="101">
        <v>46025.875</v>
      </c>
      <c r="L48">
        <v>14</v>
      </c>
      <c r="M48">
        <v>2.5</v>
      </c>
      <c r="O48">
        <v>11.5</v>
      </c>
      <c r="P48">
        <v>264.5</v>
      </c>
      <c r="Q48">
        <v>322</v>
      </c>
      <c r="R48">
        <v>0.77794117647058825</v>
      </c>
      <c r="S48">
        <v>0.94705882352941173</v>
      </c>
      <c r="T48">
        <v>1.0559006211180124</v>
      </c>
    </row>
    <row r="49" spans="1:20" x14ac:dyDescent="0.3">
      <c r="A49" s="99">
        <v>46026</v>
      </c>
      <c r="B49" t="s">
        <v>99</v>
      </c>
      <c r="C49" t="s">
        <v>402</v>
      </c>
      <c r="D49" s="100"/>
      <c r="E49" s="100"/>
      <c r="F49" s="100"/>
      <c r="G49">
        <v>21</v>
      </c>
      <c r="H49">
        <v>225</v>
      </c>
      <c r="I49" s="100">
        <v>7.2916666666666671E-2</v>
      </c>
      <c r="J49" s="101">
        <v>46026.291666666664</v>
      </c>
      <c r="K49" s="101">
        <v>46026.791666666664</v>
      </c>
      <c r="L49">
        <v>12</v>
      </c>
      <c r="M49">
        <v>1.75</v>
      </c>
      <c r="O49">
        <v>10.25</v>
      </c>
      <c r="P49">
        <v>215.25</v>
      </c>
      <c r="Q49">
        <v>252</v>
      </c>
      <c r="R49">
        <v>0.95666666666666667</v>
      </c>
      <c r="S49">
        <v>1.1200000000000001</v>
      </c>
      <c r="T49">
        <v>0.89285714285714279</v>
      </c>
    </row>
    <row r="50" spans="1:20" x14ac:dyDescent="0.3">
      <c r="A50" s="99">
        <v>46027</v>
      </c>
      <c r="B50" t="s">
        <v>96</v>
      </c>
      <c r="C50" t="s">
        <v>402</v>
      </c>
      <c r="D50" s="100"/>
      <c r="E50" s="100"/>
      <c r="F50" s="100"/>
      <c r="G50">
        <v>21</v>
      </c>
      <c r="H50">
        <v>508</v>
      </c>
      <c r="I50" s="100">
        <v>7.2916666666666671E-2</v>
      </c>
      <c r="J50" s="101">
        <v>46027.291666666664</v>
      </c>
      <c r="K50" s="101">
        <v>46027.791666666664</v>
      </c>
      <c r="L50">
        <v>12</v>
      </c>
      <c r="M50">
        <v>1.75</v>
      </c>
      <c r="O50">
        <v>10.25</v>
      </c>
      <c r="P50">
        <v>215.25</v>
      </c>
      <c r="Q50">
        <v>252</v>
      </c>
      <c r="R50">
        <v>0.42372047244094491</v>
      </c>
      <c r="S50">
        <v>0.49606299212598426</v>
      </c>
      <c r="T50">
        <v>2.0158730158730158</v>
      </c>
    </row>
    <row r="51" spans="1:20" x14ac:dyDescent="0.3">
      <c r="A51" s="99">
        <v>46027</v>
      </c>
      <c r="B51" t="s">
        <v>97</v>
      </c>
      <c r="C51" t="s">
        <v>402</v>
      </c>
      <c r="D51" s="100"/>
      <c r="E51" s="100"/>
      <c r="F51" s="100"/>
      <c r="G51">
        <v>5</v>
      </c>
      <c r="H51">
        <v>407</v>
      </c>
      <c r="I51" s="100">
        <v>7.2916666666666671E-2</v>
      </c>
      <c r="J51" s="101">
        <v>46027.291666666664</v>
      </c>
      <c r="K51" s="101">
        <v>46027.791666666664</v>
      </c>
      <c r="L51">
        <v>12</v>
      </c>
      <c r="M51">
        <v>1.75</v>
      </c>
      <c r="O51">
        <v>10.25</v>
      </c>
      <c r="P51">
        <v>51.25</v>
      </c>
      <c r="Q51">
        <v>60</v>
      </c>
      <c r="R51">
        <v>0.12592137592137592</v>
      </c>
      <c r="S51">
        <v>0.14742014742014742</v>
      </c>
      <c r="T51">
        <v>6.7833333333333332</v>
      </c>
    </row>
    <row r="52" spans="1:20" x14ac:dyDescent="0.3">
      <c r="A52" s="99">
        <v>46027</v>
      </c>
      <c r="B52" t="s">
        <v>98</v>
      </c>
      <c r="C52" t="s">
        <v>402</v>
      </c>
      <c r="D52" s="100"/>
      <c r="E52" s="100"/>
      <c r="F52" s="100"/>
      <c r="G52">
        <v>24</v>
      </c>
      <c r="H52">
        <v>279</v>
      </c>
      <c r="I52" s="100">
        <v>7.2916666666666671E-2</v>
      </c>
      <c r="J52" s="101">
        <v>46027.291666666664</v>
      </c>
      <c r="K52" s="101">
        <v>46027.791666666664</v>
      </c>
      <c r="L52">
        <v>12</v>
      </c>
      <c r="M52">
        <v>1.75</v>
      </c>
      <c r="O52">
        <v>10.25</v>
      </c>
      <c r="P52">
        <v>246</v>
      </c>
      <c r="Q52">
        <v>288</v>
      </c>
      <c r="R52">
        <v>0.88172043010752688</v>
      </c>
      <c r="S52">
        <v>1.032258064516129</v>
      </c>
      <c r="T52">
        <v>0.96875</v>
      </c>
    </row>
    <row r="53" spans="1:20" x14ac:dyDescent="0.3">
      <c r="A53" s="99">
        <v>46027</v>
      </c>
      <c r="B53" t="s">
        <v>99</v>
      </c>
      <c r="C53" t="s">
        <v>402</v>
      </c>
      <c r="D53" s="100">
        <v>0.15625</v>
      </c>
      <c r="E53" s="100"/>
      <c r="F53" s="100"/>
      <c r="G53">
        <v>23</v>
      </c>
      <c r="H53">
        <v>183</v>
      </c>
      <c r="I53" s="100">
        <v>7.2916666666666671E-2</v>
      </c>
      <c r="J53" s="101">
        <v>46027.291666666664</v>
      </c>
      <c r="K53" s="101">
        <v>46027.791666666664</v>
      </c>
      <c r="L53">
        <v>12</v>
      </c>
      <c r="M53">
        <v>1.75</v>
      </c>
      <c r="N53">
        <v>3.75</v>
      </c>
      <c r="O53">
        <v>6.5</v>
      </c>
      <c r="P53">
        <v>149.5</v>
      </c>
      <c r="Q53">
        <v>276</v>
      </c>
      <c r="R53">
        <v>0.81693989071038253</v>
      </c>
      <c r="S53">
        <v>1.5081967213114753</v>
      </c>
      <c r="T53">
        <v>0.66304347826086962</v>
      </c>
    </row>
    <row r="54" spans="1:20" x14ac:dyDescent="0.3">
      <c r="A54" s="99">
        <v>46028</v>
      </c>
      <c r="B54" t="s">
        <v>96</v>
      </c>
      <c r="C54" t="s">
        <v>402</v>
      </c>
      <c r="D54" s="100"/>
      <c r="E54" s="100"/>
      <c r="F54" s="100"/>
      <c r="G54">
        <v>20</v>
      </c>
      <c r="H54">
        <v>490</v>
      </c>
      <c r="I54" s="100">
        <v>7.2916666666666671E-2</v>
      </c>
      <c r="J54" s="101">
        <v>46028.291666666664</v>
      </c>
      <c r="K54" s="101">
        <v>46028.791666666664</v>
      </c>
      <c r="L54">
        <v>12</v>
      </c>
      <c r="M54">
        <v>1.75</v>
      </c>
      <c r="O54">
        <v>10.25</v>
      </c>
      <c r="P54">
        <v>205</v>
      </c>
      <c r="Q54">
        <v>240</v>
      </c>
      <c r="R54">
        <v>0.41836734693877553</v>
      </c>
      <c r="S54">
        <v>0.48979591836734693</v>
      </c>
      <c r="T54">
        <v>2.0416666666666665</v>
      </c>
    </row>
    <row r="55" spans="1:20" x14ac:dyDescent="0.3">
      <c r="A55" s="99">
        <v>46028</v>
      </c>
      <c r="B55" t="s">
        <v>97</v>
      </c>
      <c r="C55" t="s">
        <v>402</v>
      </c>
      <c r="D55" s="100"/>
      <c r="E55" s="100"/>
      <c r="F55" s="100"/>
      <c r="G55">
        <v>5</v>
      </c>
      <c r="H55">
        <v>461</v>
      </c>
      <c r="I55" s="100">
        <v>7.2916666666666671E-2</v>
      </c>
      <c r="J55" s="101">
        <v>46028.291666666664</v>
      </c>
      <c r="K55" s="101">
        <v>46028.791666666664</v>
      </c>
      <c r="L55">
        <v>12</v>
      </c>
      <c r="M55">
        <v>1.75</v>
      </c>
      <c r="O55">
        <v>10.25</v>
      </c>
      <c r="P55">
        <v>51.25</v>
      </c>
      <c r="Q55">
        <v>60</v>
      </c>
      <c r="R55">
        <v>0.11117136659436008</v>
      </c>
      <c r="S55">
        <v>0.13015184381778741</v>
      </c>
      <c r="T55">
        <v>7.6833333333333336</v>
      </c>
    </row>
    <row r="56" spans="1:20" x14ac:dyDescent="0.3">
      <c r="A56" s="99">
        <v>46028</v>
      </c>
      <c r="B56" t="s">
        <v>98</v>
      </c>
      <c r="C56" t="s">
        <v>402</v>
      </c>
      <c r="D56" s="100"/>
      <c r="E56" s="100"/>
      <c r="F56" s="100"/>
      <c r="G56">
        <v>22</v>
      </c>
      <c r="H56">
        <v>500</v>
      </c>
      <c r="I56" s="100">
        <v>7.2916666666666671E-2</v>
      </c>
      <c r="J56" s="101">
        <v>46028.291666666664</v>
      </c>
      <c r="K56" s="101">
        <v>46028.791666666664</v>
      </c>
      <c r="L56">
        <v>12</v>
      </c>
      <c r="M56">
        <v>1.75</v>
      </c>
      <c r="O56">
        <v>10.25</v>
      </c>
      <c r="P56">
        <v>225.5</v>
      </c>
      <c r="Q56">
        <v>264</v>
      </c>
      <c r="R56">
        <v>0.45100000000000001</v>
      </c>
      <c r="S56">
        <v>0.52800000000000002</v>
      </c>
      <c r="T56">
        <v>1.8939393939393938</v>
      </c>
    </row>
    <row r="57" spans="1:20" x14ac:dyDescent="0.3">
      <c r="A57" s="99">
        <v>46028</v>
      </c>
      <c r="B57" t="s">
        <v>99</v>
      </c>
      <c r="C57" t="s">
        <v>402</v>
      </c>
      <c r="D57" s="100"/>
      <c r="E57" s="100"/>
      <c r="F57" s="100"/>
      <c r="G57">
        <v>23</v>
      </c>
      <c r="H57">
        <v>581</v>
      </c>
      <c r="I57" s="100">
        <v>0.10416666666666667</v>
      </c>
      <c r="J57" s="101">
        <v>46028.291666666664</v>
      </c>
      <c r="K57" s="101">
        <v>46028.875</v>
      </c>
      <c r="L57">
        <v>14</v>
      </c>
      <c r="M57">
        <v>2.5</v>
      </c>
      <c r="O57">
        <v>11.5</v>
      </c>
      <c r="P57">
        <v>264.5</v>
      </c>
      <c r="Q57">
        <v>322</v>
      </c>
      <c r="R57">
        <v>0.45524956970740105</v>
      </c>
      <c r="S57">
        <v>0.55421686746987953</v>
      </c>
      <c r="T57">
        <v>1.8043478260869565</v>
      </c>
    </row>
    <row r="58" spans="1:20" x14ac:dyDescent="0.3">
      <c r="A58" s="99">
        <v>46029</v>
      </c>
      <c r="B58" t="s">
        <v>96</v>
      </c>
      <c r="C58" t="s">
        <v>402</v>
      </c>
      <c r="D58" s="100"/>
      <c r="E58" s="100"/>
      <c r="F58" s="100"/>
      <c r="G58">
        <v>17</v>
      </c>
      <c r="H58">
        <v>520</v>
      </c>
      <c r="I58" s="100">
        <v>7.2916666666666671E-2</v>
      </c>
      <c r="J58" s="101">
        <v>46029.291666666664</v>
      </c>
      <c r="K58" s="101">
        <v>46029.791666666664</v>
      </c>
      <c r="L58">
        <v>12</v>
      </c>
      <c r="M58">
        <v>1.75</v>
      </c>
      <c r="O58">
        <v>10.25</v>
      </c>
      <c r="P58">
        <v>174.25</v>
      </c>
      <c r="Q58">
        <v>204</v>
      </c>
      <c r="R58">
        <v>0.33509615384615382</v>
      </c>
      <c r="S58">
        <v>0.3923076923076923</v>
      </c>
      <c r="T58">
        <v>2.5490196078431371</v>
      </c>
    </row>
    <row r="59" spans="1:20" x14ac:dyDescent="0.3">
      <c r="A59" s="99">
        <v>46029</v>
      </c>
      <c r="B59" t="s">
        <v>97</v>
      </c>
      <c r="C59" t="s">
        <v>402</v>
      </c>
      <c r="D59" s="100"/>
      <c r="E59" s="100"/>
      <c r="F59" s="100"/>
      <c r="G59">
        <v>5</v>
      </c>
      <c r="H59">
        <v>468</v>
      </c>
      <c r="I59" s="100">
        <v>7.2916666666666671E-2</v>
      </c>
      <c r="J59" s="101">
        <v>46029.291666666664</v>
      </c>
      <c r="K59" s="101">
        <v>46029.791666666664</v>
      </c>
      <c r="L59">
        <v>12</v>
      </c>
      <c r="M59">
        <v>1.75</v>
      </c>
      <c r="O59">
        <v>10.25</v>
      </c>
      <c r="P59">
        <v>51.25</v>
      </c>
      <c r="Q59">
        <v>60</v>
      </c>
      <c r="R59">
        <v>0.10950854700854701</v>
      </c>
      <c r="S59">
        <v>0.12820512820512819</v>
      </c>
      <c r="T59">
        <v>7.8000000000000007</v>
      </c>
    </row>
    <row r="60" spans="1:20" x14ac:dyDescent="0.3">
      <c r="A60" s="99">
        <v>46029</v>
      </c>
      <c r="B60" t="s">
        <v>98</v>
      </c>
      <c r="C60" t="s">
        <v>402</v>
      </c>
      <c r="D60" s="100"/>
      <c r="E60" s="100"/>
      <c r="F60" s="100"/>
      <c r="G60">
        <v>25</v>
      </c>
      <c r="H60">
        <v>500</v>
      </c>
      <c r="I60" s="100">
        <v>7.2916666666666671E-2</v>
      </c>
      <c r="J60" s="101">
        <v>46029.291666666664</v>
      </c>
      <c r="K60" s="101">
        <v>46029.791666666664</v>
      </c>
      <c r="L60">
        <v>12</v>
      </c>
      <c r="M60">
        <v>1.75</v>
      </c>
      <c r="O60">
        <v>10.25</v>
      </c>
      <c r="P60">
        <v>256.25</v>
      </c>
      <c r="Q60">
        <v>300</v>
      </c>
      <c r="R60">
        <v>0.51249999999999996</v>
      </c>
      <c r="S60">
        <v>0.6</v>
      </c>
      <c r="T60">
        <v>1.6666666666666667</v>
      </c>
    </row>
    <row r="61" spans="1:20" x14ac:dyDescent="0.3">
      <c r="A61" s="99">
        <v>46029</v>
      </c>
      <c r="B61" t="s">
        <v>99</v>
      </c>
      <c r="C61" t="s">
        <v>402</v>
      </c>
      <c r="D61" s="100"/>
      <c r="E61" s="100"/>
      <c r="F61" s="100"/>
      <c r="G61">
        <v>21</v>
      </c>
      <c r="H61">
        <v>401</v>
      </c>
      <c r="I61" s="100">
        <v>7.2916666666666671E-2</v>
      </c>
      <c r="J61" s="101">
        <v>46029.291666666664</v>
      </c>
      <c r="K61" s="101">
        <v>46029.791666666664</v>
      </c>
      <c r="L61">
        <v>12</v>
      </c>
      <c r="M61">
        <v>1.75</v>
      </c>
      <c r="O61">
        <v>10.25</v>
      </c>
      <c r="P61">
        <v>215.25</v>
      </c>
      <c r="Q61">
        <v>252</v>
      </c>
      <c r="R61">
        <v>0.53678304239401498</v>
      </c>
      <c r="S61">
        <v>0.62842892768079806</v>
      </c>
      <c r="T61">
        <v>1.5912698412698412</v>
      </c>
    </row>
    <row r="62" spans="1:20" x14ac:dyDescent="0.3">
      <c r="A62" s="99">
        <v>46030</v>
      </c>
      <c r="B62" t="s">
        <v>96</v>
      </c>
      <c r="C62" t="s">
        <v>402</v>
      </c>
      <c r="D62" s="100"/>
      <c r="E62" s="100"/>
      <c r="F62" s="100"/>
      <c r="G62">
        <v>17</v>
      </c>
      <c r="H62">
        <v>423</v>
      </c>
      <c r="I62" s="100">
        <v>7.2916666666666671E-2</v>
      </c>
      <c r="J62" s="101">
        <v>46030.291666666664</v>
      </c>
      <c r="K62" s="101">
        <v>46030.791666666664</v>
      </c>
      <c r="L62">
        <v>12</v>
      </c>
      <c r="M62">
        <v>1.75</v>
      </c>
      <c r="O62">
        <v>10.25</v>
      </c>
      <c r="P62">
        <v>174.25</v>
      </c>
      <c r="Q62">
        <v>204</v>
      </c>
      <c r="R62">
        <v>0.41193853427895982</v>
      </c>
      <c r="S62">
        <v>0.48226950354609927</v>
      </c>
      <c r="T62">
        <v>2.0735294117647061</v>
      </c>
    </row>
    <row r="63" spans="1:20" x14ac:dyDescent="0.3">
      <c r="A63" s="99">
        <v>46030</v>
      </c>
      <c r="B63" t="s">
        <v>97</v>
      </c>
      <c r="C63" t="s">
        <v>402</v>
      </c>
      <c r="D63" s="100"/>
      <c r="E63" s="100"/>
      <c r="F63" s="100"/>
      <c r="G63">
        <v>5</v>
      </c>
      <c r="H63">
        <v>449</v>
      </c>
      <c r="I63" s="100">
        <v>7.2916666666666671E-2</v>
      </c>
      <c r="J63" s="101">
        <v>46030.291666666664</v>
      </c>
      <c r="K63" s="101">
        <v>46030.791666666664</v>
      </c>
      <c r="L63">
        <v>12</v>
      </c>
      <c r="M63">
        <v>1.75</v>
      </c>
      <c r="O63">
        <v>10.25</v>
      </c>
      <c r="P63">
        <v>51.25</v>
      </c>
      <c r="Q63">
        <v>60</v>
      </c>
      <c r="R63">
        <v>0.11414253897550111</v>
      </c>
      <c r="S63">
        <v>0.133630289532294</v>
      </c>
      <c r="T63">
        <v>7.4833333333333325</v>
      </c>
    </row>
    <row r="64" spans="1:20" x14ac:dyDescent="0.3">
      <c r="A64" s="99">
        <v>46030</v>
      </c>
      <c r="B64" t="s">
        <v>98</v>
      </c>
      <c r="C64" t="s">
        <v>402</v>
      </c>
      <c r="D64" s="100"/>
      <c r="E64" s="100"/>
      <c r="F64" s="100"/>
      <c r="G64">
        <v>25</v>
      </c>
      <c r="H64">
        <v>511</v>
      </c>
      <c r="I64" s="100">
        <v>7.2916666666666671E-2</v>
      </c>
      <c r="J64" s="101">
        <v>46030.291666666664</v>
      </c>
      <c r="K64" s="101">
        <v>46030.791666666664</v>
      </c>
      <c r="L64">
        <v>12</v>
      </c>
      <c r="M64">
        <v>1.75</v>
      </c>
      <c r="O64">
        <v>10.25</v>
      </c>
      <c r="P64">
        <v>256.25</v>
      </c>
      <c r="Q64">
        <v>300</v>
      </c>
      <c r="R64">
        <v>0.50146771037181992</v>
      </c>
      <c r="S64">
        <v>0.58708414872798431</v>
      </c>
      <c r="T64">
        <v>1.7033333333333334</v>
      </c>
    </row>
    <row r="65" spans="1:20" x14ac:dyDescent="0.3">
      <c r="A65" s="99">
        <v>46030</v>
      </c>
      <c r="B65" t="s">
        <v>99</v>
      </c>
      <c r="C65" t="s">
        <v>402</v>
      </c>
      <c r="D65" s="100"/>
      <c r="E65" s="100"/>
      <c r="F65" s="100"/>
      <c r="G65">
        <v>21</v>
      </c>
      <c r="H65">
        <v>430</v>
      </c>
      <c r="I65" s="100">
        <v>7.2916666666666671E-2</v>
      </c>
      <c r="J65" s="101">
        <v>46030.291666666664</v>
      </c>
      <c r="K65" s="101">
        <v>46030.791666666664</v>
      </c>
      <c r="L65">
        <v>12</v>
      </c>
      <c r="M65">
        <v>1.75</v>
      </c>
      <c r="O65">
        <v>10.25</v>
      </c>
      <c r="P65">
        <v>215.25</v>
      </c>
      <c r="Q65">
        <v>252</v>
      </c>
      <c r="R65">
        <v>0.50058139534883717</v>
      </c>
      <c r="S65">
        <v>0.586046511627907</v>
      </c>
      <c r="T65">
        <v>1.7063492063492063</v>
      </c>
    </row>
    <row r="66" spans="1:20" x14ac:dyDescent="0.3">
      <c r="A66" s="99">
        <v>46031</v>
      </c>
      <c r="B66" t="s">
        <v>96</v>
      </c>
      <c r="C66" t="s">
        <v>402</v>
      </c>
      <c r="D66" s="100"/>
      <c r="E66" s="100"/>
      <c r="F66" s="100"/>
      <c r="G66">
        <v>16</v>
      </c>
      <c r="H66">
        <v>399</v>
      </c>
      <c r="I66" s="100">
        <v>7.2916666666666671E-2</v>
      </c>
      <c r="J66" s="101">
        <v>46031.291666666664</v>
      </c>
      <c r="K66" s="101">
        <v>46031.791666666664</v>
      </c>
      <c r="L66">
        <v>12</v>
      </c>
      <c r="M66">
        <v>1.75</v>
      </c>
      <c r="O66">
        <v>10.25</v>
      </c>
      <c r="P66">
        <v>164</v>
      </c>
      <c r="Q66">
        <v>192</v>
      </c>
      <c r="R66">
        <v>0.41102756892230574</v>
      </c>
      <c r="S66">
        <v>0.48120300751879697</v>
      </c>
      <c r="T66">
        <v>2.078125</v>
      </c>
    </row>
    <row r="67" spans="1:20" x14ac:dyDescent="0.3">
      <c r="A67" s="99">
        <v>46031</v>
      </c>
      <c r="B67" t="s">
        <v>97</v>
      </c>
      <c r="C67" t="s">
        <v>402</v>
      </c>
      <c r="D67" s="100"/>
      <c r="E67" s="100"/>
      <c r="F67" s="100"/>
      <c r="G67">
        <v>5</v>
      </c>
      <c r="H67">
        <v>477</v>
      </c>
      <c r="I67" s="100">
        <v>7.2916666666666671E-2</v>
      </c>
      <c r="J67" s="101">
        <v>46031.291666666664</v>
      </c>
      <c r="K67" s="101">
        <v>46031.791666666664</v>
      </c>
      <c r="L67">
        <v>12</v>
      </c>
      <c r="M67">
        <v>1.75</v>
      </c>
      <c r="O67">
        <v>10.25</v>
      </c>
      <c r="P67">
        <v>51.25</v>
      </c>
      <c r="Q67">
        <v>60</v>
      </c>
      <c r="R67">
        <v>0.10744234800838574</v>
      </c>
      <c r="S67">
        <v>0.12578616352201258</v>
      </c>
      <c r="T67">
        <v>7.95</v>
      </c>
    </row>
    <row r="68" spans="1:20" x14ac:dyDescent="0.3">
      <c r="A68" s="99">
        <v>46031</v>
      </c>
      <c r="B68" t="s">
        <v>98</v>
      </c>
      <c r="C68" t="s">
        <v>402</v>
      </c>
      <c r="D68" s="100">
        <v>4.7222222222222221E-2</v>
      </c>
      <c r="E68" s="100"/>
      <c r="F68" s="100"/>
      <c r="G68">
        <v>26</v>
      </c>
      <c r="H68">
        <v>339</v>
      </c>
      <c r="I68" s="100">
        <v>7.2916666666666671E-2</v>
      </c>
      <c r="J68" s="101">
        <v>46031.291666666664</v>
      </c>
      <c r="K68" s="101">
        <v>46031.791666666664</v>
      </c>
      <c r="L68">
        <v>12</v>
      </c>
      <c r="M68">
        <v>1.75</v>
      </c>
      <c r="N68">
        <v>1.1333333333333333</v>
      </c>
      <c r="O68">
        <v>9.1166666666666671</v>
      </c>
      <c r="P68">
        <v>237.03333333333336</v>
      </c>
      <c r="Q68">
        <v>312</v>
      </c>
      <c r="R68">
        <v>0.69921337266470018</v>
      </c>
      <c r="S68">
        <v>0.92035398230088494</v>
      </c>
      <c r="T68">
        <v>1.0865384615384615</v>
      </c>
    </row>
    <row r="69" spans="1:20" x14ac:dyDescent="0.3">
      <c r="A69" s="99">
        <v>46031</v>
      </c>
      <c r="B69" t="s">
        <v>99</v>
      </c>
      <c r="C69" t="s">
        <v>402</v>
      </c>
      <c r="D69" s="100"/>
      <c r="E69" s="100"/>
      <c r="F69" s="100"/>
      <c r="G69">
        <v>21</v>
      </c>
      <c r="H69">
        <v>263</v>
      </c>
      <c r="I69" s="100">
        <v>7.2916666666666671E-2</v>
      </c>
      <c r="J69" s="101">
        <v>46031.291666666664</v>
      </c>
      <c r="K69" s="101">
        <v>46031.791666666664</v>
      </c>
      <c r="L69">
        <v>12</v>
      </c>
      <c r="M69">
        <v>1.75</v>
      </c>
      <c r="O69">
        <v>10.25</v>
      </c>
      <c r="P69">
        <v>215.25</v>
      </c>
      <c r="Q69">
        <v>252</v>
      </c>
      <c r="R69">
        <v>0.8184410646387833</v>
      </c>
      <c r="S69">
        <v>0.95817490494296575</v>
      </c>
      <c r="T69">
        <v>1.0436507936507937</v>
      </c>
    </row>
    <row r="70" spans="1:20" x14ac:dyDescent="0.3">
      <c r="A70" s="99">
        <v>46032</v>
      </c>
      <c r="B70" t="s">
        <v>96</v>
      </c>
      <c r="C70" t="s">
        <v>402</v>
      </c>
      <c r="D70" s="100"/>
      <c r="E70" s="100"/>
      <c r="F70" s="100"/>
      <c r="G70">
        <v>21</v>
      </c>
      <c r="H70">
        <v>448</v>
      </c>
      <c r="I70" s="100">
        <v>7.2916666666666671E-2</v>
      </c>
      <c r="J70" s="101">
        <v>46032.291666666664</v>
      </c>
      <c r="K70" s="101">
        <v>46032.791666666664</v>
      </c>
      <c r="L70">
        <v>12</v>
      </c>
      <c r="M70">
        <v>1.75</v>
      </c>
      <c r="O70">
        <v>10.25</v>
      </c>
      <c r="P70">
        <v>215.25</v>
      </c>
      <c r="Q70">
        <v>252</v>
      </c>
      <c r="R70">
        <v>0.48046875</v>
      </c>
      <c r="S70">
        <v>0.5625</v>
      </c>
      <c r="T70">
        <v>1.7777777777777777</v>
      </c>
    </row>
    <row r="71" spans="1:20" x14ac:dyDescent="0.3">
      <c r="A71" s="99">
        <v>46032</v>
      </c>
      <c r="B71" t="s">
        <v>97</v>
      </c>
      <c r="C71" t="s">
        <v>402</v>
      </c>
      <c r="D71" s="100"/>
      <c r="E71" s="100"/>
      <c r="F71" s="100"/>
      <c r="G71">
        <v>5</v>
      </c>
      <c r="H71">
        <v>440</v>
      </c>
      <c r="I71" s="100">
        <v>7.2916666666666671E-2</v>
      </c>
      <c r="J71" s="101">
        <v>46032.291666666664</v>
      </c>
      <c r="K71" s="101">
        <v>46032.791666666664</v>
      </c>
      <c r="L71">
        <v>12</v>
      </c>
      <c r="M71">
        <v>1.75</v>
      </c>
      <c r="O71">
        <v>10.25</v>
      </c>
      <c r="P71">
        <v>51.25</v>
      </c>
      <c r="Q71">
        <v>60</v>
      </c>
      <c r="R71">
        <v>0.11647727272727272</v>
      </c>
      <c r="S71">
        <v>0.13636363636363635</v>
      </c>
      <c r="T71">
        <v>7.3333333333333339</v>
      </c>
    </row>
    <row r="72" spans="1:20" x14ac:dyDescent="0.3">
      <c r="A72" s="99">
        <v>46032</v>
      </c>
      <c r="B72" t="s">
        <v>98</v>
      </c>
      <c r="C72" t="s">
        <v>402</v>
      </c>
      <c r="D72" s="100">
        <v>0.10138888888888889</v>
      </c>
      <c r="E72" s="100"/>
      <c r="F72" s="100"/>
      <c r="G72">
        <v>22</v>
      </c>
      <c r="H72">
        <v>339</v>
      </c>
      <c r="I72" s="100">
        <v>7.2916666666666671E-2</v>
      </c>
      <c r="J72" s="101">
        <v>46032.291666666664</v>
      </c>
      <c r="K72" s="101">
        <v>46032.791666666664</v>
      </c>
      <c r="L72">
        <v>12</v>
      </c>
      <c r="M72">
        <v>1.75</v>
      </c>
      <c r="N72">
        <v>2.4333333333333331</v>
      </c>
      <c r="O72">
        <v>7.8166666666666664</v>
      </c>
      <c r="P72">
        <v>171.96666666666667</v>
      </c>
      <c r="Q72">
        <v>264</v>
      </c>
      <c r="R72">
        <v>0.50727630285152414</v>
      </c>
      <c r="S72">
        <v>0.77876106194690264</v>
      </c>
      <c r="T72">
        <v>1.2840909090909092</v>
      </c>
    </row>
    <row r="73" spans="1:20" x14ac:dyDescent="0.3">
      <c r="A73" s="99">
        <v>46032</v>
      </c>
      <c r="B73" t="s">
        <v>99</v>
      </c>
      <c r="C73" t="s">
        <v>402</v>
      </c>
      <c r="D73" s="100">
        <v>9.7222222222222224E-2</v>
      </c>
      <c r="E73" s="100"/>
      <c r="F73" s="100"/>
      <c r="G73">
        <v>22</v>
      </c>
      <c r="H73">
        <v>240</v>
      </c>
      <c r="I73" s="100">
        <v>7.2916666666666671E-2</v>
      </c>
      <c r="J73" s="101">
        <v>46032.291666666664</v>
      </c>
      <c r="K73" s="101">
        <v>46032.791666666664</v>
      </c>
      <c r="L73">
        <v>12</v>
      </c>
      <c r="M73">
        <v>1.75</v>
      </c>
      <c r="N73">
        <v>2.333333333333333</v>
      </c>
      <c r="O73">
        <v>7.916666666666667</v>
      </c>
      <c r="P73">
        <v>174.16666666666669</v>
      </c>
      <c r="Q73">
        <v>264</v>
      </c>
      <c r="R73">
        <v>0.72569444444444453</v>
      </c>
      <c r="S73">
        <v>1.1000000000000001</v>
      </c>
      <c r="T73">
        <v>0.90909090909090906</v>
      </c>
    </row>
    <row r="74" spans="1:20" x14ac:dyDescent="0.3">
      <c r="A74" s="99">
        <v>46033</v>
      </c>
      <c r="B74" t="s">
        <v>98</v>
      </c>
      <c r="C74" t="s">
        <v>402</v>
      </c>
      <c r="D74" s="100"/>
      <c r="E74" s="100"/>
      <c r="F74" s="100"/>
      <c r="G74">
        <v>20</v>
      </c>
      <c r="H74">
        <v>132</v>
      </c>
      <c r="I74" s="100">
        <v>6.9444444444444441E-3</v>
      </c>
      <c r="J74" s="101">
        <v>46033.541666666664</v>
      </c>
      <c r="K74" s="101">
        <v>46033.666666666664</v>
      </c>
      <c r="L74">
        <v>3</v>
      </c>
      <c r="M74">
        <v>0.16666666666666666</v>
      </c>
      <c r="O74">
        <v>2.8333333333333335</v>
      </c>
      <c r="P74">
        <v>56.666666666666671</v>
      </c>
      <c r="Q74">
        <v>60</v>
      </c>
      <c r="R74">
        <v>0.42929292929292934</v>
      </c>
      <c r="S74">
        <v>0.45454545454545453</v>
      </c>
      <c r="T74">
        <v>2.2000000000000002</v>
      </c>
    </row>
    <row r="75" spans="1:20" x14ac:dyDescent="0.3">
      <c r="A75" s="99">
        <v>46034</v>
      </c>
      <c r="B75" t="s">
        <v>96</v>
      </c>
      <c r="C75" t="s">
        <v>402</v>
      </c>
      <c r="D75" s="100"/>
      <c r="E75" s="100"/>
      <c r="F75" s="100"/>
      <c r="G75">
        <v>19</v>
      </c>
      <c r="H75">
        <v>85</v>
      </c>
      <c r="I75" s="100">
        <v>6.9444444444444441E-3</v>
      </c>
      <c r="J75" s="101">
        <v>46034.291666666664</v>
      </c>
      <c r="K75" s="101">
        <v>46034.416666666664</v>
      </c>
      <c r="L75">
        <v>3</v>
      </c>
      <c r="M75">
        <v>0.16666666666666666</v>
      </c>
      <c r="O75">
        <v>2.8333333333333335</v>
      </c>
      <c r="P75">
        <v>53.833333333333336</v>
      </c>
      <c r="Q75">
        <v>57</v>
      </c>
      <c r="R75">
        <v>0.63333333333333341</v>
      </c>
      <c r="S75">
        <v>0.6705882352941176</v>
      </c>
      <c r="T75">
        <v>1.4912280701754388</v>
      </c>
    </row>
    <row r="76" spans="1:20" x14ac:dyDescent="0.3">
      <c r="A76" s="99">
        <v>46034</v>
      </c>
      <c r="B76" t="s">
        <v>97</v>
      </c>
      <c r="C76" t="s">
        <v>402</v>
      </c>
      <c r="D76" s="100"/>
      <c r="E76" s="100"/>
      <c r="F76" s="100"/>
      <c r="G76">
        <v>5</v>
      </c>
      <c r="H76">
        <v>95</v>
      </c>
      <c r="I76" s="100">
        <v>6.9444444444444441E-3</v>
      </c>
      <c r="J76" s="101">
        <v>46034.291666666664</v>
      </c>
      <c r="K76" s="101">
        <v>46034.416666666664</v>
      </c>
      <c r="L76">
        <v>3</v>
      </c>
      <c r="M76">
        <v>0.16666666666666666</v>
      </c>
      <c r="O76">
        <v>2.8333333333333335</v>
      </c>
      <c r="P76">
        <v>14.166666666666668</v>
      </c>
      <c r="Q76">
        <v>15</v>
      </c>
      <c r="R76">
        <v>0.14912280701754388</v>
      </c>
      <c r="S76">
        <v>0.15789473684210525</v>
      </c>
      <c r="T76">
        <v>6.3333333333333339</v>
      </c>
    </row>
    <row r="77" spans="1:20" x14ac:dyDescent="0.3">
      <c r="A77" s="99">
        <v>46034</v>
      </c>
      <c r="B77" t="s">
        <v>98</v>
      </c>
      <c r="C77" t="s">
        <v>402</v>
      </c>
      <c r="D77" s="100"/>
      <c r="E77" s="100"/>
      <c r="F77" s="100"/>
      <c r="G77">
        <v>24</v>
      </c>
      <c r="H77">
        <v>431</v>
      </c>
      <c r="I77" s="100">
        <v>7.2916666666666671E-2</v>
      </c>
      <c r="J77" s="101">
        <v>46034.291666666664</v>
      </c>
      <c r="K77" s="101">
        <v>46034.791666666664</v>
      </c>
      <c r="L77">
        <v>12</v>
      </c>
      <c r="M77">
        <v>1.75</v>
      </c>
      <c r="O77">
        <v>10.25</v>
      </c>
      <c r="P77">
        <v>246</v>
      </c>
      <c r="Q77">
        <v>288</v>
      </c>
      <c r="R77">
        <v>0.57076566125290018</v>
      </c>
      <c r="S77">
        <v>0.6682134570765661</v>
      </c>
      <c r="T77">
        <v>1.4965277777777779</v>
      </c>
    </row>
    <row r="78" spans="1:20" x14ac:dyDescent="0.3">
      <c r="A78" s="99">
        <v>46034</v>
      </c>
      <c r="B78" t="s">
        <v>99</v>
      </c>
      <c r="C78" t="s">
        <v>402</v>
      </c>
      <c r="D78" s="100"/>
      <c r="E78" s="100"/>
      <c r="F78" s="100"/>
      <c r="G78">
        <v>20</v>
      </c>
      <c r="H78">
        <v>350</v>
      </c>
      <c r="I78" s="100">
        <v>0.10416666666666667</v>
      </c>
      <c r="J78" s="101">
        <v>46034.291666666664</v>
      </c>
      <c r="K78" s="101">
        <v>46034.875</v>
      </c>
      <c r="L78">
        <v>14</v>
      </c>
      <c r="M78">
        <v>2.5</v>
      </c>
      <c r="O78">
        <v>11.5</v>
      </c>
      <c r="P78">
        <v>230</v>
      </c>
      <c r="Q78">
        <v>280</v>
      </c>
      <c r="R78">
        <v>0.65714285714285714</v>
      </c>
      <c r="S78">
        <v>0.8</v>
      </c>
      <c r="T78">
        <v>1.25</v>
      </c>
    </row>
    <row r="79" spans="1:20" x14ac:dyDescent="0.3">
      <c r="A79" s="99">
        <v>46035</v>
      </c>
      <c r="B79" t="s">
        <v>96</v>
      </c>
      <c r="C79" t="s">
        <v>402</v>
      </c>
      <c r="D79" s="100"/>
      <c r="E79" s="100"/>
      <c r="F79" s="100"/>
      <c r="G79">
        <v>20</v>
      </c>
      <c r="H79">
        <v>500</v>
      </c>
      <c r="I79" s="100">
        <v>7.2916666666666671E-2</v>
      </c>
      <c r="J79" s="101">
        <v>46035.291666666664</v>
      </c>
      <c r="K79" s="101">
        <v>46035.791666666664</v>
      </c>
      <c r="L79">
        <v>12</v>
      </c>
      <c r="M79">
        <v>1.75</v>
      </c>
      <c r="O79">
        <v>10.25</v>
      </c>
      <c r="P79">
        <v>205</v>
      </c>
      <c r="Q79">
        <v>240</v>
      </c>
      <c r="R79">
        <v>0.41</v>
      </c>
      <c r="S79">
        <v>0.48</v>
      </c>
      <c r="T79">
        <v>2.0833333333333335</v>
      </c>
    </row>
    <row r="80" spans="1:20" x14ac:dyDescent="0.3">
      <c r="A80" s="99">
        <v>46035</v>
      </c>
      <c r="B80" t="s">
        <v>97</v>
      </c>
      <c r="C80" t="s">
        <v>402</v>
      </c>
      <c r="D80" s="100"/>
      <c r="E80" s="100"/>
      <c r="F80" s="100"/>
      <c r="G80">
        <v>5</v>
      </c>
      <c r="H80">
        <v>456</v>
      </c>
      <c r="I80" s="100">
        <v>7.2916666666666671E-2</v>
      </c>
      <c r="J80" s="101">
        <v>46035.291666666664</v>
      </c>
      <c r="K80" s="101">
        <v>46035.791666666664</v>
      </c>
      <c r="L80">
        <v>12</v>
      </c>
      <c r="M80">
        <v>1.75</v>
      </c>
      <c r="O80">
        <v>10.25</v>
      </c>
      <c r="P80">
        <v>51.25</v>
      </c>
      <c r="Q80">
        <v>60</v>
      </c>
      <c r="R80">
        <v>0.11239035087719298</v>
      </c>
      <c r="S80">
        <v>0.13157894736842105</v>
      </c>
      <c r="T80">
        <v>7.6000000000000005</v>
      </c>
    </row>
    <row r="81" spans="1:20" x14ac:dyDescent="0.3">
      <c r="A81" s="99">
        <v>46035</v>
      </c>
      <c r="B81" t="s">
        <v>98</v>
      </c>
      <c r="C81" t="s">
        <v>402</v>
      </c>
      <c r="D81" s="100">
        <v>4.7222222222222221E-2</v>
      </c>
      <c r="E81" s="100"/>
      <c r="F81" s="100"/>
      <c r="G81">
        <v>22</v>
      </c>
      <c r="H81">
        <v>385</v>
      </c>
      <c r="I81" s="100">
        <v>7.2916666666666671E-2</v>
      </c>
      <c r="J81" s="101">
        <v>46035.291666666664</v>
      </c>
      <c r="K81" s="101">
        <v>46035.791666666664</v>
      </c>
      <c r="L81">
        <v>12</v>
      </c>
      <c r="M81">
        <v>1.75</v>
      </c>
      <c r="N81">
        <v>1.1333333333333333</v>
      </c>
      <c r="O81">
        <v>9.1166666666666671</v>
      </c>
      <c r="P81">
        <v>200.56666666666666</v>
      </c>
      <c r="Q81">
        <v>264</v>
      </c>
      <c r="R81">
        <v>0.52095238095238094</v>
      </c>
      <c r="S81">
        <v>0.68571428571428572</v>
      </c>
      <c r="T81">
        <v>1.4583333333333333</v>
      </c>
    </row>
    <row r="82" spans="1:20" x14ac:dyDescent="0.3">
      <c r="A82" s="99">
        <v>46035</v>
      </c>
      <c r="B82" t="s">
        <v>99</v>
      </c>
      <c r="C82" t="s">
        <v>402</v>
      </c>
      <c r="D82" s="100"/>
      <c r="E82" s="100"/>
      <c r="F82" s="100"/>
      <c r="G82">
        <v>20</v>
      </c>
      <c r="H82">
        <v>328</v>
      </c>
      <c r="I82" s="100">
        <v>7.2916666666666671E-2</v>
      </c>
      <c r="J82" s="101">
        <v>46035.291666666664</v>
      </c>
      <c r="K82" s="101">
        <v>46035.875</v>
      </c>
      <c r="L82">
        <v>14</v>
      </c>
      <c r="M82">
        <v>1.75</v>
      </c>
      <c r="O82">
        <v>12.25</v>
      </c>
      <c r="P82">
        <v>245</v>
      </c>
      <c r="Q82">
        <v>280</v>
      </c>
      <c r="R82">
        <v>0.74695121951219512</v>
      </c>
      <c r="S82">
        <v>0.85365853658536583</v>
      </c>
      <c r="T82">
        <v>1.1714285714285715</v>
      </c>
    </row>
    <row r="83" spans="1:20" x14ac:dyDescent="0.3">
      <c r="A83" s="99">
        <v>46036</v>
      </c>
      <c r="B83" t="s">
        <v>96</v>
      </c>
      <c r="C83" t="s">
        <v>402</v>
      </c>
      <c r="D83" s="100"/>
      <c r="E83" s="100"/>
      <c r="F83" s="100"/>
      <c r="G83">
        <v>21</v>
      </c>
      <c r="H83">
        <v>501</v>
      </c>
      <c r="I83" s="100">
        <v>7.2916666666666671E-2</v>
      </c>
      <c r="J83" s="101">
        <v>46036.291666666664</v>
      </c>
      <c r="K83" s="101">
        <v>46036.791666666664</v>
      </c>
      <c r="L83">
        <v>12</v>
      </c>
      <c r="M83">
        <v>1.75</v>
      </c>
      <c r="O83">
        <v>10.25</v>
      </c>
      <c r="P83">
        <v>215.25</v>
      </c>
      <c r="Q83">
        <v>252</v>
      </c>
      <c r="R83">
        <v>0.42964071856287422</v>
      </c>
      <c r="S83">
        <v>0.50299401197604787</v>
      </c>
      <c r="T83">
        <v>1.9880952380952381</v>
      </c>
    </row>
    <row r="84" spans="1:20" x14ac:dyDescent="0.3">
      <c r="A84" s="99">
        <v>46036</v>
      </c>
      <c r="B84" t="s">
        <v>97</v>
      </c>
      <c r="C84" t="s">
        <v>402</v>
      </c>
      <c r="D84" s="100"/>
      <c r="E84" s="100"/>
      <c r="F84" s="100"/>
      <c r="G84">
        <v>5</v>
      </c>
      <c r="H84">
        <v>442</v>
      </c>
      <c r="I84" s="100">
        <v>7.2916666666666671E-2</v>
      </c>
      <c r="J84" s="101">
        <v>46036.291666666664</v>
      </c>
      <c r="K84" s="101">
        <v>46036.791666666664</v>
      </c>
      <c r="L84">
        <v>12</v>
      </c>
      <c r="M84">
        <v>1.75</v>
      </c>
      <c r="O84">
        <v>10.25</v>
      </c>
      <c r="P84">
        <v>51.25</v>
      </c>
      <c r="Q84">
        <v>60</v>
      </c>
      <c r="R84">
        <v>0.1159502262443439</v>
      </c>
      <c r="S84">
        <v>0.13574660633484162</v>
      </c>
      <c r="T84">
        <v>7.3666666666666671</v>
      </c>
    </row>
    <row r="85" spans="1:20" x14ac:dyDescent="0.3">
      <c r="A85" s="99">
        <v>46036</v>
      </c>
      <c r="B85" t="s">
        <v>98</v>
      </c>
      <c r="C85" t="s">
        <v>402</v>
      </c>
      <c r="D85" s="100">
        <v>8.5416666666666669E-2</v>
      </c>
      <c r="E85" s="100"/>
      <c r="F85" s="100"/>
      <c r="G85">
        <v>24</v>
      </c>
      <c r="H85">
        <v>373</v>
      </c>
      <c r="I85" s="100">
        <v>7.2916666666666671E-2</v>
      </c>
      <c r="J85" s="101">
        <v>46036.291666666664</v>
      </c>
      <c r="K85" s="101">
        <v>46036.791666666664</v>
      </c>
      <c r="L85">
        <v>12</v>
      </c>
      <c r="M85">
        <v>1.75</v>
      </c>
      <c r="N85">
        <v>2.0499999999999998</v>
      </c>
      <c r="O85">
        <v>8.1999999999999993</v>
      </c>
      <c r="P85">
        <v>196.79999999999998</v>
      </c>
      <c r="Q85">
        <v>288</v>
      </c>
      <c r="R85">
        <v>0.52761394101876669</v>
      </c>
      <c r="S85">
        <v>0.77211796246648789</v>
      </c>
      <c r="T85">
        <v>1.2951388888888891</v>
      </c>
    </row>
    <row r="86" spans="1:20" x14ac:dyDescent="0.3">
      <c r="A86" s="99">
        <v>46036</v>
      </c>
      <c r="B86" t="s">
        <v>99</v>
      </c>
      <c r="C86" t="s">
        <v>402</v>
      </c>
      <c r="D86" s="100"/>
      <c r="E86" s="100"/>
      <c r="F86" s="100"/>
      <c r="G86">
        <v>24</v>
      </c>
      <c r="H86">
        <v>352</v>
      </c>
      <c r="I86" s="100">
        <v>7.2916666666666671E-2</v>
      </c>
      <c r="J86" s="101">
        <v>46036.291666666664</v>
      </c>
      <c r="K86" s="101">
        <v>46036.875</v>
      </c>
      <c r="L86">
        <v>14</v>
      </c>
      <c r="M86">
        <v>1.75</v>
      </c>
      <c r="O86">
        <v>12.25</v>
      </c>
      <c r="P86">
        <v>294</v>
      </c>
      <c r="Q86">
        <v>336</v>
      </c>
      <c r="R86">
        <v>0.83522727272727271</v>
      </c>
      <c r="S86">
        <v>0.95454545454545459</v>
      </c>
      <c r="T86">
        <v>1.0476190476190477</v>
      </c>
    </row>
    <row r="87" spans="1:20" x14ac:dyDescent="0.3">
      <c r="A87" s="99">
        <v>46037</v>
      </c>
      <c r="B87" t="s">
        <v>96</v>
      </c>
      <c r="C87" t="s">
        <v>402</v>
      </c>
      <c r="D87" s="100"/>
      <c r="E87" s="100"/>
      <c r="F87" s="100"/>
      <c r="G87">
        <v>20</v>
      </c>
      <c r="H87">
        <v>450</v>
      </c>
      <c r="I87" s="100">
        <v>7.2916666666666671E-2</v>
      </c>
      <c r="J87" s="101">
        <v>46037.291666666664</v>
      </c>
      <c r="K87" s="101">
        <v>46037.791666666664</v>
      </c>
      <c r="L87">
        <v>12</v>
      </c>
      <c r="M87">
        <v>1.75</v>
      </c>
      <c r="O87">
        <v>10.25</v>
      </c>
      <c r="P87">
        <v>205</v>
      </c>
      <c r="Q87">
        <v>240</v>
      </c>
      <c r="R87">
        <v>0.45555555555555555</v>
      </c>
      <c r="S87">
        <v>0.53333333333333333</v>
      </c>
      <c r="T87">
        <v>1.875</v>
      </c>
    </row>
    <row r="88" spans="1:20" x14ac:dyDescent="0.3">
      <c r="A88" s="99">
        <v>46037</v>
      </c>
      <c r="B88" t="s">
        <v>97</v>
      </c>
      <c r="C88" t="s">
        <v>402</v>
      </c>
      <c r="D88" s="100"/>
      <c r="E88" s="100"/>
      <c r="F88" s="100"/>
      <c r="G88">
        <v>5</v>
      </c>
      <c r="H88">
        <v>462</v>
      </c>
      <c r="I88" s="100">
        <v>7.2916666666666671E-2</v>
      </c>
      <c r="J88" s="101">
        <v>46037.291666666664</v>
      </c>
      <c r="K88" s="101">
        <v>46037.791666666664</v>
      </c>
      <c r="L88">
        <v>12</v>
      </c>
      <c r="M88">
        <v>1.75</v>
      </c>
      <c r="O88">
        <v>10.25</v>
      </c>
      <c r="P88">
        <v>51.25</v>
      </c>
      <c r="Q88">
        <v>60</v>
      </c>
      <c r="R88">
        <v>0.11093073593073594</v>
      </c>
      <c r="S88">
        <v>0.12987012987012986</v>
      </c>
      <c r="T88">
        <v>7.7000000000000011</v>
      </c>
    </row>
    <row r="89" spans="1:20" x14ac:dyDescent="0.3">
      <c r="A89" s="99">
        <v>46037</v>
      </c>
      <c r="B89" t="s">
        <v>98</v>
      </c>
      <c r="C89" t="s">
        <v>402</v>
      </c>
      <c r="D89" s="100">
        <v>5.6944444444444443E-2</v>
      </c>
      <c r="E89" s="100"/>
      <c r="F89" s="100"/>
      <c r="G89">
        <v>24</v>
      </c>
      <c r="H89">
        <v>338</v>
      </c>
      <c r="I89" s="100">
        <v>7.2916666666666671E-2</v>
      </c>
      <c r="J89" s="101">
        <v>46037.291666666664</v>
      </c>
      <c r="K89" s="101">
        <v>46037.791666666664</v>
      </c>
      <c r="L89">
        <v>12</v>
      </c>
      <c r="M89">
        <v>1.75</v>
      </c>
      <c r="N89">
        <v>1.3666666666666667</v>
      </c>
      <c r="O89">
        <v>8.8833333333333329</v>
      </c>
      <c r="P89">
        <v>213.2</v>
      </c>
      <c r="Q89">
        <v>288</v>
      </c>
      <c r="R89">
        <v>0.63076923076923075</v>
      </c>
      <c r="S89">
        <v>0.85207100591715978</v>
      </c>
      <c r="T89">
        <v>1.1736111111111112</v>
      </c>
    </row>
    <row r="90" spans="1:20" x14ac:dyDescent="0.3">
      <c r="A90" s="99">
        <v>46037</v>
      </c>
      <c r="B90" t="s">
        <v>99</v>
      </c>
      <c r="C90" t="s">
        <v>402</v>
      </c>
      <c r="D90" s="100"/>
      <c r="E90" s="100"/>
      <c r="F90" s="100"/>
      <c r="G90">
        <v>22</v>
      </c>
      <c r="H90">
        <v>372</v>
      </c>
      <c r="I90" s="100">
        <v>7.2916666666666671E-2</v>
      </c>
      <c r="J90" s="101">
        <v>46037.291666666664</v>
      </c>
      <c r="K90" s="101">
        <v>46037.875</v>
      </c>
      <c r="L90">
        <v>14</v>
      </c>
      <c r="M90">
        <v>1.75</v>
      </c>
      <c r="O90">
        <v>12.25</v>
      </c>
      <c r="P90">
        <v>269.5</v>
      </c>
      <c r="Q90">
        <v>308</v>
      </c>
      <c r="R90">
        <v>0.72446236559139787</v>
      </c>
      <c r="S90">
        <v>0.82795698924731187</v>
      </c>
      <c r="T90">
        <v>1.2077922077922076</v>
      </c>
    </row>
    <row r="91" spans="1:20" x14ac:dyDescent="0.3">
      <c r="A91" s="99">
        <v>46038</v>
      </c>
      <c r="B91" t="s">
        <v>96</v>
      </c>
      <c r="C91" t="s">
        <v>402</v>
      </c>
      <c r="D91" s="100"/>
      <c r="E91" s="100"/>
      <c r="F91" s="100"/>
      <c r="G91">
        <v>19</v>
      </c>
      <c r="H91">
        <v>402</v>
      </c>
      <c r="I91" s="100">
        <v>7.2916666666666671E-2</v>
      </c>
      <c r="J91" s="101">
        <v>46038.291666666664</v>
      </c>
      <c r="K91" s="101">
        <v>46038.791666666664</v>
      </c>
      <c r="L91">
        <v>12</v>
      </c>
      <c r="M91">
        <v>1.75</v>
      </c>
      <c r="O91">
        <v>10.25</v>
      </c>
      <c r="P91">
        <v>194.75</v>
      </c>
      <c r="Q91">
        <v>228</v>
      </c>
      <c r="R91">
        <v>0.48445273631840796</v>
      </c>
      <c r="S91">
        <v>0.56716417910447758</v>
      </c>
      <c r="T91">
        <v>1.7631578947368423</v>
      </c>
    </row>
    <row r="92" spans="1:20" x14ac:dyDescent="0.3">
      <c r="A92" s="99">
        <v>46038</v>
      </c>
      <c r="B92" t="s">
        <v>97</v>
      </c>
      <c r="C92" t="s">
        <v>402</v>
      </c>
      <c r="D92" s="100"/>
      <c r="E92" s="100"/>
      <c r="F92" s="100"/>
      <c r="G92">
        <v>5</v>
      </c>
      <c r="H92">
        <v>421</v>
      </c>
      <c r="I92" s="100">
        <v>7.2916666666666671E-2</v>
      </c>
      <c r="J92" s="101">
        <v>46038.291666666664</v>
      </c>
      <c r="K92" s="101">
        <v>46038.791666666664</v>
      </c>
      <c r="L92">
        <v>12</v>
      </c>
      <c r="M92">
        <v>1.75</v>
      </c>
      <c r="O92">
        <v>10.25</v>
      </c>
      <c r="P92">
        <v>51.25</v>
      </c>
      <c r="Q92">
        <v>60</v>
      </c>
      <c r="R92">
        <v>0.12173396674584323</v>
      </c>
      <c r="S92">
        <v>0.14251781472684086</v>
      </c>
      <c r="T92">
        <v>7.0166666666666666</v>
      </c>
    </row>
    <row r="93" spans="1:20" x14ac:dyDescent="0.3">
      <c r="A93" s="99">
        <v>46038</v>
      </c>
      <c r="B93" t="s">
        <v>98</v>
      </c>
      <c r="C93" t="s">
        <v>402</v>
      </c>
      <c r="D93" s="100">
        <v>0.10416666666666667</v>
      </c>
      <c r="E93" s="100"/>
      <c r="F93" s="100"/>
      <c r="G93">
        <v>24</v>
      </c>
      <c r="H93">
        <v>342</v>
      </c>
      <c r="I93" s="100">
        <v>7.2916666666666671E-2</v>
      </c>
      <c r="J93" s="101">
        <v>46038.291666666664</v>
      </c>
      <c r="K93" s="101">
        <v>46038.791666666664</v>
      </c>
      <c r="L93">
        <v>12</v>
      </c>
      <c r="M93">
        <v>1.75</v>
      </c>
      <c r="N93">
        <v>2.5</v>
      </c>
      <c r="O93">
        <v>7.75</v>
      </c>
      <c r="P93">
        <v>186</v>
      </c>
      <c r="Q93">
        <v>288</v>
      </c>
      <c r="R93">
        <v>0.54385964912280704</v>
      </c>
      <c r="S93">
        <v>0.84210526315789469</v>
      </c>
      <c r="T93">
        <v>1.1875</v>
      </c>
    </row>
    <row r="94" spans="1:20" x14ac:dyDescent="0.3">
      <c r="A94" s="99">
        <v>46038</v>
      </c>
      <c r="B94" t="s">
        <v>99</v>
      </c>
      <c r="C94" t="s">
        <v>402</v>
      </c>
      <c r="D94" s="100">
        <v>0.14583333333333334</v>
      </c>
      <c r="E94" s="100"/>
      <c r="F94" s="100"/>
      <c r="G94">
        <v>23</v>
      </c>
      <c r="H94">
        <v>297</v>
      </c>
      <c r="I94" s="100">
        <v>7.2916666666666671E-2</v>
      </c>
      <c r="J94" s="101">
        <v>46038.291666666664</v>
      </c>
      <c r="K94" s="101">
        <v>46038.875</v>
      </c>
      <c r="L94">
        <v>14</v>
      </c>
      <c r="M94">
        <v>1.75</v>
      </c>
      <c r="N94">
        <v>3.5</v>
      </c>
      <c r="O94">
        <v>8.75</v>
      </c>
      <c r="P94">
        <v>201.25</v>
      </c>
      <c r="Q94">
        <v>322</v>
      </c>
      <c r="R94">
        <v>0.67760942760942766</v>
      </c>
      <c r="S94">
        <v>1.0841750841750841</v>
      </c>
      <c r="T94">
        <v>0.92236024844720499</v>
      </c>
    </row>
    <row r="95" spans="1:20" x14ac:dyDescent="0.3">
      <c r="A95" s="99">
        <v>46039</v>
      </c>
      <c r="B95" t="s">
        <v>96</v>
      </c>
      <c r="C95" t="s">
        <v>402</v>
      </c>
      <c r="D95" s="100"/>
      <c r="E95" s="100"/>
      <c r="F95" s="100"/>
      <c r="G95">
        <v>19</v>
      </c>
      <c r="H95">
        <v>355</v>
      </c>
      <c r="I95" s="100">
        <v>7.2916666666666671E-2</v>
      </c>
      <c r="J95" s="101">
        <v>46039.291666666664</v>
      </c>
      <c r="K95" s="101">
        <v>46039.791666666664</v>
      </c>
      <c r="L95">
        <v>12</v>
      </c>
      <c r="M95">
        <v>1.75</v>
      </c>
      <c r="O95">
        <v>10.25</v>
      </c>
      <c r="P95">
        <v>194.75</v>
      </c>
      <c r="Q95">
        <v>228</v>
      </c>
      <c r="R95">
        <v>0.54859154929577469</v>
      </c>
      <c r="S95">
        <v>0.6422535211267606</v>
      </c>
      <c r="T95">
        <v>1.557017543859649</v>
      </c>
    </row>
    <row r="96" spans="1:20" x14ac:dyDescent="0.3">
      <c r="A96" s="99">
        <v>46039</v>
      </c>
      <c r="B96" t="s">
        <v>97</v>
      </c>
      <c r="C96" t="s">
        <v>402</v>
      </c>
      <c r="D96" s="100"/>
      <c r="E96" s="100"/>
      <c r="F96" s="100"/>
      <c r="G96">
        <v>5</v>
      </c>
      <c r="H96">
        <v>414</v>
      </c>
      <c r="I96" s="100">
        <v>7.2916666666666671E-2</v>
      </c>
      <c r="J96" s="101">
        <v>46039.291666666664</v>
      </c>
      <c r="K96" s="101">
        <v>46039.791666666664</v>
      </c>
      <c r="L96">
        <v>12</v>
      </c>
      <c r="M96">
        <v>1.75</v>
      </c>
      <c r="O96">
        <v>10.25</v>
      </c>
      <c r="P96">
        <v>51.25</v>
      </c>
      <c r="Q96">
        <v>60</v>
      </c>
      <c r="R96">
        <v>0.12379227053140096</v>
      </c>
      <c r="S96">
        <v>0.14492753623188406</v>
      </c>
      <c r="T96">
        <v>6.8999999999999995</v>
      </c>
    </row>
    <row r="97" spans="1:20" x14ac:dyDescent="0.3">
      <c r="A97" s="99">
        <v>46039</v>
      </c>
      <c r="B97" t="s">
        <v>98</v>
      </c>
      <c r="C97" t="s">
        <v>402</v>
      </c>
      <c r="D97" s="100">
        <v>3.125E-2</v>
      </c>
      <c r="E97" s="100"/>
      <c r="F97" s="100"/>
      <c r="G97">
        <v>23</v>
      </c>
      <c r="H97">
        <v>394</v>
      </c>
      <c r="I97" s="100">
        <v>7.2916666666666671E-2</v>
      </c>
      <c r="J97" s="101">
        <v>46039.291666666664</v>
      </c>
      <c r="K97" s="101">
        <v>46039.791666666664</v>
      </c>
      <c r="L97">
        <v>12</v>
      </c>
      <c r="M97">
        <v>1.75</v>
      </c>
      <c r="N97">
        <v>0.75</v>
      </c>
      <c r="O97">
        <v>9.5</v>
      </c>
      <c r="P97">
        <v>218.5</v>
      </c>
      <c r="Q97">
        <v>276</v>
      </c>
      <c r="R97">
        <v>0.55456852791878175</v>
      </c>
      <c r="S97">
        <v>0.70050761421319796</v>
      </c>
      <c r="T97">
        <v>1.4275362318840581</v>
      </c>
    </row>
    <row r="98" spans="1:20" x14ac:dyDescent="0.3">
      <c r="A98" s="99">
        <v>46039</v>
      </c>
      <c r="B98" t="s">
        <v>99</v>
      </c>
      <c r="C98" t="s">
        <v>402</v>
      </c>
      <c r="D98" s="100">
        <v>0.19791666666666666</v>
      </c>
      <c r="E98" s="100"/>
      <c r="F98" s="100"/>
      <c r="G98">
        <v>20</v>
      </c>
      <c r="H98">
        <v>331</v>
      </c>
      <c r="I98" s="100">
        <v>7.2916666666666671E-2</v>
      </c>
      <c r="J98" s="101">
        <v>46039.291666666664</v>
      </c>
      <c r="K98" s="101">
        <v>46039.875</v>
      </c>
      <c r="L98">
        <v>14</v>
      </c>
      <c r="M98">
        <v>1.75</v>
      </c>
      <c r="N98">
        <v>4.75</v>
      </c>
      <c r="O98">
        <v>7.5</v>
      </c>
      <c r="P98">
        <v>150</v>
      </c>
      <c r="Q98">
        <v>280</v>
      </c>
      <c r="R98">
        <v>0.45317220543806647</v>
      </c>
      <c r="S98">
        <v>0.84592145015105735</v>
      </c>
      <c r="T98">
        <v>1.1821428571428572</v>
      </c>
    </row>
    <row r="99" spans="1:20" x14ac:dyDescent="0.3">
      <c r="A99" s="99">
        <v>46040</v>
      </c>
      <c r="B99" t="s">
        <v>99</v>
      </c>
      <c r="C99" t="s">
        <v>402</v>
      </c>
      <c r="D99" s="100"/>
      <c r="E99" s="100"/>
      <c r="F99" s="100"/>
      <c r="G99">
        <v>24</v>
      </c>
      <c r="H99">
        <v>370</v>
      </c>
      <c r="I99" s="100">
        <v>6.25E-2</v>
      </c>
      <c r="J99" s="101">
        <v>46040.291666666664</v>
      </c>
      <c r="K99" s="101">
        <v>46040.708333333336</v>
      </c>
      <c r="L99">
        <v>10</v>
      </c>
      <c r="M99">
        <v>1.5</v>
      </c>
      <c r="O99">
        <v>8.5</v>
      </c>
      <c r="P99">
        <v>204</v>
      </c>
      <c r="Q99">
        <v>240</v>
      </c>
      <c r="R99">
        <v>0.55135135135135138</v>
      </c>
      <c r="S99">
        <v>0.64864864864864868</v>
      </c>
      <c r="T99">
        <v>1.5416666666666665</v>
      </c>
    </row>
    <row r="100" spans="1:20" x14ac:dyDescent="0.3">
      <c r="A100" s="99">
        <v>46041</v>
      </c>
      <c r="B100" t="s">
        <v>96</v>
      </c>
      <c r="C100" t="s">
        <v>402</v>
      </c>
      <c r="D100" s="100"/>
      <c r="E100" s="100"/>
      <c r="F100" s="100"/>
      <c r="G100">
        <v>16</v>
      </c>
      <c r="H100">
        <v>387</v>
      </c>
      <c r="I100" s="100">
        <v>7.2916666666666671E-2</v>
      </c>
      <c r="J100" s="101">
        <v>46041.291666666664</v>
      </c>
      <c r="K100" s="101">
        <v>46041.791666666664</v>
      </c>
      <c r="L100">
        <v>12</v>
      </c>
      <c r="M100">
        <v>1.75</v>
      </c>
      <c r="O100">
        <v>10.25</v>
      </c>
      <c r="P100">
        <v>164</v>
      </c>
      <c r="Q100">
        <v>192</v>
      </c>
      <c r="R100">
        <v>0.42377260981912146</v>
      </c>
      <c r="S100">
        <v>0.49612403100775193</v>
      </c>
      <c r="T100">
        <v>2.015625</v>
      </c>
    </row>
    <row r="101" spans="1:20" x14ac:dyDescent="0.3">
      <c r="A101" s="99">
        <v>46041</v>
      </c>
      <c r="B101" t="s">
        <v>97</v>
      </c>
      <c r="C101" t="s">
        <v>402</v>
      </c>
      <c r="D101" s="100"/>
      <c r="E101" s="100"/>
      <c r="F101" s="100"/>
      <c r="G101">
        <v>5</v>
      </c>
      <c r="H101">
        <v>357</v>
      </c>
      <c r="I101" s="100">
        <v>7.2916666666666671E-2</v>
      </c>
      <c r="J101" s="101">
        <v>46041.291666666664</v>
      </c>
      <c r="K101" s="101">
        <v>46041.791666666664</v>
      </c>
      <c r="L101">
        <v>12</v>
      </c>
      <c r="M101">
        <v>1.75</v>
      </c>
      <c r="O101">
        <v>10.25</v>
      </c>
      <c r="P101">
        <v>51.25</v>
      </c>
      <c r="Q101">
        <v>60</v>
      </c>
      <c r="R101">
        <v>0.14355742296918766</v>
      </c>
      <c r="S101">
        <v>0.16806722689075632</v>
      </c>
      <c r="T101">
        <v>5.9499999999999993</v>
      </c>
    </row>
    <row r="102" spans="1:20" x14ac:dyDescent="0.3">
      <c r="A102" s="99">
        <v>46041</v>
      </c>
      <c r="B102" t="s">
        <v>98</v>
      </c>
      <c r="C102" t="s">
        <v>402</v>
      </c>
      <c r="D102" s="100">
        <v>7.1527777777777773E-2</v>
      </c>
      <c r="E102" s="100"/>
      <c r="F102" s="100"/>
      <c r="G102">
        <v>24</v>
      </c>
      <c r="H102">
        <v>378</v>
      </c>
      <c r="I102" s="100">
        <v>7.2916666666666671E-2</v>
      </c>
      <c r="J102" s="101">
        <v>46041.291666666664</v>
      </c>
      <c r="K102" s="101">
        <v>46041.791666666664</v>
      </c>
      <c r="L102">
        <v>12</v>
      </c>
      <c r="M102">
        <v>1.75</v>
      </c>
      <c r="N102">
        <v>1.7166666666666666</v>
      </c>
      <c r="O102">
        <v>8.5333333333333332</v>
      </c>
      <c r="P102">
        <v>204.8</v>
      </c>
      <c r="Q102">
        <v>288</v>
      </c>
      <c r="R102">
        <v>0.54179894179894184</v>
      </c>
      <c r="S102">
        <v>0.76190476190476186</v>
      </c>
      <c r="T102">
        <v>1.3125</v>
      </c>
    </row>
    <row r="103" spans="1:20" x14ac:dyDescent="0.3">
      <c r="A103" s="99">
        <v>46041</v>
      </c>
      <c r="B103" t="s">
        <v>99</v>
      </c>
      <c r="C103" t="s">
        <v>402</v>
      </c>
      <c r="D103" s="100"/>
      <c r="E103" s="100"/>
      <c r="F103" s="100"/>
      <c r="G103">
        <v>22</v>
      </c>
      <c r="H103">
        <v>384</v>
      </c>
      <c r="I103" s="100">
        <v>7.2916666666666671E-2</v>
      </c>
      <c r="J103" s="101">
        <v>46041.291666666664</v>
      </c>
      <c r="K103" s="101">
        <v>46041.791666666664</v>
      </c>
      <c r="L103">
        <v>12</v>
      </c>
      <c r="M103">
        <v>1.75</v>
      </c>
      <c r="O103">
        <v>10.25</v>
      </c>
      <c r="P103">
        <v>225.5</v>
      </c>
      <c r="Q103">
        <v>264</v>
      </c>
      <c r="R103">
        <v>0.58723958333333337</v>
      </c>
      <c r="S103">
        <v>0.6875</v>
      </c>
      <c r="T103">
        <v>1.4545454545454546</v>
      </c>
    </row>
    <row r="104" spans="1:20" x14ac:dyDescent="0.3">
      <c r="A104" s="99">
        <v>46042</v>
      </c>
      <c r="B104" t="s">
        <v>96</v>
      </c>
      <c r="C104" t="s">
        <v>402</v>
      </c>
      <c r="D104" s="100"/>
      <c r="E104" s="100"/>
      <c r="F104" s="100"/>
      <c r="G104">
        <v>19</v>
      </c>
      <c r="H104">
        <v>490</v>
      </c>
      <c r="I104" s="100">
        <v>7.2916666666666671E-2</v>
      </c>
      <c r="J104" s="101">
        <v>46042.291666666664</v>
      </c>
      <c r="K104" s="101">
        <v>46042.791666666664</v>
      </c>
      <c r="L104">
        <v>12</v>
      </c>
      <c r="M104">
        <v>1.75</v>
      </c>
      <c r="O104">
        <v>10.25</v>
      </c>
      <c r="P104">
        <v>194.75</v>
      </c>
      <c r="Q104">
        <v>228</v>
      </c>
      <c r="R104">
        <v>0.39744897959183673</v>
      </c>
      <c r="S104">
        <v>0.46530612244897956</v>
      </c>
      <c r="T104">
        <v>2.1491228070175441</v>
      </c>
    </row>
    <row r="105" spans="1:20" x14ac:dyDescent="0.3">
      <c r="A105" s="99">
        <v>46042</v>
      </c>
      <c r="B105" t="s">
        <v>97</v>
      </c>
      <c r="C105" t="s">
        <v>402</v>
      </c>
      <c r="D105" s="100"/>
      <c r="E105" s="100"/>
      <c r="F105" s="100"/>
      <c r="G105">
        <v>5</v>
      </c>
      <c r="H105">
        <v>428</v>
      </c>
      <c r="I105" s="100">
        <v>7.2916666666666671E-2</v>
      </c>
      <c r="J105" s="101">
        <v>46042.291666666664</v>
      </c>
      <c r="K105" s="101">
        <v>46042.791666666664</v>
      </c>
      <c r="L105">
        <v>12</v>
      </c>
      <c r="M105">
        <v>1.75</v>
      </c>
      <c r="O105">
        <v>10.25</v>
      </c>
      <c r="P105">
        <v>51.25</v>
      </c>
      <c r="Q105">
        <v>60</v>
      </c>
      <c r="R105">
        <v>0.11974299065420561</v>
      </c>
      <c r="S105">
        <v>0.14018691588785046</v>
      </c>
      <c r="T105">
        <v>7.1333333333333337</v>
      </c>
    </row>
    <row r="106" spans="1:20" x14ac:dyDescent="0.3">
      <c r="A106" s="99">
        <v>46042</v>
      </c>
      <c r="B106" t="s">
        <v>98</v>
      </c>
      <c r="C106" t="s">
        <v>402</v>
      </c>
      <c r="D106" s="100">
        <v>2.7777777777777776E-2</v>
      </c>
      <c r="E106" s="100"/>
      <c r="F106" s="100"/>
      <c r="G106">
        <v>23</v>
      </c>
      <c r="H106">
        <v>420</v>
      </c>
      <c r="I106" s="100">
        <v>7.2916666666666671E-2</v>
      </c>
      <c r="J106" s="101">
        <v>46042.291666666664</v>
      </c>
      <c r="K106" s="101">
        <v>46042.791666666664</v>
      </c>
      <c r="L106">
        <v>12</v>
      </c>
      <c r="M106">
        <v>1.75</v>
      </c>
      <c r="N106">
        <v>0.66666666666666663</v>
      </c>
      <c r="O106">
        <v>9.5833333333333339</v>
      </c>
      <c r="P106">
        <v>220.41666666666669</v>
      </c>
      <c r="Q106">
        <v>276</v>
      </c>
      <c r="R106">
        <v>0.52480158730158732</v>
      </c>
      <c r="S106">
        <v>0.65714285714285714</v>
      </c>
      <c r="T106">
        <v>1.5217391304347827</v>
      </c>
    </row>
    <row r="107" spans="1:20" x14ac:dyDescent="0.3">
      <c r="A107" s="99">
        <v>46042</v>
      </c>
      <c r="B107" t="s">
        <v>99</v>
      </c>
      <c r="C107" t="s">
        <v>402</v>
      </c>
      <c r="D107" s="100"/>
      <c r="E107" s="100"/>
      <c r="F107" s="100"/>
      <c r="G107">
        <v>24</v>
      </c>
      <c r="H107">
        <v>446</v>
      </c>
      <c r="I107" s="100">
        <v>7.2916666666666671E-2</v>
      </c>
      <c r="J107" s="101">
        <v>46042.291666666664</v>
      </c>
      <c r="K107" s="101">
        <v>46042.875</v>
      </c>
      <c r="L107">
        <v>14</v>
      </c>
      <c r="M107">
        <v>1.75</v>
      </c>
      <c r="O107">
        <v>12.25</v>
      </c>
      <c r="P107">
        <v>294</v>
      </c>
      <c r="Q107">
        <v>336</v>
      </c>
      <c r="R107">
        <v>0.65919282511210764</v>
      </c>
      <c r="S107">
        <v>0.75336322869955152</v>
      </c>
      <c r="T107">
        <v>1.3273809523809526</v>
      </c>
    </row>
    <row r="108" spans="1:20" x14ac:dyDescent="0.3">
      <c r="A108" s="99">
        <v>46043</v>
      </c>
      <c r="B108" t="s">
        <v>96</v>
      </c>
      <c r="C108" t="s">
        <v>402</v>
      </c>
      <c r="D108" s="100"/>
      <c r="E108" s="100"/>
      <c r="F108" s="100"/>
      <c r="G108">
        <v>19</v>
      </c>
      <c r="H108">
        <v>433</v>
      </c>
      <c r="I108" s="100">
        <v>7.2916666666666671E-2</v>
      </c>
      <c r="J108" s="101">
        <v>46043.291666666664</v>
      </c>
      <c r="K108" s="101">
        <v>46043.791666666664</v>
      </c>
      <c r="L108">
        <v>12</v>
      </c>
      <c r="M108">
        <v>1.75</v>
      </c>
      <c r="O108">
        <v>10.25</v>
      </c>
      <c r="P108">
        <v>194.75</v>
      </c>
      <c r="Q108">
        <v>228</v>
      </c>
      <c r="R108">
        <v>0.44976905311778292</v>
      </c>
      <c r="S108">
        <v>0.52655889145496537</v>
      </c>
      <c r="T108">
        <v>1.8991228070175439</v>
      </c>
    </row>
    <row r="109" spans="1:20" x14ac:dyDescent="0.3">
      <c r="A109" s="99">
        <v>46043</v>
      </c>
      <c r="B109" t="s">
        <v>97</v>
      </c>
      <c r="C109" t="s">
        <v>402</v>
      </c>
      <c r="D109" s="100"/>
      <c r="E109" s="100"/>
      <c r="F109" s="100"/>
      <c r="G109">
        <v>5</v>
      </c>
      <c r="H109">
        <v>440</v>
      </c>
      <c r="I109" s="100">
        <v>7.2916666666666671E-2</v>
      </c>
      <c r="J109" s="101">
        <v>46043.291666666664</v>
      </c>
      <c r="K109" s="101">
        <v>46043.791666666664</v>
      </c>
      <c r="L109">
        <v>12</v>
      </c>
      <c r="M109">
        <v>1.75</v>
      </c>
      <c r="O109">
        <v>10.25</v>
      </c>
      <c r="P109">
        <v>51.25</v>
      </c>
      <c r="Q109">
        <v>60</v>
      </c>
      <c r="R109">
        <v>0.11647727272727272</v>
      </c>
      <c r="S109">
        <v>0.13636363636363635</v>
      </c>
      <c r="T109">
        <v>7.3333333333333339</v>
      </c>
    </row>
    <row r="110" spans="1:20" x14ac:dyDescent="0.3">
      <c r="A110" s="99">
        <v>46043</v>
      </c>
      <c r="B110" t="s">
        <v>98</v>
      </c>
      <c r="C110" t="s">
        <v>402</v>
      </c>
      <c r="D110" s="100">
        <v>0.12569444444444444</v>
      </c>
      <c r="E110" s="100"/>
      <c r="F110" s="100"/>
      <c r="G110">
        <v>25</v>
      </c>
      <c r="H110">
        <v>450</v>
      </c>
      <c r="I110" s="100">
        <v>7.2916666666666671E-2</v>
      </c>
      <c r="J110" s="101">
        <v>46043.291666666664</v>
      </c>
      <c r="K110" s="101">
        <v>46043.791666666664</v>
      </c>
      <c r="L110">
        <v>12</v>
      </c>
      <c r="M110">
        <v>1.75</v>
      </c>
      <c r="N110">
        <v>3.0166666666666666</v>
      </c>
      <c r="O110">
        <v>7.2333333333333334</v>
      </c>
      <c r="P110">
        <v>180.83333333333334</v>
      </c>
      <c r="Q110">
        <v>300</v>
      </c>
      <c r="R110">
        <v>0.40185185185185185</v>
      </c>
      <c r="S110">
        <v>0.66666666666666663</v>
      </c>
      <c r="T110">
        <v>1.5</v>
      </c>
    </row>
    <row r="111" spans="1:20" x14ac:dyDescent="0.3">
      <c r="A111" s="99">
        <v>46043</v>
      </c>
      <c r="B111" t="s">
        <v>99</v>
      </c>
      <c r="C111" t="s">
        <v>402</v>
      </c>
      <c r="D111" s="100"/>
      <c r="E111" s="100"/>
      <c r="F111" s="100"/>
      <c r="G111">
        <v>24</v>
      </c>
      <c r="H111">
        <v>500</v>
      </c>
      <c r="I111" s="100">
        <v>7.2916666666666671E-2</v>
      </c>
      <c r="J111" s="101">
        <v>46043.291666666664</v>
      </c>
      <c r="K111" s="101">
        <v>46043.791666666664</v>
      </c>
      <c r="L111">
        <v>12</v>
      </c>
      <c r="M111">
        <v>1.75</v>
      </c>
      <c r="O111">
        <v>10.25</v>
      </c>
      <c r="P111">
        <v>246</v>
      </c>
      <c r="Q111">
        <v>288</v>
      </c>
      <c r="R111">
        <v>0.49199999999999999</v>
      </c>
      <c r="S111">
        <v>0.57599999999999996</v>
      </c>
      <c r="T111">
        <v>1.7361111111111112</v>
      </c>
    </row>
    <row r="112" spans="1:20" x14ac:dyDescent="0.3">
      <c r="A112" s="99">
        <v>46044</v>
      </c>
      <c r="B112" t="s">
        <v>96</v>
      </c>
      <c r="C112" t="s">
        <v>402</v>
      </c>
      <c r="D112" s="100"/>
      <c r="E112" s="100"/>
      <c r="F112" s="100"/>
      <c r="G112">
        <v>16</v>
      </c>
      <c r="H112">
        <v>381</v>
      </c>
      <c r="I112" s="100">
        <v>7.2916666666666671E-2</v>
      </c>
      <c r="J112" s="101">
        <v>46044.291666666664</v>
      </c>
      <c r="K112" s="101">
        <v>46044.791666666664</v>
      </c>
      <c r="L112">
        <v>12</v>
      </c>
      <c r="M112">
        <v>1.75</v>
      </c>
      <c r="O112">
        <v>10.25</v>
      </c>
      <c r="P112">
        <v>164</v>
      </c>
      <c r="Q112">
        <v>192</v>
      </c>
      <c r="R112">
        <v>0.43044619422572178</v>
      </c>
      <c r="S112">
        <v>0.50393700787401574</v>
      </c>
      <c r="T112">
        <v>1.984375</v>
      </c>
    </row>
    <row r="113" spans="1:20" x14ac:dyDescent="0.3">
      <c r="A113" s="99">
        <v>46044</v>
      </c>
      <c r="B113" t="s">
        <v>97</v>
      </c>
      <c r="C113" t="s">
        <v>402</v>
      </c>
      <c r="D113" s="100"/>
      <c r="E113" s="100"/>
      <c r="F113" s="100"/>
      <c r="G113">
        <v>5</v>
      </c>
      <c r="H113">
        <v>440</v>
      </c>
      <c r="I113" s="100">
        <v>7.2916666666666671E-2</v>
      </c>
      <c r="J113" s="101">
        <v>46044.291666666664</v>
      </c>
      <c r="K113" s="101">
        <v>46044.791666666664</v>
      </c>
      <c r="L113">
        <v>12</v>
      </c>
      <c r="M113">
        <v>1.75</v>
      </c>
      <c r="O113">
        <v>10.25</v>
      </c>
      <c r="P113">
        <v>51.25</v>
      </c>
      <c r="Q113">
        <v>60</v>
      </c>
      <c r="R113">
        <v>0.11647727272727272</v>
      </c>
      <c r="S113">
        <v>0.13636363636363635</v>
      </c>
      <c r="T113">
        <v>7.3333333333333339</v>
      </c>
    </row>
    <row r="114" spans="1:20" x14ac:dyDescent="0.3">
      <c r="A114" s="99">
        <v>46044</v>
      </c>
      <c r="B114" t="s">
        <v>98</v>
      </c>
      <c r="C114" t="s">
        <v>402</v>
      </c>
      <c r="D114" s="100">
        <v>6.5277777777777782E-2</v>
      </c>
      <c r="E114" s="100"/>
      <c r="F114" s="100"/>
      <c r="G114">
        <v>25</v>
      </c>
      <c r="H114">
        <v>375</v>
      </c>
      <c r="I114" s="100">
        <v>7.2916666666666671E-2</v>
      </c>
      <c r="J114" s="101">
        <v>46044.291666666664</v>
      </c>
      <c r="K114" s="101">
        <v>46044.791666666664</v>
      </c>
      <c r="L114">
        <v>12</v>
      </c>
      <c r="M114">
        <v>1.75</v>
      </c>
      <c r="N114">
        <v>1.5666666666666667</v>
      </c>
      <c r="O114">
        <v>8.6833333333333336</v>
      </c>
      <c r="P114">
        <v>217.08333333333334</v>
      </c>
      <c r="Q114">
        <v>300</v>
      </c>
      <c r="R114">
        <v>0.5788888888888889</v>
      </c>
      <c r="S114">
        <v>0.8</v>
      </c>
      <c r="T114">
        <v>1.25</v>
      </c>
    </row>
    <row r="115" spans="1:20" x14ac:dyDescent="0.3">
      <c r="A115" s="99">
        <v>46044</v>
      </c>
      <c r="B115" t="s">
        <v>99</v>
      </c>
      <c r="C115" t="s">
        <v>402</v>
      </c>
      <c r="D115" s="100"/>
      <c r="E115" s="100"/>
      <c r="F115" s="100"/>
      <c r="G115">
        <v>23</v>
      </c>
      <c r="H115">
        <v>374</v>
      </c>
      <c r="I115" s="100">
        <v>7.2916666666666671E-2</v>
      </c>
      <c r="J115" s="101">
        <v>46044.291666666664</v>
      </c>
      <c r="K115" s="101">
        <v>46044.791666666664</v>
      </c>
      <c r="L115">
        <v>12</v>
      </c>
      <c r="M115">
        <v>1.75</v>
      </c>
      <c r="O115">
        <v>10.25</v>
      </c>
      <c r="P115">
        <v>235.75</v>
      </c>
      <c r="Q115">
        <v>276</v>
      </c>
      <c r="R115">
        <v>0.63034759358288772</v>
      </c>
      <c r="S115">
        <v>0.73796791443850263</v>
      </c>
      <c r="T115">
        <v>1.355072463768116</v>
      </c>
    </row>
    <row r="116" spans="1:20" x14ac:dyDescent="0.3">
      <c r="A116" s="99">
        <v>46045</v>
      </c>
      <c r="B116" t="s">
        <v>96</v>
      </c>
      <c r="C116" t="s">
        <v>402</v>
      </c>
      <c r="D116" s="100"/>
      <c r="E116" s="100"/>
      <c r="F116" s="100"/>
      <c r="G116">
        <v>17</v>
      </c>
      <c r="H116">
        <v>399</v>
      </c>
      <c r="I116" s="100">
        <v>7.2916666666666671E-2</v>
      </c>
      <c r="J116" s="101">
        <v>46045.291666666664</v>
      </c>
      <c r="K116" s="101">
        <v>46045.791666666664</v>
      </c>
      <c r="L116">
        <v>12</v>
      </c>
      <c r="M116">
        <v>1.75</v>
      </c>
      <c r="O116">
        <v>10.25</v>
      </c>
      <c r="P116">
        <v>174.25</v>
      </c>
      <c r="Q116">
        <v>204</v>
      </c>
      <c r="R116">
        <v>0.43671679197994989</v>
      </c>
      <c r="S116">
        <v>0.51127819548872178</v>
      </c>
      <c r="T116">
        <v>1.9558823529411766</v>
      </c>
    </row>
    <row r="117" spans="1:20" x14ac:dyDescent="0.3">
      <c r="A117" s="99">
        <v>46045</v>
      </c>
      <c r="B117" t="s">
        <v>97</v>
      </c>
      <c r="C117" t="s">
        <v>402</v>
      </c>
      <c r="D117" s="100"/>
      <c r="E117" s="100"/>
      <c r="F117" s="100"/>
      <c r="G117">
        <v>5</v>
      </c>
      <c r="H117">
        <v>412</v>
      </c>
      <c r="I117" s="100">
        <v>7.2916666666666671E-2</v>
      </c>
      <c r="J117" s="101">
        <v>46045.291666666664</v>
      </c>
      <c r="K117" s="101">
        <v>46045.791666666664</v>
      </c>
      <c r="L117">
        <v>12</v>
      </c>
      <c r="M117">
        <v>1.75</v>
      </c>
      <c r="O117">
        <v>10.25</v>
      </c>
      <c r="P117">
        <v>51.25</v>
      </c>
      <c r="Q117">
        <v>60</v>
      </c>
      <c r="R117">
        <v>0.12439320388349515</v>
      </c>
      <c r="S117">
        <v>0.14563106796116504</v>
      </c>
      <c r="T117">
        <v>6.8666666666666671</v>
      </c>
    </row>
    <row r="118" spans="1:20" x14ac:dyDescent="0.3">
      <c r="A118" s="99">
        <v>46045</v>
      </c>
      <c r="B118" t="s">
        <v>98</v>
      </c>
      <c r="C118" t="s">
        <v>402</v>
      </c>
      <c r="D118" s="100">
        <v>9.4444444444444442E-2</v>
      </c>
      <c r="E118" s="100"/>
      <c r="F118" s="100"/>
      <c r="G118">
        <v>24</v>
      </c>
      <c r="H118">
        <v>400</v>
      </c>
      <c r="I118" s="100">
        <v>7.2916666666666671E-2</v>
      </c>
      <c r="J118" s="101">
        <v>46045.291666666664</v>
      </c>
      <c r="K118" s="101">
        <v>46045.791666666664</v>
      </c>
      <c r="L118">
        <v>12</v>
      </c>
      <c r="M118">
        <v>1.75</v>
      </c>
      <c r="N118">
        <v>2.2666666666666666</v>
      </c>
      <c r="O118">
        <v>7.9833333333333334</v>
      </c>
      <c r="P118">
        <v>191.6</v>
      </c>
      <c r="Q118">
        <v>288</v>
      </c>
      <c r="R118">
        <v>0.47899999999999998</v>
      </c>
      <c r="S118">
        <v>0.72</v>
      </c>
      <c r="T118">
        <v>1.3888888888888888</v>
      </c>
    </row>
    <row r="119" spans="1:20" x14ac:dyDescent="0.3">
      <c r="A119" s="99">
        <v>46045</v>
      </c>
      <c r="B119" t="s">
        <v>99</v>
      </c>
      <c r="C119" t="s">
        <v>402</v>
      </c>
      <c r="D119" s="100"/>
      <c r="E119" s="100"/>
      <c r="F119" s="100"/>
      <c r="G119">
        <v>19</v>
      </c>
      <c r="H119">
        <v>398</v>
      </c>
      <c r="I119" s="100">
        <v>7.2916666666666671E-2</v>
      </c>
      <c r="J119" s="101">
        <v>46045.291666666664</v>
      </c>
      <c r="K119" s="101">
        <v>46045.791666666664</v>
      </c>
      <c r="L119">
        <v>12</v>
      </c>
      <c r="M119">
        <v>1.75</v>
      </c>
      <c r="O119">
        <v>10.25</v>
      </c>
      <c r="P119">
        <v>194.75</v>
      </c>
      <c r="Q119">
        <v>228</v>
      </c>
      <c r="R119">
        <v>0.48932160804020103</v>
      </c>
      <c r="S119">
        <v>0.57286432160804024</v>
      </c>
      <c r="T119">
        <v>1.7456140350877192</v>
      </c>
    </row>
    <row r="120" spans="1:20" x14ac:dyDescent="0.3">
      <c r="A120" s="99">
        <v>46046</v>
      </c>
      <c r="B120" t="s">
        <v>96</v>
      </c>
      <c r="C120" t="s">
        <v>402</v>
      </c>
      <c r="D120" s="100"/>
      <c r="E120" s="100"/>
      <c r="F120" s="100"/>
      <c r="G120">
        <v>20</v>
      </c>
      <c r="H120">
        <v>424</v>
      </c>
      <c r="I120" s="100">
        <v>7.2916666666666671E-2</v>
      </c>
      <c r="J120" s="101">
        <v>46046.291666666664</v>
      </c>
      <c r="K120" s="101">
        <v>46046.791666666664</v>
      </c>
      <c r="L120">
        <v>12</v>
      </c>
      <c r="M120">
        <v>1.75</v>
      </c>
      <c r="O120">
        <v>10.25</v>
      </c>
      <c r="P120">
        <v>205</v>
      </c>
      <c r="Q120">
        <v>240</v>
      </c>
      <c r="R120">
        <v>0.48349056603773582</v>
      </c>
      <c r="S120">
        <v>0.56603773584905659</v>
      </c>
      <c r="T120">
        <v>1.7666666666666666</v>
      </c>
    </row>
    <row r="121" spans="1:20" x14ac:dyDescent="0.3">
      <c r="A121" s="99">
        <v>46046</v>
      </c>
      <c r="B121" t="s">
        <v>97</v>
      </c>
      <c r="C121" t="s">
        <v>402</v>
      </c>
      <c r="D121" s="100"/>
      <c r="E121" s="100"/>
      <c r="F121" s="100"/>
      <c r="G121">
        <v>5</v>
      </c>
      <c r="H121">
        <v>417</v>
      </c>
      <c r="I121" s="100">
        <v>7.2916666666666671E-2</v>
      </c>
      <c r="J121" s="101">
        <v>46046.291666666664</v>
      </c>
      <c r="K121" s="101">
        <v>46046.791666666664</v>
      </c>
      <c r="L121">
        <v>12</v>
      </c>
      <c r="M121">
        <v>1.75</v>
      </c>
      <c r="O121">
        <v>10.25</v>
      </c>
      <c r="P121">
        <v>51.25</v>
      </c>
      <c r="Q121">
        <v>60</v>
      </c>
      <c r="R121">
        <v>0.12290167865707434</v>
      </c>
      <c r="S121">
        <v>0.14388489208633093</v>
      </c>
      <c r="T121">
        <v>6.95</v>
      </c>
    </row>
    <row r="122" spans="1:20" x14ac:dyDescent="0.3">
      <c r="A122" s="99">
        <v>46046</v>
      </c>
      <c r="B122" t="s">
        <v>98</v>
      </c>
      <c r="C122" t="s">
        <v>402</v>
      </c>
      <c r="D122" s="100">
        <v>2.361111111111111E-2</v>
      </c>
      <c r="E122" s="100"/>
      <c r="F122" s="100"/>
      <c r="G122">
        <v>23</v>
      </c>
      <c r="H122">
        <v>406</v>
      </c>
      <c r="I122" s="100">
        <v>7.2916666666666671E-2</v>
      </c>
      <c r="J122" s="101">
        <v>46046.291666666664</v>
      </c>
      <c r="K122" s="101">
        <v>46046.791666666664</v>
      </c>
      <c r="L122">
        <v>12</v>
      </c>
      <c r="M122">
        <v>1.75</v>
      </c>
      <c r="N122">
        <v>0.56666666666666665</v>
      </c>
      <c r="O122">
        <v>9.6833333333333336</v>
      </c>
      <c r="P122">
        <v>222.71666666666667</v>
      </c>
      <c r="Q122">
        <v>276</v>
      </c>
      <c r="R122">
        <v>0.54856321839080457</v>
      </c>
      <c r="S122">
        <v>0.67980295566502458</v>
      </c>
      <c r="T122">
        <v>1.4710144927536233</v>
      </c>
    </row>
    <row r="123" spans="1:20" x14ac:dyDescent="0.3">
      <c r="A123" s="99">
        <v>46046</v>
      </c>
      <c r="B123" t="s">
        <v>99</v>
      </c>
      <c r="C123" t="s">
        <v>402</v>
      </c>
      <c r="D123" s="100"/>
      <c r="E123" s="100"/>
      <c r="F123" s="100"/>
      <c r="G123">
        <v>20</v>
      </c>
      <c r="H123">
        <v>452</v>
      </c>
      <c r="I123" s="100">
        <v>7.2916666666666671E-2</v>
      </c>
      <c r="J123" s="101">
        <v>46046.291666666664</v>
      </c>
      <c r="K123" s="101">
        <v>46046.791666666664</v>
      </c>
      <c r="L123">
        <v>12</v>
      </c>
      <c r="M123">
        <v>1.75</v>
      </c>
      <c r="O123">
        <v>10.25</v>
      </c>
      <c r="P123">
        <v>205</v>
      </c>
      <c r="Q123">
        <v>240</v>
      </c>
      <c r="R123">
        <v>0.45353982300884954</v>
      </c>
      <c r="S123">
        <v>0.53097345132743368</v>
      </c>
      <c r="T123">
        <v>1.8833333333333331</v>
      </c>
    </row>
    <row r="124" spans="1:20" x14ac:dyDescent="0.3">
      <c r="A124" s="99">
        <v>46048</v>
      </c>
      <c r="B124" t="s">
        <v>96</v>
      </c>
      <c r="C124" t="s">
        <v>402</v>
      </c>
      <c r="D124" s="100"/>
      <c r="E124" s="100"/>
      <c r="F124" s="100"/>
      <c r="G124">
        <v>17</v>
      </c>
      <c r="H124">
        <v>406</v>
      </c>
      <c r="I124" s="100">
        <v>7.2916666666666671E-2</v>
      </c>
      <c r="J124" s="101">
        <v>46048.291666666664</v>
      </c>
      <c r="K124" s="101">
        <v>46048.791666666664</v>
      </c>
      <c r="L124">
        <v>12</v>
      </c>
      <c r="M124">
        <v>1.75</v>
      </c>
      <c r="O124">
        <v>10.25</v>
      </c>
      <c r="P124">
        <v>174.25</v>
      </c>
      <c r="Q124">
        <v>204</v>
      </c>
      <c r="R124">
        <v>0.42918719211822659</v>
      </c>
      <c r="S124">
        <v>0.50246305418719217</v>
      </c>
      <c r="T124">
        <v>1.9901960784313724</v>
      </c>
    </row>
    <row r="125" spans="1:20" x14ac:dyDescent="0.3">
      <c r="A125" s="99">
        <v>46048</v>
      </c>
      <c r="B125" t="s">
        <v>97</v>
      </c>
      <c r="C125" t="s">
        <v>402</v>
      </c>
      <c r="D125" s="100">
        <v>0.1111111111111111</v>
      </c>
      <c r="E125" s="100"/>
      <c r="F125" s="100"/>
      <c r="G125">
        <v>5</v>
      </c>
      <c r="H125">
        <v>423</v>
      </c>
      <c r="I125" s="100">
        <v>7.2916666666666671E-2</v>
      </c>
      <c r="J125" s="101">
        <v>46048.291666666664</v>
      </c>
      <c r="K125" s="101">
        <v>46048.791666666664</v>
      </c>
      <c r="L125">
        <v>12</v>
      </c>
      <c r="M125">
        <v>1.75</v>
      </c>
      <c r="N125">
        <v>2.6666666666666665</v>
      </c>
      <c r="O125">
        <v>7.5833333333333339</v>
      </c>
      <c r="P125">
        <v>37.916666666666671</v>
      </c>
      <c r="Q125">
        <v>60</v>
      </c>
      <c r="R125">
        <v>8.9637509850275812E-2</v>
      </c>
      <c r="S125">
        <v>0.14184397163120568</v>
      </c>
      <c r="T125">
        <v>7.05</v>
      </c>
    </row>
    <row r="126" spans="1:20" x14ac:dyDescent="0.3">
      <c r="A126" s="99">
        <v>46048</v>
      </c>
      <c r="B126" t="s">
        <v>98</v>
      </c>
      <c r="C126" t="s">
        <v>402</v>
      </c>
      <c r="D126" s="100">
        <v>4.1666666666666664E-2</v>
      </c>
      <c r="E126" s="100"/>
      <c r="F126" s="100"/>
      <c r="G126">
        <v>22</v>
      </c>
      <c r="H126">
        <v>404</v>
      </c>
      <c r="I126" s="100">
        <v>7.2916666666666671E-2</v>
      </c>
      <c r="J126" s="101">
        <v>46048.291666666664</v>
      </c>
      <c r="K126" s="101">
        <v>46048.791666666664</v>
      </c>
      <c r="L126">
        <v>12</v>
      </c>
      <c r="M126">
        <v>1.75</v>
      </c>
      <c r="N126">
        <v>1</v>
      </c>
      <c r="O126">
        <v>9.25</v>
      </c>
      <c r="P126">
        <v>203.5</v>
      </c>
      <c r="Q126">
        <v>264</v>
      </c>
      <c r="R126">
        <v>0.50371287128712872</v>
      </c>
      <c r="S126">
        <v>0.65346534653465349</v>
      </c>
      <c r="T126">
        <v>1.5303030303030303</v>
      </c>
    </row>
    <row r="127" spans="1:20" x14ac:dyDescent="0.3">
      <c r="A127" s="99">
        <v>46048</v>
      </c>
      <c r="B127" t="s">
        <v>99</v>
      </c>
      <c r="C127" t="s">
        <v>402</v>
      </c>
      <c r="D127" s="100"/>
      <c r="E127" s="100"/>
      <c r="F127" s="100"/>
      <c r="G127">
        <v>19</v>
      </c>
      <c r="H127">
        <v>304</v>
      </c>
      <c r="I127" s="100">
        <v>7.2916666666666671E-2</v>
      </c>
      <c r="J127" s="101">
        <v>46048.291666666664</v>
      </c>
      <c r="K127" s="101">
        <v>46048.791666666664</v>
      </c>
      <c r="L127">
        <v>12</v>
      </c>
      <c r="M127">
        <v>1.75</v>
      </c>
      <c r="O127">
        <v>10.25</v>
      </c>
      <c r="P127">
        <v>194.75</v>
      </c>
      <c r="Q127">
        <v>228</v>
      </c>
      <c r="R127">
        <v>0.640625</v>
      </c>
      <c r="S127">
        <v>0.75</v>
      </c>
      <c r="T127">
        <v>1.3333333333333333</v>
      </c>
    </row>
    <row r="128" spans="1:20" x14ac:dyDescent="0.3">
      <c r="A128" s="99">
        <v>46049</v>
      </c>
      <c r="B128" t="s">
        <v>96</v>
      </c>
      <c r="C128" t="s">
        <v>402</v>
      </c>
      <c r="D128" s="100"/>
      <c r="E128" s="100"/>
      <c r="F128" s="100"/>
      <c r="G128">
        <v>19</v>
      </c>
      <c r="H128">
        <v>500</v>
      </c>
      <c r="I128" s="100">
        <v>7.2916666666666671E-2</v>
      </c>
      <c r="J128" s="101">
        <v>46049.291666666664</v>
      </c>
      <c r="K128" s="101">
        <v>46049.791666666664</v>
      </c>
      <c r="L128">
        <v>12</v>
      </c>
      <c r="M128">
        <v>1.75</v>
      </c>
      <c r="O128">
        <v>10.25</v>
      </c>
      <c r="P128">
        <v>194.75</v>
      </c>
      <c r="Q128">
        <v>228</v>
      </c>
      <c r="R128">
        <v>0.38950000000000001</v>
      </c>
      <c r="S128">
        <v>0.45600000000000002</v>
      </c>
      <c r="T128">
        <v>2.1929824561403506</v>
      </c>
    </row>
    <row r="129" spans="1:20" x14ac:dyDescent="0.3">
      <c r="A129" s="99">
        <v>46049</v>
      </c>
      <c r="B129" t="s">
        <v>97</v>
      </c>
      <c r="C129" t="s">
        <v>402</v>
      </c>
      <c r="D129" s="100"/>
      <c r="E129" s="100"/>
      <c r="F129" s="100"/>
      <c r="G129">
        <v>5</v>
      </c>
      <c r="H129">
        <v>438</v>
      </c>
      <c r="I129" s="100">
        <v>7.2916666666666671E-2</v>
      </c>
      <c r="J129" s="101">
        <v>46049.291666666664</v>
      </c>
      <c r="K129" s="101">
        <v>46049.791666666664</v>
      </c>
      <c r="L129">
        <v>12</v>
      </c>
      <c r="M129">
        <v>1.75</v>
      </c>
      <c r="O129">
        <v>10.25</v>
      </c>
      <c r="P129">
        <v>51.25</v>
      </c>
      <c r="Q129">
        <v>60</v>
      </c>
      <c r="R129">
        <v>0.11700913242009132</v>
      </c>
      <c r="S129">
        <v>0.13698630136986301</v>
      </c>
      <c r="T129">
        <v>7.3000000000000007</v>
      </c>
    </row>
    <row r="130" spans="1:20" x14ac:dyDescent="0.3">
      <c r="A130" s="99">
        <v>46049</v>
      </c>
      <c r="B130" t="s">
        <v>98</v>
      </c>
      <c r="C130" t="s">
        <v>402</v>
      </c>
      <c r="D130" s="100"/>
      <c r="E130" s="100"/>
      <c r="F130" s="100"/>
      <c r="G130">
        <v>22</v>
      </c>
      <c r="H130">
        <v>498</v>
      </c>
      <c r="I130" s="100">
        <v>7.2916666666666671E-2</v>
      </c>
      <c r="J130" s="101">
        <v>46049.291666666664</v>
      </c>
      <c r="K130" s="101">
        <v>46049.791666666664</v>
      </c>
      <c r="L130">
        <v>12</v>
      </c>
      <c r="M130">
        <v>1.75</v>
      </c>
      <c r="O130">
        <v>10.25</v>
      </c>
      <c r="P130">
        <v>225.5</v>
      </c>
      <c r="Q130">
        <v>264</v>
      </c>
      <c r="R130">
        <v>0.4528112449799197</v>
      </c>
      <c r="S130">
        <v>0.53012048192771088</v>
      </c>
      <c r="T130">
        <v>1.8863636363636362</v>
      </c>
    </row>
    <row r="131" spans="1:20" x14ac:dyDescent="0.3">
      <c r="A131" s="99">
        <v>46049</v>
      </c>
      <c r="B131" t="s">
        <v>99</v>
      </c>
      <c r="C131" t="s">
        <v>402</v>
      </c>
      <c r="D131" s="100">
        <v>3.125E-2</v>
      </c>
      <c r="E131" s="100"/>
      <c r="F131" s="100"/>
      <c r="G131">
        <v>19</v>
      </c>
      <c r="H131">
        <v>572</v>
      </c>
      <c r="I131" s="100">
        <v>7.2916666666666671E-2</v>
      </c>
      <c r="J131" s="101">
        <v>46049.291666666664</v>
      </c>
      <c r="K131" s="101">
        <v>46049.791666666664</v>
      </c>
      <c r="L131">
        <v>12</v>
      </c>
      <c r="M131">
        <v>1.75</v>
      </c>
      <c r="N131">
        <v>0.75</v>
      </c>
      <c r="O131">
        <v>9.5</v>
      </c>
      <c r="P131">
        <v>180.5</v>
      </c>
      <c r="Q131">
        <v>228</v>
      </c>
      <c r="R131">
        <v>0.31555944055944057</v>
      </c>
      <c r="S131">
        <v>0.39860139860139859</v>
      </c>
      <c r="T131">
        <v>2.5087719298245617</v>
      </c>
    </row>
    <row r="132" spans="1:20" x14ac:dyDescent="0.3">
      <c r="A132" s="99">
        <v>46050</v>
      </c>
      <c r="B132" t="s">
        <v>96</v>
      </c>
      <c r="C132" t="s">
        <v>402</v>
      </c>
      <c r="D132" s="100"/>
      <c r="E132" s="100"/>
      <c r="F132" s="100"/>
      <c r="G132">
        <v>20</v>
      </c>
      <c r="H132">
        <v>500</v>
      </c>
      <c r="I132" s="100">
        <v>7.2916666666666671E-2</v>
      </c>
      <c r="J132" s="101">
        <v>46050.291666666664</v>
      </c>
      <c r="K132" s="101">
        <v>46050.791666666664</v>
      </c>
      <c r="L132">
        <v>12</v>
      </c>
      <c r="M132">
        <v>1.75</v>
      </c>
      <c r="O132">
        <v>10.25</v>
      </c>
      <c r="P132">
        <v>205</v>
      </c>
      <c r="Q132">
        <v>240</v>
      </c>
      <c r="R132">
        <v>0.41</v>
      </c>
      <c r="S132">
        <v>0.48</v>
      </c>
      <c r="T132">
        <v>2.0833333333333335</v>
      </c>
    </row>
    <row r="133" spans="1:20" x14ac:dyDescent="0.3">
      <c r="A133" s="99">
        <v>46050</v>
      </c>
      <c r="B133" t="s">
        <v>97</v>
      </c>
      <c r="C133" t="s">
        <v>402</v>
      </c>
      <c r="D133" s="100"/>
      <c r="E133" s="100"/>
      <c r="F133" s="100"/>
      <c r="G133">
        <v>5</v>
      </c>
      <c r="H133">
        <v>508</v>
      </c>
      <c r="I133" s="100">
        <v>7.2916666666666671E-2</v>
      </c>
      <c r="J133" s="101">
        <v>46050.291666666664</v>
      </c>
      <c r="K133" s="101">
        <v>46050.791666666664</v>
      </c>
      <c r="L133">
        <v>12</v>
      </c>
      <c r="M133">
        <v>1.75</v>
      </c>
      <c r="O133">
        <v>10.25</v>
      </c>
      <c r="P133">
        <v>51.25</v>
      </c>
      <c r="Q133">
        <v>60</v>
      </c>
      <c r="R133">
        <v>0.10088582677165354</v>
      </c>
      <c r="S133">
        <v>0.11811023622047244</v>
      </c>
      <c r="T133">
        <v>8.4666666666666668</v>
      </c>
    </row>
    <row r="134" spans="1:20" x14ac:dyDescent="0.3">
      <c r="A134" s="99">
        <v>46050</v>
      </c>
      <c r="B134" t="s">
        <v>98</v>
      </c>
      <c r="C134" t="s">
        <v>402</v>
      </c>
      <c r="D134" s="100">
        <v>4.1666666666666664E-2</v>
      </c>
      <c r="E134" s="100"/>
      <c r="F134" s="100"/>
      <c r="G134">
        <v>21</v>
      </c>
      <c r="H134">
        <v>480</v>
      </c>
      <c r="I134" s="100">
        <v>7.2916666666666671E-2</v>
      </c>
      <c r="J134" s="101">
        <v>46050.291666666664</v>
      </c>
      <c r="K134" s="101">
        <v>46050.791666666664</v>
      </c>
      <c r="L134">
        <v>12</v>
      </c>
      <c r="M134">
        <v>1.75</v>
      </c>
      <c r="N134">
        <v>1</v>
      </c>
      <c r="O134">
        <v>9.25</v>
      </c>
      <c r="P134">
        <v>194.25</v>
      </c>
      <c r="Q134">
        <v>252</v>
      </c>
      <c r="R134">
        <v>0.40468749999999998</v>
      </c>
      <c r="S134">
        <v>0.52500000000000002</v>
      </c>
      <c r="T134">
        <v>1.9047619047619047</v>
      </c>
    </row>
    <row r="135" spans="1:20" x14ac:dyDescent="0.3">
      <c r="A135" s="99">
        <v>46050</v>
      </c>
      <c r="B135" t="s">
        <v>99</v>
      </c>
      <c r="C135" t="s">
        <v>402</v>
      </c>
      <c r="D135" s="100"/>
      <c r="E135" s="100"/>
      <c r="F135" s="100"/>
      <c r="G135">
        <v>19</v>
      </c>
      <c r="H135">
        <v>538</v>
      </c>
      <c r="I135" s="100">
        <v>7.2916666666666671E-2</v>
      </c>
      <c r="J135" s="101">
        <v>46050.291666666664</v>
      </c>
      <c r="K135" s="101">
        <v>46050.791666666664</v>
      </c>
      <c r="L135">
        <v>12</v>
      </c>
      <c r="M135">
        <v>1.75</v>
      </c>
      <c r="O135">
        <v>10.25</v>
      </c>
      <c r="P135">
        <v>194.75</v>
      </c>
      <c r="Q135">
        <v>228</v>
      </c>
      <c r="R135">
        <v>0.36198884758364314</v>
      </c>
      <c r="S135">
        <v>0.42379182156133827</v>
      </c>
      <c r="T135">
        <v>2.3596491228070176</v>
      </c>
    </row>
    <row r="136" spans="1:20" x14ac:dyDescent="0.3">
      <c r="A136" s="99">
        <v>46051</v>
      </c>
      <c r="B136" t="s">
        <v>96</v>
      </c>
      <c r="C136" t="s">
        <v>402</v>
      </c>
      <c r="D136" s="100"/>
      <c r="E136" s="100"/>
      <c r="F136" s="100"/>
      <c r="G136">
        <v>19</v>
      </c>
      <c r="H136">
        <v>503</v>
      </c>
      <c r="I136" s="100">
        <v>7.2916666666666671E-2</v>
      </c>
      <c r="J136" s="101">
        <v>46051.291666666664</v>
      </c>
      <c r="K136" s="101">
        <v>46051.791666666664</v>
      </c>
      <c r="L136">
        <v>12</v>
      </c>
      <c r="M136">
        <v>1.75</v>
      </c>
      <c r="O136">
        <v>10.25</v>
      </c>
      <c r="P136">
        <v>194.75</v>
      </c>
      <c r="Q136">
        <v>228</v>
      </c>
      <c r="R136">
        <v>0.38717693836978129</v>
      </c>
      <c r="S136">
        <v>0.45328031809145131</v>
      </c>
      <c r="T136">
        <v>2.2061403508771931</v>
      </c>
    </row>
    <row r="137" spans="1:20" x14ac:dyDescent="0.3">
      <c r="A137" s="99">
        <v>46051</v>
      </c>
      <c r="B137" t="s">
        <v>97</v>
      </c>
      <c r="C137" t="s">
        <v>402</v>
      </c>
      <c r="D137" s="100"/>
      <c r="E137" s="100"/>
      <c r="F137" s="100"/>
      <c r="G137">
        <v>5</v>
      </c>
      <c r="H137">
        <v>471</v>
      </c>
      <c r="I137" s="100">
        <v>7.2916666666666671E-2</v>
      </c>
      <c r="J137" s="101">
        <v>46051.291666666664</v>
      </c>
      <c r="K137" s="101">
        <v>46051.791666666664</v>
      </c>
      <c r="L137">
        <v>12</v>
      </c>
      <c r="M137">
        <v>1.75</v>
      </c>
      <c r="O137">
        <v>10.25</v>
      </c>
      <c r="P137">
        <v>51.25</v>
      </c>
      <c r="Q137">
        <v>60</v>
      </c>
      <c r="R137">
        <v>0.10881104033970276</v>
      </c>
      <c r="S137">
        <v>0.12738853503184713</v>
      </c>
      <c r="T137">
        <v>7.85</v>
      </c>
    </row>
    <row r="138" spans="1:20" x14ac:dyDescent="0.3">
      <c r="A138" s="99">
        <v>46051</v>
      </c>
      <c r="B138" t="s">
        <v>98</v>
      </c>
      <c r="C138" t="s">
        <v>402</v>
      </c>
      <c r="D138" s="100">
        <v>5.0694444444444445E-2</v>
      </c>
      <c r="E138" s="100"/>
      <c r="F138" s="100"/>
      <c r="G138">
        <v>22</v>
      </c>
      <c r="H138">
        <v>487</v>
      </c>
      <c r="I138" s="100">
        <v>7.2916666666666671E-2</v>
      </c>
      <c r="J138" s="101">
        <v>46051.291666666664</v>
      </c>
      <c r="K138" s="101">
        <v>46051.791666666664</v>
      </c>
      <c r="L138">
        <v>12</v>
      </c>
      <c r="M138">
        <v>1.75</v>
      </c>
      <c r="N138">
        <v>1.2166666666666666</v>
      </c>
      <c r="O138">
        <v>9.0333333333333332</v>
      </c>
      <c r="P138">
        <v>198.73333333333332</v>
      </c>
      <c r="Q138">
        <v>264</v>
      </c>
      <c r="R138">
        <v>0.40807665982203967</v>
      </c>
      <c r="S138">
        <v>0.5420944558521561</v>
      </c>
      <c r="T138">
        <v>1.8446969696969695</v>
      </c>
    </row>
    <row r="139" spans="1:20" x14ac:dyDescent="0.3">
      <c r="A139" s="99">
        <v>46051</v>
      </c>
      <c r="B139" t="s">
        <v>99</v>
      </c>
      <c r="C139" t="s">
        <v>402</v>
      </c>
      <c r="D139" s="100">
        <v>0.1875</v>
      </c>
      <c r="E139" s="100"/>
      <c r="F139" s="100"/>
      <c r="G139">
        <v>19</v>
      </c>
      <c r="H139">
        <v>438</v>
      </c>
      <c r="I139" s="100">
        <v>7.2916666666666671E-2</v>
      </c>
      <c r="J139" s="101">
        <v>46051.291666666664</v>
      </c>
      <c r="K139" s="101">
        <v>46051.791666666664</v>
      </c>
      <c r="L139">
        <v>12</v>
      </c>
      <c r="M139">
        <v>1.75</v>
      </c>
      <c r="N139">
        <v>4.5</v>
      </c>
      <c r="O139">
        <v>5.75</v>
      </c>
      <c r="P139">
        <v>109.25</v>
      </c>
      <c r="Q139">
        <v>228</v>
      </c>
      <c r="R139">
        <v>0.24942922374429224</v>
      </c>
      <c r="S139">
        <v>0.52054794520547942</v>
      </c>
      <c r="T139">
        <v>1.9210526315789476</v>
      </c>
    </row>
    <row r="140" spans="1:20" x14ac:dyDescent="0.3">
      <c r="A140" s="99">
        <v>46052</v>
      </c>
      <c r="B140" t="s">
        <v>96</v>
      </c>
      <c r="C140" t="s">
        <v>402</v>
      </c>
      <c r="D140" s="100"/>
      <c r="E140" s="100"/>
      <c r="F140" s="100"/>
      <c r="G140">
        <v>17</v>
      </c>
      <c r="H140">
        <v>420</v>
      </c>
      <c r="I140" s="100">
        <v>7.2916666666666671E-2</v>
      </c>
      <c r="J140" s="101">
        <v>46052.291666666664</v>
      </c>
      <c r="K140" s="101">
        <v>46052.791666666664</v>
      </c>
      <c r="L140">
        <v>12</v>
      </c>
      <c r="M140">
        <v>1.75</v>
      </c>
      <c r="O140">
        <v>10.25</v>
      </c>
      <c r="P140">
        <v>174.25</v>
      </c>
      <c r="Q140">
        <v>204</v>
      </c>
      <c r="R140">
        <v>0.41488095238095241</v>
      </c>
      <c r="S140">
        <v>0.48571428571428571</v>
      </c>
      <c r="T140">
        <v>2.0588235294117649</v>
      </c>
    </row>
    <row r="141" spans="1:20" x14ac:dyDescent="0.3">
      <c r="A141" s="99">
        <v>46052</v>
      </c>
      <c r="B141" t="s">
        <v>97</v>
      </c>
      <c r="C141" t="s">
        <v>402</v>
      </c>
      <c r="D141" s="100"/>
      <c r="E141" s="100"/>
      <c r="F141" s="100"/>
      <c r="G141">
        <v>5</v>
      </c>
      <c r="H141">
        <v>482</v>
      </c>
      <c r="I141" s="100">
        <v>7.2916666666666671E-2</v>
      </c>
      <c r="J141" s="101">
        <v>46052.291666666664</v>
      </c>
      <c r="K141" s="101">
        <v>46052.791666666664</v>
      </c>
      <c r="L141">
        <v>12</v>
      </c>
      <c r="M141">
        <v>1.75</v>
      </c>
      <c r="O141">
        <v>10.25</v>
      </c>
      <c r="P141">
        <v>51.25</v>
      </c>
      <c r="Q141">
        <v>60</v>
      </c>
      <c r="R141">
        <v>0.10632780082987552</v>
      </c>
      <c r="S141">
        <v>0.12448132780082988</v>
      </c>
      <c r="T141">
        <v>8.0333333333333332</v>
      </c>
    </row>
    <row r="142" spans="1:20" x14ac:dyDescent="0.3">
      <c r="A142" s="99">
        <v>46052</v>
      </c>
      <c r="B142" t="s">
        <v>98</v>
      </c>
      <c r="C142" t="s">
        <v>402</v>
      </c>
      <c r="D142" s="100"/>
      <c r="E142" s="100"/>
      <c r="F142" s="100"/>
      <c r="G142">
        <v>21</v>
      </c>
      <c r="H142">
        <v>443</v>
      </c>
      <c r="I142" s="100">
        <v>7.2916666666666671E-2</v>
      </c>
      <c r="J142" s="101">
        <v>46052.291666666664</v>
      </c>
      <c r="K142" s="101">
        <v>46052.791666666664</v>
      </c>
      <c r="L142">
        <v>12</v>
      </c>
      <c r="M142">
        <v>1.75</v>
      </c>
      <c r="O142">
        <v>10.25</v>
      </c>
      <c r="P142">
        <v>215.25</v>
      </c>
      <c r="Q142">
        <v>252</v>
      </c>
      <c r="R142">
        <v>0.48589164785553046</v>
      </c>
      <c r="S142">
        <v>0.56884875846501126</v>
      </c>
      <c r="T142">
        <v>1.7579365079365079</v>
      </c>
    </row>
    <row r="143" spans="1:20" x14ac:dyDescent="0.3">
      <c r="A143" s="99">
        <v>46052</v>
      </c>
      <c r="B143" t="s">
        <v>99</v>
      </c>
      <c r="C143" t="s">
        <v>402</v>
      </c>
      <c r="D143" s="100"/>
      <c r="E143" s="100"/>
      <c r="F143" s="100"/>
      <c r="G143">
        <v>19</v>
      </c>
      <c r="H143">
        <v>517</v>
      </c>
      <c r="I143" s="100">
        <v>6.25E-2</v>
      </c>
      <c r="J143" s="101">
        <v>46052.291666666664</v>
      </c>
      <c r="K143" s="101">
        <v>46052.708333333336</v>
      </c>
      <c r="L143">
        <v>10</v>
      </c>
      <c r="M143">
        <v>1.5</v>
      </c>
      <c r="O143">
        <v>8.5</v>
      </c>
      <c r="P143">
        <v>161.5</v>
      </c>
      <c r="Q143">
        <v>190</v>
      </c>
      <c r="R143">
        <v>0.31237911025145065</v>
      </c>
      <c r="S143">
        <v>0.36750483558994196</v>
      </c>
      <c r="T143">
        <v>2.7210526315789476</v>
      </c>
    </row>
    <row r="144" spans="1:20" x14ac:dyDescent="0.3">
      <c r="A144" s="99">
        <v>46053</v>
      </c>
      <c r="B144" t="s">
        <v>96</v>
      </c>
      <c r="C144" t="s">
        <v>402</v>
      </c>
      <c r="D144" s="100"/>
      <c r="E144" s="100"/>
      <c r="F144" s="100"/>
      <c r="G144">
        <v>19</v>
      </c>
      <c r="H144">
        <v>370</v>
      </c>
      <c r="I144" s="100">
        <v>7.2916666666666671E-2</v>
      </c>
      <c r="J144" s="101">
        <v>46053.291666666664</v>
      </c>
      <c r="K144" s="101">
        <v>46053.791666666664</v>
      </c>
      <c r="L144">
        <v>12</v>
      </c>
      <c r="M144">
        <v>1.75</v>
      </c>
      <c r="O144">
        <v>10.25</v>
      </c>
      <c r="P144">
        <v>194.75</v>
      </c>
      <c r="Q144">
        <v>228</v>
      </c>
      <c r="R144">
        <v>0.52635135135135136</v>
      </c>
      <c r="S144">
        <v>0.61621621621621625</v>
      </c>
      <c r="T144">
        <v>1.6228070175438596</v>
      </c>
    </row>
    <row r="145" spans="1:20" x14ac:dyDescent="0.3">
      <c r="A145" s="99">
        <v>46053</v>
      </c>
      <c r="B145" t="s">
        <v>97</v>
      </c>
      <c r="C145" t="s">
        <v>402</v>
      </c>
      <c r="D145" s="100"/>
      <c r="E145" s="100"/>
      <c r="F145" s="100"/>
      <c r="G145">
        <v>5</v>
      </c>
      <c r="H145">
        <v>380</v>
      </c>
      <c r="I145" s="100">
        <v>7.2916666666666671E-2</v>
      </c>
      <c r="J145" s="101">
        <v>46053.291666666664</v>
      </c>
      <c r="K145" s="101">
        <v>46053.791666666664</v>
      </c>
      <c r="L145">
        <v>12</v>
      </c>
      <c r="M145">
        <v>1.75</v>
      </c>
      <c r="O145">
        <v>10.25</v>
      </c>
      <c r="P145">
        <v>51.25</v>
      </c>
      <c r="Q145">
        <v>60</v>
      </c>
      <c r="R145">
        <v>0.13486842105263158</v>
      </c>
      <c r="S145">
        <v>0.15789473684210525</v>
      </c>
      <c r="T145">
        <v>6.3333333333333339</v>
      </c>
    </row>
    <row r="146" spans="1:20" x14ac:dyDescent="0.3">
      <c r="A146" s="99">
        <v>46053</v>
      </c>
      <c r="B146" t="s">
        <v>98</v>
      </c>
      <c r="C146" t="s">
        <v>402</v>
      </c>
      <c r="D146" s="100"/>
      <c r="E146" s="100"/>
      <c r="F146" s="100"/>
      <c r="G146">
        <v>20</v>
      </c>
      <c r="H146">
        <v>494</v>
      </c>
      <c r="I146" s="100">
        <v>7.2916666666666671E-2</v>
      </c>
      <c r="J146" s="101">
        <v>46053.291666666664</v>
      </c>
      <c r="K146" s="101">
        <v>46053.791666666664</v>
      </c>
      <c r="L146">
        <v>12</v>
      </c>
      <c r="M146">
        <v>1.75</v>
      </c>
      <c r="O146">
        <v>10.25</v>
      </c>
      <c r="P146">
        <v>205</v>
      </c>
      <c r="Q146">
        <v>240</v>
      </c>
      <c r="R146">
        <v>0.41497975708502022</v>
      </c>
      <c r="S146">
        <v>0.48582995951417002</v>
      </c>
      <c r="T146">
        <v>2.0583333333333336</v>
      </c>
    </row>
    <row r="147" spans="1:20" x14ac:dyDescent="0.3">
      <c r="A147" s="99">
        <v>46053</v>
      </c>
      <c r="B147" t="s">
        <v>99</v>
      </c>
      <c r="C147" t="s">
        <v>402</v>
      </c>
      <c r="D147" s="100">
        <v>0.1875</v>
      </c>
      <c r="E147" s="100"/>
      <c r="F147" s="100"/>
      <c r="G147">
        <v>17</v>
      </c>
      <c r="H147">
        <v>377</v>
      </c>
      <c r="I147" s="100">
        <v>7.2916666666666671E-2</v>
      </c>
      <c r="J147" s="101">
        <v>46053.291666666664</v>
      </c>
      <c r="K147" s="101">
        <v>46053.791666666664</v>
      </c>
      <c r="L147">
        <v>12</v>
      </c>
      <c r="M147">
        <v>1.75</v>
      </c>
      <c r="N147">
        <v>4.5</v>
      </c>
      <c r="O147">
        <v>5.75</v>
      </c>
      <c r="P147">
        <v>97.75</v>
      </c>
      <c r="Q147">
        <v>204</v>
      </c>
      <c r="R147">
        <v>0.25928381962864722</v>
      </c>
      <c r="S147">
        <v>0.54111405835543769</v>
      </c>
      <c r="T147">
        <v>1.8480392156862744</v>
      </c>
    </row>
    <row r="148" spans="1:20" x14ac:dyDescent="0.3">
      <c r="A148" s="99">
        <v>46054</v>
      </c>
      <c r="B148" t="s">
        <v>98</v>
      </c>
      <c r="C148" t="s">
        <v>402</v>
      </c>
      <c r="D148" s="100"/>
      <c r="E148" s="100"/>
      <c r="F148" s="100"/>
      <c r="G148">
        <v>7</v>
      </c>
      <c r="H148">
        <v>154</v>
      </c>
      <c r="I148" s="100">
        <v>6.25E-2</v>
      </c>
      <c r="J148" s="101">
        <v>46054.291666666664</v>
      </c>
      <c r="K148" s="101">
        <v>46054.666666666664</v>
      </c>
      <c r="L148">
        <v>9</v>
      </c>
      <c r="M148">
        <v>1.5</v>
      </c>
      <c r="O148">
        <v>7.5</v>
      </c>
      <c r="P148">
        <v>52.5</v>
      </c>
      <c r="Q148">
        <v>63</v>
      </c>
      <c r="R148">
        <v>0.34090909090909088</v>
      </c>
      <c r="S148">
        <v>0.40909090909090912</v>
      </c>
      <c r="T148">
        <v>2.4444444444444442</v>
      </c>
    </row>
    <row r="149" spans="1:20" x14ac:dyDescent="0.3">
      <c r="A149" s="99">
        <v>46054</v>
      </c>
      <c r="B149" t="s">
        <v>99</v>
      </c>
      <c r="C149" t="s">
        <v>402</v>
      </c>
      <c r="D149" s="100"/>
      <c r="E149" s="100"/>
      <c r="F149" s="100"/>
      <c r="G149">
        <v>14</v>
      </c>
      <c r="H149">
        <v>325</v>
      </c>
      <c r="I149" s="100">
        <v>6.25E-2</v>
      </c>
      <c r="J149" s="101">
        <v>46054.291666666664</v>
      </c>
      <c r="K149" s="101">
        <v>46054.708333333336</v>
      </c>
      <c r="L149">
        <v>10</v>
      </c>
      <c r="M149">
        <v>1.5</v>
      </c>
      <c r="O149">
        <v>8.5</v>
      </c>
      <c r="P149">
        <v>119</v>
      </c>
      <c r="Q149">
        <v>140</v>
      </c>
      <c r="R149">
        <v>0.36615384615384616</v>
      </c>
      <c r="S149">
        <v>0.43076923076923079</v>
      </c>
      <c r="T149">
        <v>2.3214285714285712</v>
      </c>
    </row>
    <row r="150" spans="1:20" x14ac:dyDescent="0.3">
      <c r="A150" s="99">
        <v>46055</v>
      </c>
      <c r="B150" t="s">
        <v>96</v>
      </c>
      <c r="C150" t="s">
        <v>402</v>
      </c>
      <c r="D150" s="100"/>
      <c r="E150" s="100"/>
      <c r="F150" s="100"/>
      <c r="G150">
        <v>17</v>
      </c>
      <c r="H150">
        <v>410</v>
      </c>
      <c r="I150" s="100">
        <v>7.2916666666666671E-2</v>
      </c>
      <c r="J150" s="101">
        <v>46055.291666666664</v>
      </c>
      <c r="K150" s="101">
        <v>46055.791666666664</v>
      </c>
      <c r="L150">
        <v>12</v>
      </c>
      <c r="M150">
        <v>1.75</v>
      </c>
      <c r="O150">
        <v>10.25</v>
      </c>
      <c r="P150">
        <v>174.25</v>
      </c>
      <c r="Q150">
        <v>204</v>
      </c>
      <c r="R150">
        <v>0.42499999999999999</v>
      </c>
      <c r="S150">
        <v>0.4975609756097561</v>
      </c>
      <c r="T150">
        <v>2.0098039215686274</v>
      </c>
    </row>
    <row r="151" spans="1:20" x14ac:dyDescent="0.3">
      <c r="A151" s="99">
        <v>46055</v>
      </c>
      <c r="B151" t="s">
        <v>97</v>
      </c>
      <c r="C151" t="s">
        <v>402</v>
      </c>
      <c r="D151" s="100"/>
      <c r="E151" s="100"/>
      <c r="F151" s="100"/>
      <c r="G151">
        <v>5</v>
      </c>
      <c r="H151">
        <v>419</v>
      </c>
      <c r="I151" s="100">
        <v>7.2916666666666671E-2</v>
      </c>
      <c r="J151" s="101">
        <v>46055.291666666664</v>
      </c>
      <c r="K151" s="101">
        <v>46055.791666666664</v>
      </c>
      <c r="L151">
        <v>12</v>
      </c>
      <c r="M151">
        <v>1.75</v>
      </c>
      <c r="O151">
        <v>10.25</v>
      </c>
      <c r="P151">
        <v>51.25</v>
      </c>
      <c r="Q151">
        <v>60</v>
      </c>
      <c r="R151">
        <v>0.12231503579952267</v>
      </c>
      <c r="S151">
        <v>0.14319809069212411</v>
      </c>
      <c r="T151">
        <v>6.9833333333333334</v>
      </c>
    </row>
    <row r="152" spans="1:20" x14ac:dyDescent="0.3">
      <c r="A152" s="99">
        <v>46055</v>
      </c>
      <c r="B152" t="s">
        <v>98</v>
      </c>
      <c r="C152" t="s">
        <v>402</v>
      </c>
      <c r="D152" s="100"/>
      <c r="E152" s="100"/>
      <c r="F152" s="100"/>
      <c r="G152">
        <v>17</v>
      </c>
      <c r="H152">
        <v>333</v>
      </c>
      <c r="I152" s="100">
        <v>7.2916666666666671E-2</v>
      </c>
      <c r="J152" s="101">
        <v>46055.291666666664</v>
      </c>
      <c r="K152" s="101">
        <v>46055.791666666664</v>
      </c>
      <c r="L152">
        <v>12</v>
      </c>
      <c r="M152">
        <v>1.75</v>
      </c>
      <c r="O152">
        <v>10.25</v>
      </c>
      <c r="P152">
        <v>174.25</v>
      </c>
      <c r="Q152">
        <v>204</v>
      </c>
      <c r="R152">
        <v>0.52327327327327322</v>
      </c>
      <c r="S152">
        <v>0.61261261261261257</v>
      </c>
      <c r="T152">
        <v>1.6323529411764708</v>
      </c>
    </row>
    <row r="153" spans="1:20" x14ac:dyDescent="0.3">
      <c r="A153" s="99">
        <v>46055</v>
      </c>
      <c r="B153" t="s">
        <v>99</v>
      </c>
      <c r="C153" t="s">
        <v>402</v>
      </c>
      <c r="D153" s="100"/>
      <c r="E153" s="100"/>
      <c r="F153" s="100"/>
      <c r="G153">
        <v>15</v>
      </c>
      <c r="H153">
        <v>302</v>
      </c>
      <c r="I153" s="100">
        <v>7.2916666666666671E-2</v>
      </c>
      <c r="J153" s="101">
        <v>46055.291666666664</v>
      </c>
      <c r="K153" s="101">
        <v>46055.791666666664</v>
      </c>
      <c r="L153">
        <v>12</v>
      </c>
      <c r="M153">
        <v>1.75</v>
      </c>
      <c r="O153">
        <v>10.25</v>
      </c>
      <c r="P153">
        <v>153.75</v>
      </c>
      <c r="Q153">
        <v>180</v>
      </c>
      <c r="R153">
        <v>0.50910596026490063</v>
      </c>
      <c r="S153">
        <v>0.59602649006622521</v>
      </c>
      <c r="T153">
        <v>1.6777777777777776</v>
      </c>
    </row>
    <row r="154" spans="1:20" x14ac:dyDescent="0.3">
      <c r="A154" s="99">
        <v>46056</v>
      </c>
      <c r="B154" t="s">
        <v>96</v>
      </c>
      <c r="C154" t="s">
        <v>402</v>
      </c>
      <c r="D154" s="100"/>
      <c r="E154" s="100"/>
      <c r="F154" s="100"/>
      <c r="G154">
        <v>18</v>
      </c>
      <c r="H154">
        <v>459</v>
      </c>
      <c r="I154" s="100">
        <v>7.2916666666666671E-2</v>
      </c>
      <c r="J154" s="101">
        <v>46056.291666666664</v>
      </c>
      <c r="K154" s="101">
        <v>46056.791666666664</v>
      </c>
      <c r="L154">
        <v>12</v>
      </c>
      <c r="M154">
        <v>1.75</v>
      </c>
      <c r="O154">
        <v>10.25</v>
      </c>
      <c r="P154">
        <v>184.5</v>
      </c>
      <c r="Q154">
        <v>216</v>
      </c>
      <c r="R154">
        <v>0.40196078431372551</v>
      </c>
      <c r="S154">
        <v>0.47058823529411764</v>
      </c>
      <c r="T154">
        <v>2.125</v>
      </c>
    </row>
    <row r="155" spans="1:20" x14ac:dyDescent="0.3">
      <c r="A155" s="99">
        <v>46056</v>
      </c>
      <c r="B155" t="s">
        <v>97</v>
      </c>
      <c r="C155" t="s">
        <v>402</v>
      </c>
      <c r="D155" s="100"/>
      <c r="E155" s="100"/>
      <c r="F155" s="100"/>
      <c r="G155">
        <v>5</v>
      </c>
      <c r="H155">
        <v>401</v>
      </c>
      <c r="I155" s="100">
        <v>7.2916666666666671E-2</v>
      </c>
      <c r="J155" s="101">
        <v>46056.291666666664</v>
      </c>
      <c r="K155" s="101">
        <v>46056.791666666664</v>
      </c>
      <c r="L155">
        <v>12</v>
      </c>
      <c r="M155">
        <v>1.75</v>
      </c>
      <c r="O155">
        <v>10.25</v>
      </c>
      <c r="P155">
        <v>51.25</v>
      </c>
      <c r="Q155">
        <v>60</v>
      </c>
      <c r="R155">
        <v>0.12780548628428928</v>
      </c>
      <c r="S155">
        <v>0.14962593516209477</v>
      </c>
      <c r="T155">
        <v>6.6833333333333327</v>
      </c>
    </row>
    <row r="156" spans="1:20" x14ac:dyDescent="0.3">
      <c r="A156" s="99">
        <v>46056</v>
      </c>
      <c r="B156" t="s">
        <v>98</v>
      </c>
      <c r="C156" t="s">
        <v>402</v>
      </c>
      <c r="D156" s="100"/>
      <c r="E156" s="100"/>
      <c r="F156" s="100"/>
      <c r="G156">
        <v>19</v>
      </c>
      <c r="H156">
        <v>390</v>
      </c>
      <c r="I156" s="100">
        <v>7.2916666666666671E-2</v>
      </c>
      <c r="J156" s="101">
        <v>46056.291666666664</v>
      </c>
      <c r="K156" s="101">
        <v>46056.791666666664</v>
      </c>
      <c r="L156">
        <v>12</v>
      </c>
      <c r="M156">
        <v>1.75</v>
      </c>
      <c r="O156">
        <v>10.25</v>
      </c>
      <c r="P156">
        <v>194.75</v>
      </c>
      <c r="Q156">
        <v>228</v>
      </c>
      <c r="R156">
        <v>0.49935897435897436</v>
      </c>
      <c r="S156">
        <v>0.58461538461538465</v>
      </c>
      <c r="T156">
        <v>1.7105263157894737</v>
      </c>
    </row>
    <row r="157" spans="1:20" x14ac:dyDescent="0.3">
      <c r="A157" s="99">
        <v>46056</v>
      </c>
      <c r="B157" t="s">
        <v>99</v>
      </c>
      <c r="C157" t="s">
        <v>402</v>
      </c>
      <c r="D157" s="100">
        <v>0.26944444444444443</v>
      </c>
      <c r="E157" s="100"/>
      <c r="F157" s="100"/>
      <c r="G157">
        <v>16</v>
      </c>
      <c r="H157">
        <v>75</v>
      </c>
      <c r="I157" s="100">
        <v>7.2916666666666671E-2</v>
      </c>
      <c r="J157" s="101">
        <v>46056.291666666664</v>
      </c>
      <c r="K157" s="101">
        <v>46056.791666666664</v>
      </c>
      <c r="L157">
        <v>12</v>
      </c>
      <c r="M157">
        <v>1.75</v>
      </c>
      <c r="N157">
        <v>6.4666666666666668</v>
      </c>
      <c r="O157">
        <v>3.7833333333333332</v>
      </c>
      <c r="P157">
        <v>60.533333333333331</v>
      </c>
      <c r="Q157">
        <v>192</v>
      </c>
      <c r="R157">
        <v>0.80711111111111111</v>
      </c>
      <c r="S157">
        <v>2.56</v>
      </c>
      <c r="T157">
        <v>0.390625</v>
      </c>
    </row>
    <row r="158" spans="1:20" x14ac:dyDescent="0.3">
      <c r="A158" s="99">
        <v>46057</v>
      </c>
      <c r="B158" t="s">
        <v>96</v>
      </c>
      <c r="C158" t="s">
        <v>402</v>
      </c>
      <c r="D158" s="100"/>
      <c r="E158" s="100"/>
      <c r="F158" s="100"/>
      <c r="G158">
        <v>15</v>
      </c>
      <c r="H158">
        <v>380</v>
      </c>
      <c r="I158" s="100">
        <v>7.2916666666666671E-2</v>
      </c>
      <c r="J158" s="101">
        <v>46057.291666666664</v>
      </c>
      <c r="K158" s="101">
        <v>46057.791666666664</v>
      </c>
      <c r="L158">
        <v>12</v>
      </c>
      <c r="M158">
        <v>1.75</v>
      </c>
      <c r="O158">
        <v>10.25</v>
      </c>
      <c r="P158">
        <v>153.75</v>
      </c>
      <c r="Q158">
        <v>180</v>
      </c>
      <c r="R158">
        <v>0.40460526315789475</v>
      </c>
      <c r="S158">
        <v>0.47368421052631576</v>
      </c>
      <c r="T158">
        <v>2.1111111111111112</v>
      </c>
    </row>
    <row r="159" spans="1:20" x14ac:dyDescent="0.3">
      <c r="A159" s="99">
        <v>46057</v>
      </c>
      <c r="B159" t="s">
        <v>97</v>
      </c>
      <c r="C159" t="s">
        <v>402</v>
      </c>
      <c r="D159" s="100"/>
      <c r="E159" s="100"/>
      <c r="F159" s="100"/>
      <c r="G159">
        <v>4</v>
      </c>
      <c r="H159">
        <v>381</v>
      </c>
      <c r="I159" s="100">
        <v>7.2916666666666671E-2</v>
      </c>
      <c r="J159" s="101">
        <v>46057.291666666664</v>
      </c>
      <c r="K159" s="101">
        <v>46057.791666666664</v>
      </c>
      <c r="L159">
        <v>12</v>
      </c>
      <c r="M159">
        <v>1.75</v>
      </c>
      <c r="O159">
        <v>10.25</v>
      </c>
      <c r="P159">
        <v>41</v>
      </c>
      <c r="Q159">
        <v>48</v>
      </c>
      <c r="R159">
        <v>0.10761154855643044</v>
      </c>
      <c r="S159">
        <v>0.12598425196850394</v>
      </c>
      <c r="T159">
        <v>7.9375</v>
      </c>
    </row>
    <row r="160" spans="1:20" x14ac:dyDescent="0.3">
      <c r="A160" s="99">
        <v>46057</v>
      </c>
      <c r="B160" t="s">
        <v>98</v>
      </c>
      <c r="C160" t="s">
        <v>402</v>
      </c>
      <c r="D160" s="100">
        <v>5.347222222222222E-2</v>
      </c>
      <c r="E160" s="100"/>
      <c r="F160" s="100"/>
      <c r="G160">
        <v>20</v>
      </c>
      <c r="H160">
        <v>423</v>
      </c>
      <c r="I160" s="100">
        <v>7.2916666666666671E-2</v>
      </c>
      <c r="J160" s="101">
        <v>46057.291666666664</v>
      </c>
      <c r="K160" s="101">
        <v>46057.791666666664</v>
      </c>
      <c r="L160">
        <v>12</v>
      </c>
      <c r="M160">
        <v>1.75</v>
      </c>
      <c r="N160">
        <v>1.2833333333333332</v>
      </c>
      <c r="O160">
        <v>8.9666666666666668</v>
      </c>
      <c r="P160">
        <v>179.33333333333334</v>
      </c>
      <c r="Q160">
        <v>240</v>
      </c>
      <c r="R160">
        <v>0.4239558707643814</v>
      </c>
      <c r="S160">
        <v>0.56737588652482274</v>
      </c>
      <c r="T160">
        <v>1.7625</v>
      </c>
    </row>
    <row r="161" spans="1:20" x14ac:dyDescent="0.3">
      <c r="A161" s="99">
        <v>46057</v>
      </c>
      <c r="B161" t="s">
        <v>99</v>
      </c>
      <c r="C161" t="s">
        <v>402</v>
      </c>
      <c r="D161" s="100"/>
      <c r="E161" s="100"/>
      <c r="F161" s="100"/>
      <c r="G161">
        <v>15</v>
      </c>
      <c r="H161">
        <v>486</v>
      </c>
      <c r="I161" s="100">
        <v>7.2916666666666671E-2</v>
      </c>
      <c r="J161" s="101">
        <v>46057.291666666664</v>
      </c>
      <c r="K161" s="101">
        <v>46057.875</v>
      </c>
      <c r="L161">
        <v>14</v>
      </c>
      <c r="M161">
        <v>1.75</v>
      </c>
      <c r="O161">
        <v>12.25</v>
      </c>
      <c r="P161">
        <v>183.75</v>
      </c>
      <c r="Q161">
        <v>210</v>
      </c>
      <c r="R161">
        <v>0.37808641975308643</v>
      </c>
      <c r="S161">
        <v>0.43209876543209874</v>
      </c>
      <c r="T161">
        <v>2.3142857142857145</v>
      </c>
    </row>
    <row r="162" spans="1:20" x14ac:dyDescent="0.3">
      <c r="A162" s="99">
        <v>46058</v>
      </c>
      <c r="B162" t="s">
        <v>96</v>
      </c>
      <c r="C162" t="s">
        <v>402</v>
      </c>
      <c r="D162" s="100"/>
      <c r="E162" s="100"/>
      <c r="F162" s="100"/>
      <c r="G162">
        <v>18</v>
      </c>
      <c r="H162">
        <v>395</v>
      </c>
      <c r="I162" s="100">
        <v>7.2916666666666671E-2</v>
      </c>
      <c r="J162" s="101">
        <v>46058.291666666664</v>
      </c>
      <c r="K162" s="101">
        <v>46058.791666666664</v>
      </c>
      <c r="L162">
        <v>12</v>
      </c>
      <c r="M162">
        <v>1.75</v>
      </c>
      <c r="O162">
        <v>10.25</v>
      </c>
      <c r="P162">
        <v>184.5</v>
      </c>
      <c r="Q162">
        <v>216</v>
      </c>
      <c r="R162">
        <v>0.4670886075949367</v>
      </c>
      <c r="S162">
        <v>0.54683544303797471</v>
      </c>
      <c r="T162">
        <v>1.8287037037037037</v>
      </c>
    </row>
    <row r="163" spans="1:20" x14ac:dyDescent="0.3">
      <c r="A163" s="99">
        <v>46058</v>
      </c>
      <c r="B163" t="s">
        <v>97</v>
      </c>
      <c r="C163" t="s">
        <v>402</v>
      </c>
      <c r="D163" s="100"/>
      <c r="E163" s="100"/>
      <c r="F163" s="100"/>
      <c r="G163">
        <v>5</v>
      </c>
      <c r="H163">
        <v>442</v>
      </c>
      <c r="I163" s="100">
        <v>7.2916666666666671E-2</v>
      </c>
      <c r="J163" s="101">
        <v>46058.291666666664</v>
      </c>
      <c r="K163" s="101">
        <v>46058.791666666664</v>
      </c>
      <c r="L163">
        <v>12</v>
      </c>
      <c r="M163">
        <v>1.75</v>
      </c>
      <c r="O163">
        <v>10.25</v>
      </c>
      <c r="P163">
        <v>51.25</v>
      </c>
      <c r="Q163">
        <v>60</v>
      </c>
      <c r="R163">
        <v>0.1159502262443439</v>
      </c>
      <c r="S163">
        <v>0.13574660633484162</v>
      </c>
      <c r="T163">
        <v>7.3666666666666671</v>
      </c>
    </row>
    <row r="164" spans="1:20" x14ac:dyDescent="0.3">
      <c r="A164" s="99">
        <v>46058</v>
      </c>
      <c r="B164" t="s">
        <v>98</v>
      </c>
      <c r="C164" t="s">
        <v>402</v>
      </c>
      <c r="D164" s="100"/>
      <c r="E164" s="100"/>
      <c r="F164" s="100"/>
      <c r="G164">
        <v>20</v>
      </c>
      <c r="H164">
        <v>406</v>
      </c>
      <c r="I164" s="100">
        <v>7.2916666666666671E-2</v>
      </c>
      <c r="J164" s="101">
        <v>46058.291666666664</v>
      </c>
      <c r="K164" s="101">
        <v>46058.791666666664</v>
      </c>
      <c r="L164">
        <v>12</v>
      </c>
      <c r="M164">
        <v>1.75</v>
      </c>
      <c r="O164">
        <v>10.25</v>
      </c>
      <c r="P164">
        <v>205</v>
      </c>
      <c r="Q164">
        <v>240</v>
      </c>
      <c r="R164">
        <v>0.50492610837438423</v>
      </c>
      <c r="S164">
        <v>0.59113300492610843</v>
      </c>
      <c r="T164">
        <v>1.6916666666666664</v>
      </c>
    </row>
    <row r="165" spans="1:20" x14ac:dyDescent="0.3">
      <c r="A165" s="99">
        <v>46058</v>
      </c>
      <c r="B165" t="s">
        <v>99</v>
      </c>
      <c r="C165" t="s">
        <v>402</v>
      </c>
      <c r="D165" s="100"/>
      <c r="E165" s="100"/>
      <c r="F165" s="100"/>
      <c r="G165">
        <v>0</v>
      </c>
      <c r="H165">
        <v>417</v>
      </c>
      <c r="I165" s="100">
        <v>7.2916666666666671E-2</v>
      </c>
      <c r="J165" s="101">
        <v>46058.291666666664</v>
      </c>
      <c r="K165" s="101">
        <v>46058.875</v>
      </c>
      <c r="L165">
        <v>14</v>
      </c>
      <c r="M165">
        <v>1.75</v>
      </c>
      <c r="O165">
        <v>12.25</v>
      </c>
      <c r="P165">
        <v>0</v>
      </c>
      <c r="Q165">
        <v>0</v>
      </c>
      <c r="R165">
        <v>0</v>
      </c>
      <c r="S165">
        <v>0</v>
      </c>
      <c r="T165" t="e">
        <v>#NUM!</v>
      </c>
    </row>
    <row r="166" spans="1:20" x14ac:dyDescent="0.3">
      <c r="A166" s="99">
        <v>46023</v>
      </c>
      <c r="B166" t="s">
        <v>96</v>
      </c>
      <c r="C166" t="s">
        <v>391</v>
      </c>
      <c r="D166" s="100"/>
      <c r="E166" s="100"/>
      <c r="F166" s="100"/>
      <c r="G166">
        <v>91</v>
      </c>
      <c r="H166">
        <v>1202</v>
      </c>
      <c r="I166" s="100">
        <v>0.14583333333333334</v>
      </c>
      <c r="J166" s="101">
        <v>46023.291666666664</v>
      </c>
      <c r="K166" s="101">
        <v>46024.291666666664</v>
      </c>
      <c r="L166">
        <v>24</v>
      </c>
      <c r="M166">
        <v>3.5</v>
      </c>
      <c r="O166">
        <v>20.5</v>
      </c>
      <c r="P166">
        <v>1865.5</v>
      </c>
      <c r="Q166">
        <v>2184</v>
      </c>
      <c r="R166">
        <v>1.5519966722129783</v>
      </c>
      <c r="S166">
        <v>1.8169717138103161</v>
      </c>
      <c r="T166">
        <v>0.55036630036630041</v>
      </c>
    </row>
    <row r="167" spans="1:20" x14ac:dyDescent="0.3">
      <c r="A167" s="99">
        <v>46023</v>
      </c>
      <c r="B167" t="s">
        <v>97</v>
      </c>
      <c r="C167" t="s">
        <v>391</v>
      </c>
      <c r="D167" s="100">
        <v>0.14583333333333334</v>
      </c>
      <c r="E167" s="100">
        <v>0.16666666666666666</v>
      </c>
      <c r="F167" s="100"/>
      <c r="G167">
        <v>12</v>
      </c>
      <c r="H167">
        <v>1109</v>
      </c>
      <c r="I167" s="100">
        <v>0.14583333333333334</v>
      </c>
      <c r="J167" s="101">
        <v>46023.291666666664</v>
      </c>
      <c r="K167" s="101">
        <v>46024.291666666664</v>
      </c>
      <c r="L167">
        <v>24</v>
      </c>
      <c r="M167">
        <v>3.5</v>
      </c>
      <c r="N167">
        <v>3.5</v>
      </c>
      <c r="O167">
        <v>17</v>
      </c>
      <c r="P167">
        <v>204</v>
      </c>
      <c r="Q167">
        <v>288</v>
      </c>
      <c r="R167">
        <v>0.18394950405770966</v>
      </c>
      <c r="S167">
        <v>0.25969341749323716</v>
      </c>
      <c r="T167">
        <v>3.8506944444444442</v>
      </c>
    </row>
    <row r="168" spans="1:20" x14ac:dyDescent="0.3">
      <c r="A168" s="99">
        <v>46023</v>
      </c>
      <c r="B168" t="s">
        <v>98</v>
      </c>
      <c r="C168" t="s">
        <v>391</v>
      </c>
      <c r="D168" s="100">
        <v>3.125E-2</v>
      </c>
      <c r="E168" s="100"/>
      <c r="F168" s="100"/>
      <c r="G168">
        <v>74</v>
      </c>
      <c r="H168">
        <v>1055</v>
      </c>
      <c r="I168" s="100">
        <v>0.14583333333333334</v>
      </c>
      <c r="J168" s="101">
        <v>46023.291666666664</v>
      </c>
      <c r="K168" s="101">
        <v>46024.291666666664</v>
      </c>
      <c r="L168">
        <v>24</v>
      </c>
      <c r="M168">
        <v>3.5</v>
      </c>
      <c r="N168">
        <v>0.75</v>
      </c>
      <c r="O168">
        <v>19.75</v>
      </c>
      <c r="P168">
        <v>1461.5</v>
      </c>
      <c r="Q168">
        <v>1776</v>
      </c>
      <c r="R168">
        <v>1.385308056872038</v>
      </c>
      <c r="S168">
        <v>1.6834123222748816</v>
      </c>
      <c r="T168">
        <v>0.59403153153153154</v>
      </c>
    </row>
    <row r="169" spans="1:20" x14ac:dyDescent="0.3">
      <c r="A169" s="99">
        <v>46023</v>
      </c>
      <c r="B169" t="s">
        <v>99</v>
      </c>
      <c r="C169" t="s">
        <v>391</v>
      </c>
      <c r="D169" s="100"/>
      <c r="E169" s="100"/>
      <c r="F169" s="100"/>
      <c r="G169">
        <v>67</v>
      </c>
      <c r="H169">
        <v>947</v>
      </c>
      <c r="I169" s="100">
        <v>0.14583333333333334</v>
      </c>
      <c r="J169" s="101">
        <v>46023.291666666664</v>
      </c>
      <c r="K169" s="101">
        <v>46024.291666666664</v>
      </c>
      <c r="L169">
        <v>24</v>
      </c>
      <c r="M169">
        <v>3.5</v>
      </c>
      <c r="O169">
        <v>20.5</v>
      </c>
      <c r="P169">
        <v>1373.5</v>
      </c>
      <c r="Q169">
        <v>1608</v>
      </c>
      <c r="R169">
        <v>1.4503695881731784</v>
      </c>
      <c r="S169">
        <v>1.6979936642027456</v>
      </c>
      <c r="T169">
        <v>0.58893034825870649</v>
      </c>
    </row>
    <row r="170" spans="1:20" x14ac:dyDescent="0.3">
      <c r="A170" s="99">
        <v>46024</v>
      </c>
      <c r="B170" t="s">
        <v>96</v>
      </c>
      <c r="C170" t="s">
        <v>391</v>
      </c>
      <c r="D170" s="100"/>
      <c r="E170" s="100">
        <v>2.0833333333333332E-2</v>
      </c>
      <c r="F170" s="100"/>
      <c r="G170">
        <v>57</v>
      </c>
      <c r="H170">
        <v>1033</v>
      </c>
      <c r="I170" s="100">
        <v>7.2916666666666671E-2</v>
      </c>
      <c r="J170" s="101">
        <v>46024.291666666664</v>
      </c>
      <c r="K170" s="101">
        <v>46024.791666666664</v>
      </c>
      <c r="L170">
        <v>12</v>
      </c>
      <c r="M170">
        <v>1.75</v>
      </c>
      <c r="O170">
        <v>10.25</v>
      </c>
      <c r="P170">
        <v>584.25</v>
      </c>
      <c r="Q170">
        <v>684</v>
      </c>
      <c r="R170">
        <v>0.56558567279767669</v>
      </c>
      <c r="S170">
        <v>0.66214908034849951</v>
      </c>
      <c r="T170">
        <v>1.510233918128655</v>
      </c>
    </row>
    <row r="171" spans="1:20" x14ac:dyDescent="0.3">
      <c r="A171" s="99">
        <v>46024</v>
      </c>
      <c r="B171" t="s">
        <v>97</v>
      </c>
      <c r="C171" t="s">
        <v>391</v>
      </c>
      <c r="D171" s="100">
        <v>0.1388888888888889</v>
      </c>
      <c r="E171" s="100">
        <v>0.34027777777777779</v>
      </c>
      <c r="F171" s="100"/>
      <c r="G171">
        <v>12</v>
      </c>
      <c r="H171">
        <v>881</v>
      </c>
      <c r="I171" s="100">
        <v>0.14583333333333334</v>
      </c>
      <c r="J171" s="101">
        <v>46024.291666666664</v>
      </c>
      <c r="K171" s="101">
        <v>46025.291666666664</v>
      </c>
      <c r="L171">
        <v>24</v>
      </c>
      <c r="M171">
        <v>3.5</v>
      </c>
      <c r="N171">
        <v>3.333333333333333</v>
      </c>
      <c r="O171">
        <v>17.166666666666668</v>
      </c>
      <c r="P171">
        <v>206</v>
      </c>
      <c r="Q171">
        <v>288</v>
      </c>
      <c r="R171">
        <v>0.23382519863791146</v>
      </c>
      <c r="S171">
        <v>0.32690124858115777</v>
      </c>
      <c r="T171">
        <v>3.0590277777777777</v>
      </c>
    </row>
    <row r="172" spans="1:20" x14ac:dyDescent="0.3">
      <c r="A172" s="99">
        <v>46024</v>
      </c>
      <c r="B172" t="s">
        <v>98</v>
      </c>
      <c r="C172" t="s">
        <v>391</v>
      </c>
      <c r="D172" s="100">
        <v>0.11458333333333333</v>
      </c>
      <c r="E172" s="100"/>
      <c r="F172" s="100"/>
      <c r="G172">
        <v>74</v>
      </c>
      <c r="H172">
        <v>1033</v>
      </c>
      <c r="I172" s="100">
        <v>0.14583333333333334</v>
      </c>
      <c r="J172" s="101">
        <v>46024.291666666664</v>
      </c>
      <c r="K172" s="101">
        <v>46025.291666666664</v>
      </c>
      <c r="L172">
        <v>24</v>
      </c>
      <c r="M172">
        <v>3.5</v>
      </c>
      <c r="N172">
        <v>2.75</v>
      </c>
      <c r="O172">
        <v>17.75</v>
      </c>
      <c r="P172">
        <v>1313.5</v>
      </c>
      <c r="Q172">
        <v>1776</v>
      </c>
      <c r="R172">
        <v>1.2715392061955471</v>
      </c>
      <c r="S172">
        <v>1.7192642787996129</v>
      </c>
      <c r="T172">
        <v>0.58164414414414412</v>
      </c>
    </row>
    <row r="173" spans="1:20" x14ac:dyDescent="0.3">
      <c r="A173" s="99">
        <v>46024</v>
      </c>
      <c r="B173" t="s">
        <v>99</v>
      </c>
      <c r="C173" t="s">
        <v>391</v>
      </c>
      <c r="D173" s="100">
        <v>0.12152777777777778</v>
      </c>
      <c r="E173" s="100"/>
      <c r="F173" s="100"/>
      <c r="G173">
        <v>72</v>
      </c>
      <c r="H173">
        <v>1002</v>
      </c>
      <c r="I173" s="100">
        <v>0.14583333333333334</v>
      </c>
      <c r="J173" s="101">
        <v>46024.291666666664</v>
      </c>
      <c r="K173" s="101">
        <v>46025.291666666664</v>
      </c>
      <c r="L173">
        <v>24</v>
      </c>
      <c r="M173">
        <v>3.5</v>
      </c>
      <c r="N173">
        <v>2.9166666666666665</v>
      </c>
      <c r="O173">
        <v>17.583333333333332</v>
      </c>
      <c r="P173">
        <v>1266</v>
      </c>
      <c r="Q173">
        <v>1728</v>
      </c>
      <c r="R173">
        <v>1.2634730538922156</v>
      </c>
      <c r="S173">
        <v>1.7245508982035929</v>
      </c>
      <c r="T173">
        <v>0.57986111111111105</v>
      </c>
    </row>
    <row r="174" spans="1:20" x14ac:dyDescent="0.3">
      <c r="A174" s="99">
        <v>46025</v>
      </c>
      <c r="B174" t="s">
        <v>96</v>
      </c>
      <c r="C174" t="s">
        <v>391</v>
      </c>
      <c r="D174" s="100"/>
      <c r="E174" s="100">
        <v>1.3888888888888888E-2</v>
      </c>
      <c r="F174" s="100"/>
      <c r="G174">
        <v>83</v>
      </c>
      <c r="H174">
        <v>1015</v>
      </c>
      <c r="I174" s="100">
        <v>0.14583333333333334</v>
      </c>
      <c r="J174" s="101">
        <v>46025.291666666664</v>
      </c>
      <c r="K174" s="101">
        <v>46026.291666666664</v>
      </c>
      <c r="L174">
        <v>24</v>
      </c>
      <c r="M174">
        <v>3.5</v>
      </c>
      <c r="O174">
        <v>20.5</v>
      </c>
      <c r="P174">
        <v>1701.5</v>
      </c>
      <c r="Q174">
        <v>1992</v>
      </c>
      <c r="R174">
        <v>1.6763546798029556</v>
      </c>
      <c r="S174">
        <v>1.9625615763546798</v>
      </c>
      <c r="T174">
        <v>0.50953815261044177</v>
      </c>
    </row>
    <row r="175" spans="1:20" x14ac:dyDescent="0.3">
      <c r="A175" s="99">
        <v>46025</v>
      </c>
      <c r="B175" t="s">
        <v>97</v>
      </c>
      <c r="C175" t="s">
        <v>391</v>
      </c>
      <c r="D175" s="100"/>
      <c r="E175" s="100">
        <v>0.29166666666666669</v>
      </c>
      <c r="F175" s="100"/>
      <c r="G175">
        <v>11</v>
      </c>
      <c r="H175">
        <v>1040</v>
      </c>
      <c r="I175" s="100">
        <v>0.14583333333333334</v>
      </c>
      <c r="J175" s="101">
        <v>46025.291666666664</v>
      </c>
      <c r="K175" s="101">
        <v>46026.291666666664</v>
      </c>
      <c r="L175">
        <v>24</v>
      </c>
      <c r="M175">
        <v>3.5</v>
      </c>
      <c r="O175">
        <v>20.5</v>
      </c>
      <c r="P175">
        <v>225.5</v>
      </c>
      <c r="Q175">
        <v>264</v>
      </c>
      <c r="R175">
        <v>0.21682692307692308</v>
      </c>
      <c r="S175">
        <v>0.25384615384615383</v>
      </c>
      <c r="T175">
        <v>3.9393939393939394</v>
      </c>
    </row>
    <row r="176" spans="1:20" x14ac:dyDescent="0.3">
      <c r="A176" s="99">
        <v>46025</v>
      </c>
      <c r="B176" t="s">
        <v>98</v>
      </c>
      <c r="C176" t="s">
        <v>391</v>
      </c>
      <c r="D176" s="100"/>
      <c r="E176" s="100"/>
      <c r="F176" s="100"/>
      <c r="G176">
        <v>74</v>
      </c>
      <c r="H176">
        <v>1142</v>
      </c>
      <c r="I176" s="100">
        <v>0.14583333333333334</v>
      </c>
      <c r="J176" s="101">
        <v>46025.291666666664</v>
      </c>
      <c r="K176" s="101">
        <v>46026.291666666664</v>
      </c>
      <c r="L176">
        <v>24</v>
      </c>
      <c r="M176">
        <v>3.5</v>
      </c>
      <c r="O176">
        <v>20.5</v>
      </c>
      <c r="P176">
        <v>1517</v>
      </c>
      <c r="Q176">
        <v>1776</v>
      </c>
      <c r="R176">
        <v>1.3283712784588442</v>
      </c>
      <c r="S176">
        <v>1.5551663747810858</v>
      </c>
      <c r="T176">
        <v>0.64301801801801806</v>
      </c>
    </row>
    <row r="177" spans="1:20" x14ac:dyDescent="0.3">
      <c r="A177" s="99">
        <v>46025</v>
      </c>
      <c r="B177" t="s">
        <v>99</v>
      </c>
      <c r="C177" t="s">
        <v>391</v>
      </c>
      <c r="D177" s="100">
        <v>9.7222222222222224E-2</v>
      </c>
      <c r="E177" s="100"/>
      <c r="F177" s="100"/>
      <c r="G177">
        <v>68</v>
      </c>
      <c r="H177">
        <v>1112</v>
      </c>
      <c r="I177" s="100">
        <v>0.14583333333333334</v>
      </c>
      <c r="J177" s="101">
        <v>46025.291666666664</v>
      </c>
      <c r="K177" s="101">
        <v>46026.291666666664</v>
      </c>
      <c r="L177">
        <v>24</v>
      </c>
      <c r="M177">
        <v>3.5</v>
      </c>
      <c r="N177">
        <v>2.333333333333333</v>
      </c>
      <c r="O177">
        <v>18.166666666666668</v>
      </c>
      <c r="P177">
        <v>1235.3333333333335</v>
      </c>
      <c r="Q177">
        <v>1632</v>
      </c>
      <c r="R177">
        <v>1.1109112709832136</v>
      </c>
      <c r="S177">
        <v>1.4676258992805755</v>
      </c>
      <c r="T177">
        <v>0.68137254901960786</v>
      </c>
    </row>
    <row r="178" spans="1:20" x14ac:dyDescent="0.3">
      <c r="A178" s="99">
        <v>46026</v>
      </c>
      <c r="B178" t="s">
        <v>96</v>
      </c>
      <c r="C178" t="s">
        <v>391</v>
      </c>
      <c r="D178" s="100"/>
      <c r="E178" s="100"/>
      <c r="F178" s="100"/>
      <c r="G178">
        <v>34</v>
      </c>
      <c r="H178">
        <v>404</v>
      </c>
      <c r="I178" s="100">
        <v>7.2916666666666671E-2</v>
      </c>
      <c r="J178" s="101">
        <v>46026.291666666664</v>
      </c>
      <c r="K178" s="101">
        <v>46026.791666666664</v>
      </c>
      <c r="L178">
        <v>12</v>
      </c>
      <c r="M178">
        <v>1.75</v>
      </c>
      <c r="O178">
        <v>10.25</v>
      </c>
      <c r="P178">
        <v>348.5</v>
      </c>
      <c r="Q178">
        <v>408</v>
      </c>
      <c r="R178">
        <v>0.86262376237623761</v>
      </c>
      <c r="S178">
        <v>1.0099009900990099</v>
      </c>
      <c r="T178">
        <v>0.99019607843137258</v>
      </c>
    </row>
    <row r="179" spans="1:20" x14ac:dyDescent="0.3">
      <c r="A179" s="99">
        <v>46026</v>
      </c>
      <c r="B179" t="s">
        <v>97</v>
      </c>
      <c r="C179" t="s">
        <v>391</v>
      </c>
      <c r="D179" s="100"/>
      <c r="E179" s="100">
        <v>0.1111111111111111</v>
      </c>
      <c r="F179" s="100"/>
      <c r="G179">
        <v>6</v>
      </c>
      <c r="H179">
        <v>335</v>
      </c>
      <c r="I179" s="100">
        <v>7.2916666666666671E-2</v>
      </c>
      <c r="J179" s="101">
        <v>46026.291666666664</v>
      </c>
      <c r="K179" s="101">
        <v>46026.791666666664</v>
      </c>
      <c r="L179">
        <v>12</v>
      </c>
      <c r="M179">
        <v>1.75</v>
      </c>
      <c r="O179">
        <v>10.25</v>
      </c>
      <c r="P179">
        <v>61.5</v>
      </c>
      <c r="Q179">
        <v>72</v>
      </c>
      <c r="R179">
        <v>0.18358208955223881</v>
      </c>
      <c r="S179">
        <v>0.21492537313432836</v>
      </c>
      <c r="T179">
        <v>4.6527777777777777</v>
      </c>
    </row>
    <row r="180" spans="1:20" x14ac:dyDescent="0.3">
      <c r="A180" s="99">
        <v>46026</v>
      </c>
      <c r="B180" t="s">
        <v>98</v>
      </c>
      <c r="C180" t="s">
        <v>391</v>
      </c>
      <c r="D180" s="100">
        <v>7.2916666666666671E-2</v>
      </c>
      <c r="E180" s="100"/>
      <c r="F180" s="100"/>
      <c r="G180">
        <v>35</v>
      </c>
      <c r="H180">
        <v>421</v>
      </c>
      <c r="I180" s="100">
        <v>7.2916666666666671E-2</v>
      </c>
      <c r="J180" s="101">
        <v>46026.291666666664</v>
      </c>
      <c r="K180" s="101">
        <v>46026.791666666664</v>
      </c>
      <c r="L180">
        <v>12</v>
      </c>
      <c r="M180">
        <v>1.75</v>
      </c>
      <c r="N180">
        <v>1.75</v>
      </c>
      <c r="O180">
        <v>8.5</v>
      </c>
      <c r="P180">
        <v>297.5</v>
      </c>
      <c r="Q180">
        <v>420</v>
      </c>
      <c r="R180">
        <v>0.70665083135391926</v>
      </c>
      <c r="S180">
        <v>0.99762470308788598</v>
      </c>
      <c r="T180">
        <v>1.0023809523809524</v>
      </c>
    </row>
    <row r="181" spans="1:20" x14ac:dyDescent="0.3">
      <c r="A181" s="99">
        <v>46026</v>
      </c>
      <c r="B181" t="s">
        <v>99</v>
      </c>
      <c r="C181" t="s">
        <v>391</v>
      </c>
      <c r="D181" s="100"/>
      <c r="E181" s="100"/>
      <c r="F181" s="100"/>
      <c r="G181">
        <v>34</v>
      </c>
      <c r="H181">
        <v>325</v>
      </c>
      <c r="I181" s="100">
        <v>7.2916666666666671E-2</v>
      </c>
      <c r="J181" s="101">
        <v>46026.291666666664</v>
      </c>
      <c r="K181" s="101">
        <v>46026.791666666664</v>
      </c>
      <c r="L181">
        <v>12</v>
      </c>
      <c r="M181">
        <v>1.75</v>
      </c>
      <c r="O181">
        <v>10.25</v>
      </c>
      <c r="P181">
        <v>348.5</v>
      </c>
      <c r="Q181">
        <v>408</v>
      </c>
      <c r="R181">
        <v>1.0723076923076924</v>
      </c>
      <c r="S181">
        <v>1.2553846153846153</v>
      </c>
      <c r="T181">
        <v>0.79656862745098045</v>
      </c>
    </row>
    <row r="182" spans="1:20" x14ac:dyDescent="0.3">
      <c r="A182" s="99">
        <v>46027</v>
      </c>
      <c r="B182" t="s">
        <v>96</v>
      </c>
      <c r="C182" t="s">
        <v>391</v>
      </c>
      <c r="D182" s="100"/>
      <c r="E182" s="100"/>
      <c r="F182" s="100"/>
      <c r="G182">
        <v>94</v>
      </c>
      <c r="H182">
        <v>1137</v>
      </c>
      <c r="I182" s="100">
        <v>0.14583333333333334</v>
      </c>
      <c r="J182" s="101">
        <v>46027.291666666664</v>
      </c>
      <c r="K182" s="101">
        <v>46028.291666666664</v>
      </c>
      <c r="L182">
        <v>24</v>
      </c>
      <c r="M182">
        <v>3.5</v>
      </c>
      <c r="O182">
        <v>20.5</v>
      </c>
      <c r="P182">
        <v>1927</v>
      </c>
      <c r="Q182">
        <v>2256</v>
      </c>
      <c r="R182">
        <v>1.6948109058927001</v>
      </c>
      <c r="S182">
        <v>1.9841688654353562</v>
      </c>
      <c r="T182">
        <v>0.50398936170212771</v>
      </c>
    </row>
    <row r="183" spans="1:20" x14ac:dyDescent="0.3">
      <c r="A183" s="99">
        <v>46027</v>
      </c>
      <c r="B183" t="s">
        <v>97</v>
      </c>
      <c r="C183" t="s">
        <v>391</v>
      </c>
      <c r="D183" s="100"/>
      <c r="E183" s="100"/>
      <c r="F183" s="100"/>
      <c r="G183">
        <v>11</v>
      </c>
      <c r="H183">
        <v>1212</v>
      </c>
      <c r="I183" s="100">
        <v>0.14583333333333334</v>
      </c>
      <c r="J183" s="101">
        <v>46027.291666666664</v>
      </c>
      <c r="K183" s="101">
        <v>46028.291666666664</v>
      </c>
      <c r="L183">
        <v>24</v>
      </c>
      <c r="M183">
        <v>3.5</v>
      </c>
      <c r="O183">
        <v>20.5</v>
      </c>
      <c r="P183">
        <v>225.5</v>
      </c>
      <c r="Q183">
        <v>264</v>
      </c>
      <c r="R183">
        <v>0.18605610561056105</v>
      </c>
      <c r="S183">
        <v>0.21782178217821782</v>
      </c>
      <c r="T183">
        <v>4.5909090909090908</v>
      </c>
    </row>
    <row r="184" spans="1:20" x14ac:dyDescent="0.3">
      <c r="A184" s="99">
        <v>46027</v>
      </c>
      <c r="B184" t="s">
        <v>98</v>
      </c>
      <c r="C184" t="s">
        <v>391</v>
      </c>
      <c r="D184" s="100">
        <v>0.18055555555555555</v>
      </c>
      <c r="E184" s="100"/>
      <c r="F184" s="100"/>
      <c r="G184">
        <v>76</v>
      </c>
      <c r="H184">
        <v>1016</v>
      </c>
      <c r="I184" s="100">
        <v>0.14583333333333334</v>
      </c>
      <c r="J184" s="101">
        <v>46027.291666666664</v>
      </c>
      <c r="K184" s="101">
        <v>46028.291666666664</v>
      </c>
      <c r="L184">
        <v>24</v>
      </c>
      <c r="M184">
        <v>3.5</v>
      </c>
      <c r="N184">
        <v>4.333333333333333</v>
      </c>
      <c r="O184">
        <v>16.166666666666668</v>
      </c>
      <c r="P184">
        <v>1228.6666666666667</v>
      </c>
      <c r="Q184">
        <v>1824</v>
      </c>
      <c r="R184">
        <v>1.2093175853018374</v>
      </c>
      <c r="S184">
        <v>1.795275590551181</v>
      </c>
      <c r="T184">
        <v>0.55701754385964919</v>
      </c>
    </row>
    <row r="185" spans="1:20" x14ac:dyDescent="0.3">
      <c r="A185" s="99">
        <v>46027</v>
      </c>
      <c r="B185" t="s">
        <v>99</v>
      </c>
      <c r="C185" t="s">
        <v>391</v>
      </c>
      <c r="D185" s="100"/>
      <c r="E185" s="100"/>
      <c r="F185" s="100"/>
      <c r="G185">
        <v>74</v>
      </c>
      <c r="H185">
        <v>1047</v>
      </c>
      <c r="I185" s="100">
        <v>0.14583333333333334</v>
      </c>
      <c r="J185" s="101">
        <v>46027.291666666664</v>
      </c>
      <c r="K185" s="101">
        <v>46028.291666666664</v>
      </c>
      <c r="L185">
        <v>24</v>
      </c>
      <c r="M185">
        <v>3.5</v>
      </c>
      <c r="O185">
        <v>20.5</v>
      </c>
      <c r="P185">
        <v>1517</v>
      </c>
      <c r="Q185">
        <v>1776</v>
      </c>
      <c r="R185">
        <v>1.448901623686724</v>
      </c>
      <c r="S185">
        <v>1.6962750716332378</v>
      </c>
      <c r="T185">
        <v>0.58952702702702708</v>
      </c>
    </row>
    <row r="186" spans="1:20" x14ac:dyDescent="0.3">
      <c r="A186" s="99">
        <v>46028</v>
      </c>
      <c r="B186" t="s">
        <v>96</v>
      </c>
      <c r="C186" t="s">
        <v>391</v>
      </c>
      <c r="D186" s="100"/>
      <c r="E186" s="100"/>
      <c r="F186" s="100"/>
      <c r="G186">
        <v>93</v>
      </c>
      <c r="H186">
        <v>1139</v>
      </c>
      <c r="I186" s="100">
        <v>0.14583333333333334</v>
      </c>
      <c r="J186" s="101">
        <v>46028.291666666664</v>
      </c>
      <c r="K186" s="101">
        <v>46029.291666666664</v>
      </c>
      <c r="L186">
        <v>24</v>
      </c>
      <c r="M186">
        <v>3.5</v>
      </c>
      <c r="O186">
        <v>20.5</v>
      </c>
      <c r="P186">
        <v>1906.5</v>
      </c>
      <c r="Q186">
        <v>2232</v>
      </c>
      <c r="R186">
        <v>1.6738366988586479</v>
      </c>
      <c r="S186">
        <v>1.9596136962247586</v>
      </c>
      <c r="T186">
        <v>0.51030465949820791</v>
      </c>
    </row>
    <row r="187" spans="1:20" x14ac:dyDescent="0.3">
      <c r="A187" s="99">
        <v>46028</v>
      </c>
      <c r="B187" t="s">
        <v>97</v>
      </c>
      <c r="C187" t="s">
        <v>391</v>
      </c>
      <c r="D187" s="100">
        <v>4.1666666666666664E-2</v>
      </c>
      <c r="E187" s="100"/>
      <c r="F187" s="100"/>
      <c r="G187">
        <v>12</v>
      </c>
      <c r="H187">
        <v>1132</v>
      </c>
      <c r="I187" s="100">
        <v>0.14583333333333334</v>
      </c>
      <c r="J187" s="101">
        <v>46028.291666666664</v>
      </c>
      <c r="K187" s="101">
        <v>46029.291666666664</v>
      </c>
      <c r="L187">
        <v>24</v>
      </c>
      <c r="M187">
        <v>3.5</v>
      </c>
      <c r="N187">
        <v>1</v>
      </c>
      <c r="O187">
        <v>19.5</v>
      </c>
      <c r="P187">
        <v>234</v>
      </c>
      <c r="Q187">
        <v>288</v>
      </c>
      <c r="R187">
        <v>0.20671378091872791</v>
      </c>
      <c r="S187">
        <v>0.25441696113074203</v>
      </c>
      <c r="T187">
        <v>3.9305555555555558</v>
      </c>
    </row>
    <row r="188" spans="1:20" x14ac:dyDescent="0.3">
      <c r="A188" s="99">
        <v>46028</v>
      </c>
      <c r="B188" t="s">
        <v>98</v>
      </c>
      <c r="C188" t="s">
        <v>391</v>
      </c>
      <c r="D188" s="100">
        <v>6.9444444444444448E-2</v>
      </c>
      <c r="E188" s="100"/>
      <c r="F188" s="100"/>
      <c r="G188">
        <v>79</v>
      </c>
      <c r="H188">
        <v>1117</v>
      </c>
      <c r="I188" s="100">
        <v>0.14583333333333334</v>
      </c>
      <c r="J188" s="101">
        <v>46028.291666666664</v>
      </c>
      <c r="K188" s="101">
        <v>46029.291666666664</v>
      </c>
      <c r="L188">
        <v>24</v>
      </c>
      <c r="M188">
        <v>3.5</v>
      </c>
      <c r="N188">
        <v>1.6666666666666665</v>
      </c>
      <c r="O188">
        <v>18.833333333333332</v>
      </c>
      <c r="P188">
        <v>1487.8333333333333</v>
      </c>
      <c r="Q188">
        <v>1896</v>
      </c>
      <c r="R188">
        <v>1.3319904506117577</v>
      </c>
      <c r="S188">
        <v>1.6974037600716203</v>
      </c>
      <c r="T188">
        <v>0.58913502109704641</v>
      </c>
    </row>
    <row r="189" spans="1:20" x14ac:dyDescent="0.3">
      <c r="A189" s="99">
        <v>46028</v>
      </c>
      <c r="B189" t="s">
        <v>99</v>
      </c>
      <c r="C189" t="s">
        <v>391</v>
      </c>
      <c r="D189" s="100"/>
      <c r="E189" s="100">
        <v>5.5555555555555552E-2</v>
      </c>
      <c r="F189" s="100"/>
      <c r="G189">
        <v>82</v>
      </c>
      <c r="H189">
        <v>1131</v>
      </c>
      <c r="I189" s="100">
        <v>0.14583333333333334</v>
      </c>
      <c r="J189" s="101">
        <v>46028.291666666664</v>
      </c>
      <c r="K189" s="101">
        <v>46029.291666666664</v>
      </c>
      <c r="L189">
        <v>24</v>
      </c>
      <c r="M189">
        <v>3.5</v>
      </c>
      <c r="O189">
        <v>20.5</v>
      </c>
      <c r="P189">
        <v>1681</v>
      </c>
      <c r="Q189">
        <v>1968</v>
      </c>
      <c r="R189">
        <v>1.4862953138815207</v>
      </c>
      <c r="S189">
        <v>1.7400530503978779</v>
      </c>
      <c r="T189">
        <v>0.57469512195121952</v>
      </c>
    </row>
    <row r="190" spans="1:20" x14ac:dyDescent="0.3">
      <c r="A190" s="99">
        <v>46029</v>
      </c>
      <c r="B190" t="s">
        <v>96</v>
      </c>
      <c r="C190" t="s">
        <v>391</v>
      </c>
      <c r="D190" s="100"/>
      <c r="E190" s="100"/>
      <c r="F190" s="100"/>
      <c r="G190">
        <v>92</v>
      </c>
      <c r="H190">
        <v>1138</v>
      </c>
      <c r="I190" s="100">
        <v>0.14583333333333334</v>
      </c>
      <c r="J190" s="101">
        <v>46029.291666666664</v>
      </c>
      <c r="K190" s="101">
        <v>46030.291666666664</v>
      </c>
      <c r="L190">
        <v>24</v>
      </c>
      <c r="M190">
        <v>3.5</v>
      </c>
      <c r="O190">
        <v>20.5</v>
      </c>
      <c r="P190">
        <v>1886</v>
      </c>
      <c r="Q190">
        <v>2208</v>
      </c>
      <c r="R190">
        <v>1.6572934973637961</v>
      </c>
      <c r="S190">
        <v>1.9402460456942003</v>
      </c>
      <c r="T190">
        <v>0.51539855072463769</v>
      </c>
    </row>
    <row r="191" spans="1:20" x14ac:dyDescent="0.3">
      <c r="A191" s="99">
        <v>46029</v>
      </c>
      <c r="B191" t="s">
        <v>97</v>
      </c>
      <c r="C191" t="s">
        <v>391</v>
      </c>
      <c r="D191" s="100">
        <v>4.8611111111111112E-2</v>
      </c>
      <c r="E191" s="100"/>
      <c r="F191" s="100"/>
      <c r="G191">
        <v>11</v>
      </c>
      <c r="H191">
        <v>1132</v>
      </c>
      <c r="I191" s="100">
        <v>0.14583333333333334</v>
      </c>
      <c r="J191" s="101">
        <v>46029.291666666664</v>
      </c>
      <c r="K191" s="101">
        <v>46030.291666666664</v>
      </c>
      <c r="L191">
        <v>24</v>
      </c>
      <c r="M191">
        <v>3.5</v>
      </c>
      <c r="N191">
        <v>1.1666666666666665</v>
      </c>
      <c r="O191">
        <v>19.333333333333332</v>
      </c>
      <c r="P191">
        <v>212.66666666666666</v>
      </c>
      <c r="Q191">
        <v>264</v>
      </c>
      <c r="R191">
        <v>0.18786808009422851</v>
      </c>
      <c r="S191">
        <v>0.2332155477031802</v>
      </c>
      <c r="T191">
        <v>4.2878787878787881</v>
      </c>
    </row>
    <row r="192" spans="1:20" x14ac:dyDescent="0.3">
      <c r="A192" s="99">
        <v>46029</v>
      </c>
      <c r="B192" t="s">
        <v>98</v>
      </c>
      <c r="C192" t="s">
        <v>391</v>
      </c>
      <c r="D192" s="100">
        <v>4.1666666666666664E-2</v>
      </c>
      <c r="E192" s="100"/>
      <c r="F192" s="100"/>
      <c r="G192">
        <v>79</v>
      </c>
      <c r="H192">
        <v>1126</v>
      </c>
      <c r="I192" s="100">
        <v>0.14583333333333334</v>
      </c>
      <c r="J192" s="101">
        <v>46029.291666666664</v>
      </c>
      <c r="K192" s="101">
        <v>46030.291666666664</v>
      </c>
      <c r="L192">
        <v>24</v>
      </c>
      <c r="M192">
        <v>3.5</v>
      </c>
      <c r="N192">
        <v>1</v>
      </c>
      <c r="O192">
        <v>19.5</v>
      </c>
      <c r="P192">
        <v>1540.5</v>
      </c>
      <c r="Q192">
        <v>1896</v>
      </c>
      <c r="R192">
        <v>1.3681172291296626</v>
      </c>
      <c r="S192">
        <v>1.6838365896980463</v>
      </c>
      <c r="T192">
        <v>0.59388185654008441</v>
      </c>
    </row>
    <row r="193" spans="1:20" x14ac:dyDescent="0.3">
      <c r="A193" s="99">
        <v>46029</v>
      </c>
      <c r="B193" t="s">
        <v>99</v>
      </c>
      <c r="C193" t="s">
        <v>391</v>
      </c>
      <c r="D193" s="100"/>
      <c r="E193" s="100"/>
      <c r="F193" s="100"/>
      <c r="G193">
        <v>75</v>
      </c>
      <c r="H193">
        <v>1214</v>
      </c>
      <c r="I193" s="100">
        <v>0.14583333333333334</v>
      </c>
      <c r="J193" s="101">
        <v>46029.291666666664</v>
      </c>
      <c r="K193" s="101">
        <v>46030.291666666664</v>
      </c>
      <c r="L193">
        <v>24</v>
      </c>
      <c r="M193">
        <v>3.5</v>
      </c>
      <c r="O193">
        <v>20.5</v>
      </c>
      <c r="P193">
        <v>1537.5</v>
      </c>
      <c r="Q193">
        <v>1800</v>
      </c>
      <c r="R193">
        <v>1.2664744645799011</v>
      </c>
      <c r="S193">
        <v>1.4827018121911038</v>
      </c>
      <c r="T193">
        <v>0.67444444444444451</v>
      </c>
    </row>
    <row r="194" spans="1:20" x14ac:dyDescent="0.3">
      <c r="A194" s="99">
        <v>46030</v>
      </c>
      <c r="B194" t="s">
        <v>96</v>
      </c>
      <c r="C194" t="s">
        <v>391</v>
      </c>
      <c r="D194" s="100"/>
      <c r="E194" s="100"/>
      <c r="F194" s="100"/>
      <c r="G194">
        <v>93</v>
      </c>
      <c r="H194">
        <v>1055</v>
      </c>
      <c r="I194" s="100">
        <v>0.14583333333333334</v>
      </c>
      <c r="J194" s="101">
        <v>46030.291666666664</v>
      </c>
      <c r="K194" s="101">
        <v>46031.291666666664</v>
      </c>
      <c r="L194">
        <v>24</v>
      </c>
      <c r="M194">
        <v>3.5</v>
      </c>
      <c r="O194">
        <v>20.5</v>
      </c>
      <c r="P194">
        <v>1906.5</v>
      </c>
      <c r="Q194">
        <v>2232</v>
      </c>
      <c r="R194">
        <v>1.8071090047393366</v>
      </c>
      <c r="S194">
        <v>2.1156398104265404</v>
      </c>
      <c r="T194">
        <v>0.47267025089605735</v>
      </c>
    </row>
    <row r="195" spans="1:20" x14ac:dyDescent="0.3">
      <c r="A195" s="99">
        <v>46030</v>
      </c>
      <c r="B195" t="s">
        <v>97</v>
      </c>
      <c r="C195" t="s">
        <v>391</v>
      </c>
      <c r="D195" s="100">
        <v>0.2361111111111111</v>
      </c>
      <c r="E195" s="100"/>
      <c r="F195" s="100"/>
      <c r="G195">
        <v>12</v>
      </c>
      <c r="H195">
        <v>941</v>
      </c>
      <c r="I195" s="100">
        <v>0.14583333333333334</v>
      </c>
      <c r="J195" s="101">
        <v>46030.291666666664</v>
      </c>
      <c r="K195" s="101">
        <v>46031.291666666664</v>
      </c>
      <c r="L195">
        <v>24</v>
      </c>
      <c r="M195">
        <v>3.5</v>
      </c>
      <c r="N195">
        <v>5.6666666666666661</v>
      </c>
      <c r="O195">
        <v>14.833333333333334</v>
      </c>
      <c r="P195">
        <v>178</v>
      </c>
      <c r="Q195">
        <v>288</v>
      </c>
      <c r="R195">
        <v>0.18916046758767269</v>
      </c>
      <c r="S195">
        <v>0.30605738575982999</v>
      </c>
      <c r="T195">
        <v>3.2673611111111107</v>
      </c>
    </row>
    <row r="196" spans="1:20" x14ac:dyDescent="0.3">
      <c r="A196" s="99">
        <v>46030</v>
      </c>
      <c r="B196" t="s">
        <v>98</v>
      </c>
      <c r="C196" t="s">
        <v>391</v>
      </c>
      <c r="D196" s="100">
        <v>0.18055555555555555</v>
      </c>
      <c r="E196" s="100"/>
      <c r="F196" s="100"/>
      <c r="G196">
        <v>76</v>
      </c>
      <c r="H196">
        <v>864</v>
      </c>
      <c r="I196" s="100">
        <v>0.14583333333333334</v>
      </c>
      <c r="J196" s="101">
        <v>46030.291666666664</v>
      </c>
      <c r="K196" s="101">
        <v>46031.291666666664</v>
      </c>
      <c r="L196">
        <v>24</v>
      </c>
      <c r="M196">
        <v>3.5</v>
      </c>
      <c r="N196">
        <v>4.333333333333333</v>
      </c>
      <c r="O196">
        <v>16.166666666666668</v>
      </c>
      <c r="P196">
        <v>1228.6666666666667</v>
      </c>
      <c r="Q196">
        <v>1824</v>
      </c>
      <c r="R196">
        <v>1.4220679012345681</v>
      </c>
      <c r="S196">
        <v>2.1111111111111112</v>
      </c>
      <c r="T196">
        <v>0.47368421052631576</v>
      </c>
    </row>
    <row r="197" spans="1:20" x14ac:dyDescent="0.3">
      <c r="A197" s="99">
        <v>46030</v>
      </c>
      <c r="B197" t="s">
        <v>99</v>
      </c>
      <c r="C197" t="s">
        <v>391</v>
      </c>
      <c r="D197" s="100">
        <v>0.21180555555555555</v>
      </c>
      <c r="E197" s="100"/>
      <c r="F197" s="100"/>
      <c r="G197">
        <v>80</v>
      </c>
      <c r="H197">
        <v>863</v>
      </c>
      <c r="I197" s="100">
        <v>0.13541666666666666</v>
      </c>
      <c r="J197" s="101">
        <v>46030.291666666664</v>
      </c>
      <c r="K197" s="101">
        <v>46031.291666666664</v>
      </c>
      <c r="L197">
        <v>24</v>
      </c>
      <c r="M197">
        <v>3.25</v>
      </c>
      <c r="N197">
        <v>5.083333333333333</v>
      </c>
      <c r="O197">
        <v>15.666666666666668</v>
      </c>
      <c r="P197">
        <v>1253.3333333333335</v>
      </c>
      <c r="Q197">
        <v>1920</v>
      </c>
      <c r="R197">
        <v>1.4522981846272693</v>
      </c>
      <c r="S197">
        <v>2.2247972190034764</v>
      </c>
      <c r="T197">
        <v>0.44947916666666665</v>
      </c>
    </row>
    <row r="198" spans="1:20" x14ac:dyDescent="0.3">
      <c r="A198" s="99">
        <v>46031</v>
      </c>
      <c r="B198" t="s">
        <v>96</v>
      </c>
      <c r="C198" t="s">
        <v>391</v>
      </c>
      <c r="D198" s="100"/>
      <c r="E198" s="100"/>
      <c r="F198" s="100"/>
      <c r="G198">
        <v>93</v>
      </c>
      <c r="H198">
        <v>1137</v>
      </c>
      <c r="I198" s="100">
        <v>0.14583333333333334</v>
      </c>
      <c r="J198" s="101">
        <v>46031.291666666664</v>
      </c>
      <c r="K198" s="101">
        <v>46032.291666666664</v>
      </c>
      <c r="L198">
        <v>24</v>
      </c>
      <c r="M198">
        <v>3.5</v>
      </c>
      <c r="O198">
        <v>20.5</v>
      </c>
      <c r="P198">
        <v>1906.5</v>
      </c>
      <c r="Q198">
        <v>2232</v>
      </c>
      <c r="R198">
        <v>1.6767810026385224</v>
      </c>
      <c r="S198">
        <v>1.9630606860158311</v>
      </c>
      <c r="T198">
        <v>0.50940860215053763</v>
      </c>
    </row>
    <row r="199" spans="1:20" x14ac:dyDescent="0.3">
      <c r="A199" s="99">
        <v>46031</v>
      </c>
      <c r="B199" t="s">
        <v>97</v>
      </c>
      <c r="C199" t="s">
        <v>391</v>
      </c>
      <c r="D199" s="100"/>
      <c r="E199" s="100"/>
      <c r="F199" s="100"/>
      <c r="G199">
        <v>12</v>
      </c>
      <c r="H199">
        <v>1152</v>
      </c>
      <c r="I199" s="100">
        <v>0.14583333333333334</v>
      </c>
      <c r="J199" s="101">
        <v>46031.291666666664</v>
      </c>
      <c r="K199" s="101">
        <v>46032.291666666664</v>
      </c>
      <c r="L199">
        <v>24</v>
      </c>
      <c r="M199">
        <v>3.5</v>
      </c>
      <c r="O199">
        <v>20.5</v>
      </c>
      <c r="P199">
        <v>246</v>
      </c>
      <c r="Q199">
        <v>288</v>
      </c>
      <c r="R199">
        <v>0.21354166666666666</v>
      </c>
      <c r="S199">
        <v>0.25</v>
      </c>
      <c r="T199">
        <v>4</v>
      </c>
    </row>
    <row r="200" spans="1:20" x14ac:dyDescent="0.3">
      <c r="A200" s="99">
        <v>46031</v>
      </c>
      <c r="B200" t="s">
        <v>98</v>
      </c>
      <c r="C200" t="s">
        <v>391</v>
      </c>
      <c r="D200" s="100">
        <v>4.8611111111111112E-2</v>
      </c>
      <c r="E200" s="100"/>
      <c r="F200" s="100"/>
      <c r="G200">
        <v>73</v>
      </c>
      <c r="H200">
        <v>1185</v>
      </c>
      <c r="I200" s="100">
        <v>0.14583333333333334</v>
      </c>
      <c r="J200" s="101">
        <v>46031.291666666664</v>
      </c>
      <c r="K200" s="101">
        <v>46032.291666666664</v>
      </c>
      <c r="L200">
        <v>24</v>
      </c>
      <c r="M200">
        <v>3.5</v>
      </c>
      <c r="N200">
        <v>1.1666666666666665</v>
      </c>
      <c r="O200">
        <v>19.333333333333332</v>
      </c>
      <c r="P200">
        <v>1411.3333333333333</v>
      </c>
      <c r="Q200">
        <v>1752</v>
      </c>
      <c r="R200">
        <v>1.190998593530239</v>
      </c>
      <c r="S200">
        <v>1.478481012658228</v>
      </c>
      <c r="T200">
        <v>0.67636986301369861</v>
      </c>
    </row>
    <row r="201" spans="1:20" x14ac:dyDescent="0.3">
      <c r="A201" s="99">
        <v>46031</v>
      </c>
      <c r="B201" t="s">
        <v>99</v>
      </c>
      <c r="C201" t="s">
        <v>391</v>
      </c>
      <c r="D201" s="100">
        <v>2.7777777777777776E-2</v>
      </c>
      <c r="E201" s="100"/>
      <c r="F201" s="100"/>
      <c r="G201">
        <v>82</v>
      </c>
      <c r="H201">
        <v>1163</v>
      </c>
      <c r="I201" s="100">
        <v>0.14583333333333334</v>
      </c>
      <c r="J201" s="101">
        <v>46031.291666666664</v>
      </c>
      <c r="K201" s="101">
        <v>46032.291666666664</v>
      </c>
      <c r="L201">
        <v>24</v>
      </c>
      <c r="M201">
        <v>3.5</v>
      </c>
      <c r="N201">
        <v>0.66666666666666663</v>
      </c>
      <c r="O201">
        <v>19.833333333333332</v>
      </c>
      <c r="P201">
        <v>1626.3333333333333</v>
      </c>
      <c r="Q201">
        <v>1968</v>
      </c>
      <c r="R201">
        <v>1.3983949555746631</v>
      </c>
      <c r="S201">
        <v>1.6921754084264833</v>
      </c>
      <c r="T201">
        <v>0.59095528455284552</v>
      </c>
    </row>
    <row r="202" spans="1:20" x14ac:dyDescent="0.3">
      <c r="A202" s="99">
        <v>46032</v>
      </c>
      <c r="B202" t="s">
        <v>96</v>
      </c>
      <c r="C202" t="s">
        <v>391</v>
      </c>
      <c r="D202" s="100"/>
      <c r="E202" s="100"/>
      <c r="F202" s="100"/>
      <c r="G202">
        <v>62</v>
      </c>
      <c r="H202">
        <v>665</v>
      </c>
      <c r="I202" s="100">
        <v>0.14583333333333334</v>
      </c>
      <c r="J202" s="101">
        <v>46032.291666666664</v>
      </c>
      <c r="K202" s="101">
        <v>46033.291666666664</v>
      </c>
      <c r="L202">
        <v>24</v>
      </c>
      <c r="M202">
        <v>3.5</v>
      </c>
      <c r="O202">
        <v>20.5</v>
      </c>
      <c r="P202">
        <v>1271</v>
      </c>
      <c r="Q202">
        <v>1488</v>
      </c>
      <c r="R202">
        <v>1.9112781954887219</v>
      </c>
      <c r="S202">
        <v>2.2375939849624058</v>
      </c>
      <c r="T202">
        <v>0.44690860215053768</v>
      </c>
    </row>
    <row r="203" spans="1:20" x14ac:dyDescent="0.3">
      <c r="A203" s="99">
        <v>46032</v>
      </c>
      <c r="B203" t="s">
        <v>97</v>
      </c>
      <c r="C203" t="s">
        <v>391</v>
      </c>
      <c r="D203" s="100"/>
      <c r="E203" s="100">
        <v>0.5</v>
      </c>
      <c r="F203" s="100">
        <v>4.1666666666666664E-2</v>
      </c>
      <c r="G203">
        <v>11</v>
      </c>
      <c r="H203">
        <v>768</v>
      </c>
      <c r="I203" s="100">
        <v>0.14583333333333334</v>
      </c>
      <c r="J203" s="101">
        <v>46032.291666666664</v>
      </c>
      <c r="K203" s="101">
        <v>46033.291666666664</v>
      </c>
      <c r="L203">
        <v>24</v>
      </c>
      <c r="M203">
        <v>3.5</v>
      </c>
      <c r="O203">
        <v>20.5</v>
      </c>
      <c r="P203">
        <v>225.5</v>
      </c>
      <c r="Q203">
        <v>264</v>
      </c>
      <c r="R203">
        <v>0.29361979166666669</v>
      </c>
      <c r="S203">
        <v>0.34375</v>
      </c>
      <c r="T203">
        <v>2.9090909090909092</v>
      </c>
    </row>
    <row r="204" spans="1:20" x14ac:dyDescent="0.3">
      <c r="A204" s="99">
        <v>46032</v>
      </c>
      <c r="B204" t="s">
        <v>98</v>
      </c>
      <c r="C204" t="s">
        <v>391</v>
      </c>
      <c r="D204" s="100">
        <v>8.3333333333333329E-2</v>
      </c>
      <c r="E204" s="100"/>
      <c r="F204" s="100"/>
      <c r="G204">
        <v>72</v>
      </c>
      <c r="H204">
        <v>997</v>
      </c>
      <c r="I204" s="100">
        <v>0.14583333333333334</v>
      </c>
      <c r="J204" s="101">
        <v>46032.291666666664</v>
      </c>
      <c r="K204" s="101">
        <v>46033.291666666664</v>
      </c>
      <c r="L204">
        <v>24</v>
      </c>
      <c r="M204">
        <v>3.5</v>
      </c>
      <c r="N204">
        <v>2</v>
      </c>
      <c r="O204">
        <v>18.5</v>
      </c>
      <c r="P204">
        <v>1332</v>
      </c>
      <c r="Q204">
        <v>1728</v>
      </c>
      <c r="R204">
        <v>1.3360080240722167</v>
      </c>
      <c r="S204">
        <v>1.7331995987963891</v>
      </c>
      <c r="T204">
        <v>0.57696759259259267</v>
      </c>
    </row>
    <row r="205" spans="1:20" x14ac:dyDescent="0.3">
      <c r="A205" s="99">
        <v>46032</v>
      </c>
      <c r="B205" t="s">
        <v>99</v>
      </c>
      <c r="C205" t="s">
        <v>391</v>
      </c>
      <c r="D205" s="100"/>
      <c r="E205" s="100"/>
      <c r="F205" s="100"/>
      <c r="G205">
        <v>72</v>
      </c>
      <c r="H205">
        <v>1057</v>
      </c>
      <c r="I205" s="100">
        <v>0.14583333333333334</v>
      </c>
      <c r="J205" s="101">
        <v>46032.291666666664</v>
      </c>
      <c r="K205" s="101">
        <v>46033.291666666664</v>
      </c>
      <c r="L205">
        <v>24</v>
      </c>
      <c r="M205">
        <v>3.5</v>
      </c>
      <c r="O205">
        <v>20.5</v>
      </c>
      <c r="P205">
        <v>1476</v>
      </c>
      <c r="Q205">
        <v>1728</v>
      </c>
      <c r="R205">
        <v>1.3964049195837276</v>
      </c>
      <c r="S205">
        <v>1.6348155156102175</v>
      </c>
      <c r="T205">
        <v>0.61168981481481488</v>
      </c>
    </row>
    <row r="206" spans="1:20" x14ac:dyDescent="0.3">
      <c r="A206" s="99">
        <v>46033</v>
      </c>
      <c r="B206" t="s">
        <v>96</v>
      </c>
      <c r="C206" t="s">
        <v>391</v>
      </c>
      <c r="D206" s="100"/>
      <c r="E206" s="100"/>
      <c r="F206" s="100"/>
      <c r="G206">
        <v>72</v>
      </c>
      <c r="H206">
        <v>746</v>
      </c>
      <c r="I206" s="100">
        <v>0.14583333333333334</v>
      </c>
      <c r="J206" s="101">
        <v>46033.291666666664</v>
      </c>
      <c r="K206" s="101">
        <v>46034.291666666664</v>
      </c>
      <c r="L206">
        <v>24</v>
      </c>
      <c r="M206">
        <v>3.5</v>
      </c>
      <c r="O206">
        <v>20.5</v>
      </c>
      <c r="P206">
        <v>1476</v>
      </c>
      <c r="Q206">
        <v>1728</v>
      </c>
      <c r="R206">
        <v>1.9785522788203753</v>
      </c>
      <c r="S206">
        <v>2.316353887399464</v>
      </c>
      <c r="T206">
        <v>0.43171296296296291</v>
      </c>
    </row>
    <row r="207" spans="1:20" x14ac:dyDescent="0.3">
      <c r="A207" s="99">
        <v>46033</v>
      </c>
      <c r="B207" t="s">
        <v>97</v>
      </c>
      <c r="C207" t="s">
        <v>391</v>
      </c>
      <c r="D207" s="100">
        <v>8.3333333333333329E-2</v>
      </c>
      <c r="E207" s="100">
        <v>0.83333333333333337</v>
      </c>
      <c r="F207" s="100"/>
      <c r="G207">
        <v>8</v>
      </c>
      <c r="H207">
        <v>727</v>
      </c>
      <c r="I207" s="100">
        <v>0.14583333333333334</v>
      </c>
      <c r="J207" s="101">
        <v>46033.291666666664</v>
      </c>
      <c r="K207" s="101">
        <v>46034.291666666664</v>
      </c>
      <c r="L207">
        <v>24</v>
      </c>
      <c r="M207">
        <v>3.5</v>
      </c>
      <c r="N207">
        <v>2</v>
      </c>
      <c r="O207">
        <v>18.5</v>
      </c>
      <c r="P207">
        <v>148</v>
      </c>
      <c r="Q207">
        <v>192</v>
      </c>
      <c r="R207">
        <v>0.20357634112792297</v>
      </c>
      <c r="S207">
        <v>0.26409903713892707</v>
      </c>
      <c r="T207">
        <v>3.7864583333333335</v>
      </c>
    </row>
    <row r="208" spans="1:20" x14ac:dyDescent="0.3">
      <c r="A208" s="99">
        <v>46033</v>
      </c>
      <c r="B208" t="s">
        <v>98</v>
      </c>
      <c r="C208" t="s">
        <v>391</v>
      </c>
      <c r="D208" s="100">
        <v>0.125</v>
      </c>
      <c r="E208" s="100">
        <v>0.625</v>
      </c>
      <c r="F208" s="100"/>
      <c r="G208">
        <v>72</v>
      </c>
      <c r="H208">
        <v>732</v>
      </c>
      <c r="I208" s="100">
        <v>0.14583333333333334</v>
      </c>
      <c r="J208" s="101">
        <v>46033.291666666664</v>
      </c>
      <c r="K208" s="101">
        <v>46034.291666666664</v>
      </c>
      <c r="L208">
        <v>24</v>
      </c>
      <c r="M208">
        <v>3.5</v>
      </c>
      <c r="N208">
        <v>3</v>
      </c>
      <c r="O208">
        <v>17.5</v>
      </c>
      <c r="P208">
        <v>1260</v>
      </c>
      <c r="Q208">
        <v>1728</v>
      </c>
      <c r="R208">
        <v>1.721311475409836</v>
      </c>
      <c r="S208">
        <v>2.360655737704918</v>
      </c>
      <c r="T208">
        <v>0.4236111111111111</v>
      </c>
    </row>
    <row r="209" spans="1:20" x14ac:dyDescent="0.3">
      <c r="A209" s="99">
        <v>46033</v>
      </c>
      <c r="B209" t="s">
        <v>99</v>
      </c>
      <c r="C209" t="s">
        <v>391</v>
      </c>
      <c r="D209" s="100">
        <v>8.3333333333333329E-2</v>
      </c>
      <c r="E209" s="100"/>
      <c r="F209" s="100"/>
      <c r="G209">
        <v>76</v>
      </c>
      <c r="H209">
        <v>707</v>
      </c>
      <c r="I209" s="100">
        <v>0.14583333333333334</v>
      </c>
      <c r="J209" s="101">
        <v>46033.291666666664</v>
      </c>
      <c r="K209" s="101">
        <v>46034.291666666664</v>
      </c>
      <c r="L209">
        <v>24</v>
      </c>
      <c r="M209">
        <v>3.5</v>
      </c>
      <c r="N209">
        <v>2</v>
      </c>
      <c r="O209">
        <v>18.5</v>
      </c>
      <c r="P209">
        <v>1406</v>
      </c>
      <c r="Q209">
        <v>1824</v>
      </c>
      <c r="R209">
        <v>1.9886845827439887</v>
      </c>
      <c r="S209">
        <v>2.5799151343705797</v>
      </c>
      <c r="T209">
        <v>0.38760964912280704</v>
      </c>
    </row>
    <row r="210" spans="1:20" x14ac:dyDescent="0.3">
      <c r="A210" s="99">
        <v>46034</v>
      </c>
      <c r="B210" t="s">
        <v>96</v>
      </c>
      <c r="C210" t="s">
        <v>391</v>
      </c>
      <c r="D210" s="100">
        <v>5.2083333333333336E-2</v>
      </c>
      <c r="E210" s="100"/>
      <c r="F210" s="100"/>
      <c r="G210">
        <v>91</v>
      </c>
      <c r="H210">
        <v>1079</v>
      </c>
      <c r="I210" s="100">
        <v>0.14583333333333334</v>
      </c>
      <c r="J210" s="101">
        <v>46034.291666666664</v>
      </c>
      <c r="K210" s="101">
        <v>46035.291666666664</v>
      </c>
      <c r="L210">
        <v>24</v>
      </c>
      <c r="M210">
        <v>3.5</v>
      </c>
      <c r="N210">
        <v>1.25</v>
      </c>
      <c r="O210">
        <v>19.25</v>
      </c>
      <c r="P210">
        <v>1751.75</v>
      </c>
      <c r="Q210">
        <v>2184</v>
      </c>
      <c r="R210">
        <v>1.6234939759036144</v>
      </c>
      <c r="S210">
        <v>2.0240963855421685</v>
      </c>
      <c r="T210">
        <v>0.49404761904761907</v>
      </c>
    </row>
    <row r="211" spans="1:20" x14ac:dyDescent="0.3">
      <c r="A211" s="99">
        <v>46034</v>
      </c>
      <c r="B211" t="s">
        <v>97</v>
      </c>
      <c r="C211" t="s">
        <v>391</v>
      </c>
      <c r="D211" s="100">
        <v>3.125E-2</v>
      </c>
      <c r="E211" s="100">
        <v>0.125</v>
      </c>
      <c r="F211" s="100"/>
      <c r="G211">
        <v>13</v>
      </c>
      <c r="H211">
        <v>1185</v>
      </c>
      <c r="I211" s="100">
        <v>0.14583333333333334</v>
      </c>
      <c r="J211" s="101">
        <v>46034.291666666664</v>
      </c>
      <c r="K211" s="101">
        <v>46035.291666666664</v>
      </c>
      <c r="L211">
        <v>24</v>
      </c>
      <c r="M211">
        <v>3.5</v>
      </c>
      <c r="N211">
        <v>0.75</v>
      </c>
      <c r="O211">
        <v>19.75</v>
      </c>
      <c r="P211">
        <v>256.75</v>
      </c>
      <c r="Q211">
        <v>312</v>
      </c>
      <c r="R211">
        <v>0.21666666666666667</v>
      </c>
      <c r="S211">
        <v>0.26329113924050634</v>
      </c>
      <c r="T211">
        <v>3.7980769230769229</v>
      </c>
    </row>
    <row r="212" spans="1:20" x14ac:dyDescent="0.3">
      <c r="A212" s="99">
        <v>46034</v>
      </c>
      <c r="B212" t="s">
        <v>98</v>
      </c>
      <c r="C212" t="s">
        <v>391</v>
      </c>
      <c r="D212" s="100">
        <v>0.125</v>
      </c>
      <c r="E212" s="100"/>
      <c r="F212" s="100"/>
      <c r="G212">
        <v>73</v>
      </c>
      <c r="H212">
        <v>987</v>
      </c>
      <c r="I212" s="100">
        <v>0.14583333333333334</v>
      </c>
      <c r="J212" s="101">
        <v>46034.291666666664</v>
      </c>
      <c r="K212" s="101">
        <v>46035.291666666664</v>
      </c>
      <c r="L212">
        <v>24</v>
      </c>
      <c r="M212">
        <v>3.5</v>
      </c>
      <c r="N212">
        <v>3</v>
      </c>
      <c r="O212">
        <v>17.5</v>
      </c>
      <c r="P212">
        <v>1277.5</v>
      </c>
      <c r="Q212">
        <v>1752</v>
      </c>
      <c r="R212">
        <v>1.2943262411347518</v>
      </c>
      <c r="S212">
        <v>1.7750759878419453</v>
      </c>
      <c r="T212">
        <v>0.56335616438356162</v>
      </c>
    </row>
    <row r="213" spans="1:20" x14ac:dyDescent="0.3">
      <c r="A213" s="99">
        <v>46034</v>
      </c>
      <c r="B213" t="s">
        <v>99</v>
      </c>
      <c r="C213" t="s">
        <v>391</v>
      </c>
      <c r="D213" s="100">
        <v>2.0833333333333332E-2</v>
      </c>
      <c r="E213" s="100"/>
      <c r="F213" s="100"/>
      <c r="G213">
        <v>78</v>
      </c>
      <c r="H213">
        <v>943</v>
      </c>
      <c r="I213" s="100">
        <v>0.14583333333333334</v>
      </c>
      <c r="J213" s="101">
        <v>46034.291666666664</v>
      </c>
      <c r="K213" s="101">
        <v>46035.291666666664</v>
      </c>
      <c r="L213">
        <v>24</v>
      </c>
      <c r="M213">
        <v>3.5</v>
      </c>
      <c r="N213">
        <v>0.5</v>
      </c>
      <c r="O213">
        <v>20</v>
      </c>
      <c r="P213">
        <v>1560</v>
      </c>
      <c r="Q213">
        <v>1872</v>
      </c>
      <c r="R213">
        <v>1.6542948038176033</v>
      </c>
      <c r="S213">
        <v>1.9851537645811241</v>
      </c>
      <c r="T213">
        <v>0.50373931623931623</v>
      </c>
    </row>
    <row r="214" spans="1:20" x14ac:dyDescent="0.3">
      <c r="A214" s="99">
        <v>46035</v>
      </c>
      <c r="B214" t="s">
        <v>96</v>
      </c>
      <c r="C214" t="s">
        <v>391</v>
      </c>
      <c r="D214" s="100"/>
      <c r="E214" s="100"/>
      <c r="F214" s="100"/>
      <c r="G214">
        <v>86</v>
      </c>
      <c r="H214">
        <v>1141</v>
      </c>
      <c r="I214" s="100">
        <v>0.14583333333333334</v>
      </c>
      <c r="J214" s="101">
        <v>46035.291666666664</v>
      </c>
      <c r="K214" s="101">
        <v>46036.291666666664</v>
      </c>
      <c r="L214">
        <v>24</v>
      </c>
      <c r="M214">
        <v>3.5</v>
      </c>
      <c r="O214">
        <v>20.5</v>
      </c>
      <c r="P214">
        <v>1763</v>
      </c>
      <c r="Q214">
        <v>2064</v>
      </c>
      <c r="R214">
        <v>1.5451358457493427</v>
      </c>
      <c r="S214">
        <v>1.8089395267309378</v>
      </c>
      <c r="T214">
        <v>0.55281007751937983</v>
      </c>
    </row>
    <row r="215" spans="1:20" x14ac:dyDescent="0.3">
      <c r="A215" s="99">
        <v>46035</v>
      </c>
      <c r="B215" t="s">
        <v>97</v>
      </c>
      <c r="C215" t="s">
        <v>391</v>
      </c>
      <c r="D215" s="100">
        <v>0.1111111111111111</v>
      </c>
      <c r="E215" s="100">
        <v>0.41666666666666669</v>
      </c>
      <c r="F215" s="100"/>
      <c r="G215">
        <v>12</v>
      </c>
      <c r="H215">
        <v>1016</v>
      </c>
      <c r="I215" s="100">
        <v>0.14583333333333334</v>
      </c>
      <c r="J215" s="101">
        <v>46035.291666666664</v>
      </c>
      <c r="K215" s="101">
        <v>46036.291666666664</v>
      </c>
      <c r="L215">
        <v>24</v>
      </c>
      <c r="M215">
        <v>3.5</v>
      </c>
      <c r="N215">
        <v>2.6666666666666665</v>
      </c>
      <c r="O215">
        <v>17.833333333333332</v>
      </c>
      <c r="P215">
        <v>214</v>
      </c>
      <c r="Q215">
        <v>288</v>
      </c>
      <c r="R215">
        <v>0.21062992125984251</v>
      </c>
      <c r="S215">
        <v>0.28346456692913385</v>
      </c>
      <c r="T215">
        <v>3.5277777777777777</v>
      </c>
    </row>
    <row r="216" spans="1:20" x14ac:dyDescent="0.3">
      <c r="A216" s="99">
        <v>46035</v>
      </c>
      <c r="B216" t="s">
        <v>98</v>
      </c>
      <c r="C216" t="s">
        <v>391</v>
      </c>
      <c r="D216" s="100">
        <v>9.7222222222222224E-2</v>
      </c>
      <c r="E216" s="100"/>
      <c r="F216" s="100"/>
      <c r="G216">
        <v>72</v>
      </c>
      <c r="H216">
        <v>1025</v>
      </c>
      <c r="I216" s="100">
        <v>0.14583333333333334</v>
      </c>
      <c r="J216" s="101">
        <v>46035.291666666664</v>
      </c>
      <c r="K216" s="101">
        <v>46036.291666666664</v>
      </c>
      <c r="L216">
        <v>24</v>
      </c>
      <c r="M216">
        <v>3.5</v>
      </c>
      <c r="N216">
        <v>2.333333333333333</v>
      </c>
      <c r="O216">
        <v>18.166666666666668</v>
      </c>
      <c r="P216">
        <v>1308</v>
      </c>
      <c r="Q216">
        <v>1728</v>
      </c>
      <c r="R216">
        <v>1.2760975609756098</v>
      </c>
      <c r="S216">
        <v>1.6858536585365853</v>
      </c>
      <c r="T216">
        <v>0.59317129629629628</v>
      </c>
    </row>
    <row r="217" spans="1:20" x14ac:dyDescent="0.3">
      <c r="A217" s="99">
        <v>46035</v>
      </c>
      <c r="B217" t="s">
        <v>99</v>
      </c>
      <c r="C217" t="s">
        <v>391</v>
      </c>
      <c r="D217" s="100">
        <v>2.7777777777777776E-2</v>
      </c>
      <c r="E217" s="100">
        <v>8.3333333333333329E-2</v>
      </c>
      <c r="F217" s="100"/>
      <c r="G217">
        <v>75</v>
      </c>
      <c r="H217">
        <v>1092</v>
      </c>
      <c r="I217" s="100">
        <v>0.14583333333333334</v>
      </c>
      <c r="J217" s="101">
        <v>46035.291666666664</v>
      </c>
      <c r="K217" s="101">
        <v>46036.291666666664</v>
      </c>
      <c r="L217">
        <v>24</v>
      </c>
      <c r="M217">
        <v>3.5</v>
      </c>
      <c r="N217">
        <v>0.66666666666666663</v>
      </c>
      <c r="O217">
        <v>19.833333333333332</v>
      </c>
      <c r="P217">
        <v>1487.5</v>
      </c>
      <c r="Q217">
        <v>1800</v>
      </c>
      <c r="R217">
        <v>1.3621794871794872</v>
      </c>
      <c r="S217">
        <v>1.6483516483516483</v>
      </c>
      <c r="T217">
        <v>0.60666666666666669</v>
      </c>
    </row>
    <row r="218" spans="1:20" x14ac:dyDescent="0.3">
      <c r="A218" s="99">
        <v>46036</v>
      </c>
      <c r="B218" t="s">
        <v>96</v>
      </c>
      <c r="C218" t="s">
        <v>391</v>
      </c>
      <c r="D218" s="100">
        <v>2.0833333333333332E-2</v>
      </c>
      <c r="E218" s="100">
        <v>0.20833333333333334</v>
      </c>
      <c r="F218" s="100"/>
      <c r="G218">
        <v>89</v>
      </c>
      <c r="H218">
        <v>1025</v>
      </c>
      <c r="I218" s="100">
        <v>0.14583333333333334</v>
      </c>
      <c r="J218" s="101">
        <v>46036.291666666664</v>
      </c>
      <c r="K218" s="101">
        <v>46037.291666666664</v>
      </c>
      <c r="L218">
        <v>24</v>
      </c>
      <c r="M218">
        <v>3.5</v>
      </c>
      <c r="N218">
        <v>0.5</v>
      </c>
      <c r="O218">
        <v>20</v>
      </c>
      <c r="P218">
        <v>1780</v>
      </c>
      <c r="Q218">
        <v>2136</v>
      </c>
      <c r="R218">
        <v>1.7365853658536585</v>
      </c>
      <c r="S218">
        <v>2.0839024390243903</v>
      </c>
      <c r="T218">
        <v>0.47986891385767788</v>
      </c>
    </row>
    <row r="219" spans="1:20" x14ac:dyDescent="0.3">
      <c r="A219" s="99">
        <v>46036</v>
      </c>
      <c r="B219" t="s">
        <v>97</v>
      </c>
      <c r="C219" t="s">
        <v>391</v>
      </c>
      <c r="D219" s="100">
        <v>9.375E-2</v>
      </c>
      <c r="E219" s="100"/>
      <c r="F219" s="100">
        <v>4.1666666666666664E-2</v>
      </c>
      <c r="G219">
        <v>11</v>
      </c>
      <c r="H219">
        <v>1148</v>
      </c>
      <c r="I219" s="100">
        <v>0.14583333333333334</v>
      </c>
      <c r="J219" s="101">
        <v>46036.291666666664</v>
      </c>
      <c r="K219" s="101">
        <v>46037.291666666664</v>
      </c>
      <c r="L219">
        <v>24</v>
      </c>
      <c r="M219">
        <v>3.5</v>
      </c>
      <c r="N219">
        <v>2.25</v>
      </c>
      <c r="O219">
        <v>18.25</v>
      </c>
      <c r="P219">
        <v>200.75</v>
      </c>
      <c r="Q219">
        <v>264</v>
      </c>
      <c r="R219">
        <v>0.17486933797909407</v>
      </c>
      <c r="S219">
        <v>0.22996515679442509</v>
      </c>
      <c r="T219">
        <v>4.3484848484848486</v>
      </c>
    </row>
    <row r="220" spans="1:20" x14ac:dyDescent="0.3">
      <c r="A220" s="99">
        <v>46036</v>
      </c>
      <c r="B220" t="s">
        <v>98</v>
      </c>
      <c r="C220" t="s">
        <v>391</v>
      </c>
      <c r="D220" s="100">
        <v>0.11805555555555555</v>
      </c>
      <c r="E220" s="100"/>
      <c r="F220" s="100"/>
      <c r="G220">
        <v>72</v>
      </c>
      <c r="H220">
        <v>1015</v>
      </c>
      <c r="I220" s="100">
        <v>0.14583333333333334</v>
      </c>
      <c r="J220" s="101">
        <v>46036.291666666664</v>
      </c>
      <c r="K220" s="101">
        <v>46037.291666666664</v>
      </c>
      <c r="L220">
        <v>24</v>
      </c>
      <c r="M220">
        <v>3.5</v>
      </c>
      <c r="N220">
        <v>2.833333333333333</v>
      </c>
      <c r="O220">
        <v>17.666666666666668</v>
      </c>
      <c r="P220">
        <v>1272</v>
      </c>
      <c r="Q220">
        <v>1728</v>
      </c>
      <c r="R220">
        <v>1.2532019704433497</v>
      </c>
      <c r="S220">
        <v>1.7024630541871921</v>
      </c>
      <c r="T220">
        <v>0.5873842592592593</v>
      </c>
    </row>
    <row r="221" spans="1:20" x14ac:dyDescent="0.3">
      <c r="A221" s="99">
        <v>46036</v>
      </c>
      <c r="B221" t="s">
        <v>99</v>
      </c>
      <c r="C221" t="s">
        <v>391</v>
      </c>
      <c r="D221" s="100"/>
      <c r="E221" s="100"/>
      <c r="F221" s="100"/>
      <c r="G221">
        <v>76</v>
      </c>
      <c r="H221">
        <v>966</v>
      </c>
      <c r="I221" s="100">
        <v>0.14583333333333334</v>
      </c>
      <c r="J221" s="101">
        <v>46036.291666666664</v>
      </c>
      <c r="K221" s="101">
        <v>46037.291666666664</v>
      </c>
      <c r="L221">
        <v>24</v>
      </c>
      <c r="M221">
        <v>3.5</v>
      </c>
      <c r="O221">
        <v>20.5</v>
      </c>
      <c r="P221">
        <v>1558</v>
      </c>
      <c r="Q221">
        <v>1824</v>
      </c>
      <c r="R221">
        <v>1.6128364389233953</v>
      </c>
      <c r="S221">
        <v>1.8881987577639752</v>
      </c>
      <c r="T221">
        <v>0.52960526315789469</v>
      </c>
    </row>
    <row r="222" spans="1:20" x14ac:dyDescent="0.3">
      <c r="A222" s="99">
        <v>46037</v>
      </c>
      <c r="B222" t="s">
        <v>96</v>
      </c>
      <c r="C222" t="s">
        <v>391</v>
      </c>
      <c r="D222" s="100"/>
      <c r="E222" s="100">
        <v>0.125</v>
      </c>
      <c r="F222" s="100"/>
      <c r="G222">
        <v>88</v>
      </c>
      <c r="H222">
        <v>1093</v>
      </c>
      <c r="I222" s="100">
        <v>0.14583333333333334</v>
      </c>
      <c r="J222" s="101">
        <v>46037.291666666664</v>
      </c>
      <c r="K222" s="101">
        <v>46038.291666666664</v>
      </c>
      <c r="L222">
        <v>24</v>
      </c>
      <c r="M222">
        <v>3.5</v>
      </c>
      <c r="O222">
        <v>20.5</v>
      </c>
      <c r="P222">
        <v>1804</v>
      </c>
      <c r="Q222">
        <v>2112</v>
      </c>
      <c r="R222">
        <v>1.6505032021957915</v>
      </c>
      <c r="S222">
        <v>1.9322964318389753</v>
      </c>
      <c r="T222">
        <v>0.51751893939393945</v>
      </c>
    </row>
    <row r="223" spans="1:20" x14ac:dyDescent="0.3">
      <c r="A223" s="99">
        <v>46037</v>
      </c>
      <c r="B223" t="s">
        <v>97</v>
      </c>
      <c r="C223" t="s">
        <v>391</v>
      </c>
      <c r="D223" s="100">
        <v>6.25E-2</v>
      </c>
      <c r="E223" s="100">
        <v>0.4861111111111111</v>
      </c>
      <c r="F223" s="100"/>
      <c r="G223">
        <v>12</v>
      </c>
      <c r="H223">
        <v>1078</v>
      </c>
      <c r="I223" s="100">
        <v>0.14583333333333334</v>
      </c>
      <c r="J223" s="101">
        <v>46037.291666666664</v>
      </c>
      <c r="K223" s="101">
        <v>46038.291666666664</v>
      </c>
      <c r="L223">
        <v>24</v>
      </c>
      <c r="M223">
        <v>3.5</v>
      </c>
      <c r="N223">
        <v>1.5</v>
      </c>
      <c r="O223">
        <v>19</v>
      </c>
      <c r="P223">
        <v>228</v>
      </c>
      <c r="Q223">
        <v>288</v>
      </c>
      <c r="R223">
        <v>0.21150278293135436</v>
      </c>
      <c r="S223">
        <v>0.26716141001855287</v>
      </c>
      <c r="T223">
        <v>3.7430555555555558</v>
      </c>
    </row>
    <row r="224" spans="1:20" x14ac:dyDescent="0.3">
      <c r="A224" s="99">
        <v>46037</v>
      </c>
      <c r="B224" t="s">
        <v>98</v>
      </c>
      <c r="C224" t="s">
        <v>391</v>
      </c>
      <c r="D224" s="100">
        <v>0.11458333333333333</v>
      </c>
      <c r="E224" s="100"/>
      <c r="F224" s="100"/>
      <c r="G224">
        <v>74</v>
      </c>
      <c r="H224">
        <v>1046</v>
      </c>
      <c r="I224" s="100">
        <v>0.14583333333333334</v>
      </c>
      <c r="J224" s="101">
        <v>46037.291666666664</v>
      </c>
      <c r="K224" s="101">
        <v>46038.291666666664</v>
      </c>
      <c r="L224">
        <v>24</v>
      </c>
      <c r="M224">
        <v>3.5</v>
      </c>
      <c r="N224">
        <v>2.75</v>
      </c>
      <c r="O224">
        <v>17.75</v>
      </c>
      <c r="P224">
        <v>1313.5</v>
      </c>
      <c r="Q224">
        <v>1776</v>
      </c>
      <c r="R224">
        <v>1.255736137667304</v>
      </c>
      <c r="S224">
        <v>1.6978967495219885</v>
      </c>
      <c r="T224">
        <v>0.588963963963964</v>
      </c>
    </row>
    <row r="225" spans="1:20" x14ac:dyDescent="0.3">
      <c r="A225" s="99">
        <v>46037</v>
      </c>
      <c r="B225" t="s">
        <v>99</v>
      </c>
      <c r="C225" t="s">
        <v>391</v>
      </c>
      <c r="D225" s="100"/>
      <c r="E225" s="100"/>
      <c r="F225" s="100"/>
      <c r="G225">
        <v>72</v>
      </c>
      <c r="H225">
        <v>1128</v>
      </c>
      <c r="I225" s="100">
        <v>0.14583333333333334</v>
      </c>
      <c r="J225" s="101">
        <v>46037.291666666664</v>
      </c>
      <c r="K225" s="101">
        <v>46038.291666666664</v>
      </c>
      <c r="L225">
        <v>24</v>
      </c>
      <c r="M225">
        <v>3.5</v>
      </c>
      <c r="O225">
        <v>20.5</v>
      </c>
      <c r="P225">
        <v>1476</v>
      </c>
      <c r="Q225">
        <v>1728</v>
      </c>
      <c r="R225">
        <v>1.3085106382978724</v>
      </c>
      <c r="S225">
        <v>1.5319148936170213</v>
      </c>
      <c r="T225">
        <v>0.65277777777777779</v>
      </c>
    </row>
    <row r="226" spans="1:20" x14ac:dyDescent="0.3">
      <c r="A226" s="99">
        <v>46038</v>
      </c>
      <c r="B226" t="s">
        <v>96</v>
      </c>
      <c r="C226" t="s">
        <v>391</v>
      </c>
      <c r="D226" s="100"/>
      <c r="E226" s="100"/>
      <c r="F226" s="100"/>
      <c r="G226">
        <v>87</v>
      </c>
      <c r="H226">
        <v>1097</v>
      </c>
      <c r="I226" s="100">
        <v>0.14583333333333334</v>
      </c>
      <c r="J226" s="101">
        <v>46038.291666666664</v>
      </c>
      <c r="K226" s="101">
        <v>46039.291666666664</v>
      </c>
      <c r="L226">
        <v>24</v>
      </c>
      <c r="M226">
        <v>3.5</v>
      </c>
      <c r="O226">
        <v>20.5</v>
      </c>
      <c r="P226">
        <v>1783.5</v>
      </c>
      <c r="Q226">
        <v>2088</v>
      </c>
      <c r="R226">
        <v>1.6257976298997265</v>
      </c>
      <c r="S226">
        <v>1.9033728350045578</v>
      </c>
      <c r="T226">
        <v>0.52538314176245215</v>
      </c>
    </row>
    <row r="227" spans="1:20" x14ac:dyDescent="0.3">
      <c r="A227" s="99">
        <v>46038</v>
      </c>
      <c r="B227" t="s">
        <v>97</v>
      </c>
      <c r="C227" t="s">
        <v>391</v>
      </c>
      <c r="D227" s="100">
        <v>0.19791666666666666</v>
      </c>
      <c r="E227" s="100">
        <v>0.41666666666666669</v>
      </c>
      <c r="F227" s="100"/>
      <c r="G227">
        <v>11</v>
      </c>
      <c r="H227">
        <v>968</v>
      </c>
      <c r="I227" s="100">
        <v>0.14583333333333334</v>
      </c>
      <c r="J227" s="101">
        <v>46038.291666666664</v>
      </c>
      <c r="K227" s="101">
        <v>46039.291666666664</v>
      </c>
      <c r="L227">
        <v>24</v>
      </c>
      <c r="M227">
        <v>3.5</v>
      </c>
      <c r="N227">
        <v>4.75</v>
      </c>
      <c r="O227">
        <v>15.75</v>
      </c>
      <c r="P227">
        <v>173.25</v>
      </c>
      <c r="Q227">
        <v>264</v>
      </c>
      <c r="R227">
        <v>0.17897727272727273</v>
      </c>
      <c r="S227">
        <v>0.27272727272727271</v>
      </c>
      <c r="T227">
        <v>3.666666666666667</v>
      </c>
    </row>
    <row r="228" spans="1:20" x14ac:dyDescent="0.3">
      <c r="A228" s="99">
        <v>46038</v>
      </c>
      <c r="B228" t="s">
        <v>98</v>
      </c>
      <c r="C228" t="s">
        <v>391</v>
      </c>
      <c r="D228" s="100">
        <v>0.14583333333333334</v>
      </c>
      <c r="E228" s="100"/>
      <c r="F228" s="100"/>
      <c r="G228">
        <v>74</v>
      </c>
      <c r="H228">
        <v>986</v>
      </c>
      <c r="I228" s="100">
        <v>0.14583333333333334</v>
      </c>
      <c r="J228" s="101">
        <v>46038.291666666664</v>
      </c>
      <c r="K228" s="101">
        <v>46039.291666666664</v>
      </c>
      <c r="L228">
        <v>24</v>
      </c>
      <c r="M228">
        <v>3.5</v>
      </c>
      <c r="N228">
        <v>3.5</v>
      </c>
      <c r="O228">
        <v>17</v>
      </c>
      <c r="P228">
        <v>1258</v>
      </c>
      <c r="Q228">
        <v>1776</v>
      </c>
      <c r="R228">
        <v>1.2758620689655173</v>
      </c>
      <c r="S228">
        <v>1.8012170385395538</v>
      </c>
      <c r="T228">
        <v>0.55518018018018012</v>
      </c>
    </row>
    <row r="229" spans="1:20" x14ac:dyDescent="0.3">
      <c r="A229" s="99">
        <v>46038</v>
      </c>
      <c r="B229" t="s">
        <v>99</v>
      </c>
      <c r="C229" t="s">
        <v>391</v>
      </c>
      <c r="D229" s="100"/>
      <c r="E229" s="100"/>
      <c r="F229" s="100"/>
      <c r="G229">
        <v>73</v>
      </c>
      <c r="H229">
        <v>1018</v>
      </c>
      <c r="I229" s="100">
        <v>0.14583333333333334</v>
      </c>
      <c r="J229" s="101">
        <v>46038.291666666664</v>
      </c>
      <c r="K229" s="101">
        <v>46039.291666666664</v>
      </c>
      <c r="L229">
        <v>24</v>
      </c>
      <c r="M229">
        <v>3.5</v>
      </c>
      <c r="O229">
        <v>20.5</v>
      </c>
      <c r="P229">
        <v>1496.5</v>
      </c>
      <c r="Q229">
        <v>1752</v>
      </c>
      <c r="R229">
        <v>1.4700392927308448</v>
      </c>
      <c r="S229">
        <v>1.7210216110019647</v>
      </c>
      <c r="T229">
        <v>0.58105022831050224</v>
      </c>
    </row>
    <row r="230" spans="1:20" x14ac:dyDescent="0.3">
      <c r="A230" s="99">
        <v>46039</v>
      </c>
      <c r="B230" t="s">
        <v>96</v>
      </c>
      <c r="C230" t="s">
        <v>391</v>
      </c>
      <c r="D230" s="100"/>
      <c r="E230" s="100">
        <v>0.18055555555555555</v>
      </c>
      <c r="F230" s="100"/>
      <c r="G230">
        <v>87</v>
      </c>
      <c r="H230">
        <v>994</v>
      </c>
      <c r="I230" s="100">
        <v>0.14583333333333334</v>
      </c>
      <c r="J230" s="101">
        <v>46039.291666666664</v>
      </c>
      <c r="K230" s="101">
        <v>46040.291666666664</v>
      </c>
      <c r="L230">
        <v>24</v>
      </c>
      <c r="M230">
        <v>3.5</v>
      </c>
      <c r="O230">
        <v>20.5</v>
      </c>
      <c r="P230">
        <v>1783.5</v>
      </c>
      <c r="Q230">
        <v>2088</v>
      </c>
      <c r="R230">
        <v>1.7942655935613683</v>
      </c>
      <c r="S230">
        <v>2.1006036217303823</v>
      </c>
      <c r="T230">
        <v>0.47605363984674332</v>
      </c>
    </row>
    <row r="231" spans="1:20" x14ac:dyDescent="0.3">
      <c r="A231" s="99">
        <v>46039</v>
      </c>
      <c r="B231" t="s">
        <v>97</v>
      </c>
      <c r="C231" t="s">
        <v>391</v>
      </c>
      <c r="D231" s="100">
        <v>0.27430555555555558</v>
      </c>
      <c r="E231" s="100">
        <v>0.25</v>
      </c>
      <c r="F231" s="100"/>
      <c r="G231">
        <v>11</v>
      </c>
      <c r="H231">
        <v>816</v>
      </c>
      <c r="I231" s="100">
        <v>0.14583333333333334</v>
      </c>
      <c r="J231" s="101">
        <v>46039.291666666664</v>
      </c>
      <c r="K231" s="101">
        <v>46040.291666666664</v>
      </c>
      <c r="L231">
        <v>24</v>
      </c>
      <c r="M231">
        <v>3.5</v>
      </c>
      <c r="N231">
        <v>6.583333333333333</v>
      </c>
      <c r="O231">
        <v>13.916666666666668</v>
      </c>
      <c r="P231">
        <v>153.08333333333334</v>
      </c>
      <c r="Q231">
        <v>264</v>
      </c>
      <c r="R231">
        <v>0.18760212418300654</v>
      </c>
      <c r="S231">
        <v>0.3235294117647059</v>
      </c>
      <c r="T231">
        <v>3.0909090909090908</v>
      </c>
    </row>
    <row r="232" spans="1:20" x14ac:dyDescent="0.3">
      <c r="A232" s="99">
        <v>46039</v>
      </c>
      <c r="B232" t="s">
        <v>98</v>
      </c>
      <c r="C232" t="s">
        <v>391</v>
      </c>
      <c r="D232" s="100">
        <v>0.2326388888888889</v>
      </c>
      <c r="E232" s="100"/>
      <c r="F232" s="100"/>
      <c r="G232">
        <v>71</v>
      </c>
      <c r="H232">
        <v>712</v>
      </c>
      <c r="I232" s="100">
        <v>0.14583333333333334</v>
      </c>
      <c r="J232" s="101">
        <v>46039.291666666664</v>
      </c>
      <c r="K232" s="101">
        <v>46040.291666666664</v>
      </c>
      <c r="L232">
        <v>24</v>
      </c>
      <c r="M232">
        <v>3.5</v>
      </c>
      <c r="N232">
        <v>5.583333333333333</v>
      </c>
      <c r="O232">
        <v>14.916666666666668</v>
      </c>
      <c r="P232">
        <v>1059.0833333333335</v>
      </c>
      <c r="Q232">
        <v>1704</v>
      </c>
      <c r="R232">
        <v>1.4874765917602999</v>
      </c>
      <c r="S232">
        <v>2.393258426966292</v>
      </c>
      <c r="T232">
        <v>0.4178403755868545</v>
      </c>
    </row>
    <row r="233" spans="1:20" x14ac:dyDescent="0.3">
      <c r="A233" s="99">
        <v>46039</v>
      </c>
      <c r="B233" t="s">
        <v>99</v>
      </c>
      <c r="C233" t="s">
        <v>391</v>
      </c>
      <c r="D233" s="100">
        <v>0.19791666666666666</v>
      </c>
      <c r="E233" s="100"/>
      <c r="F233" s="100"/>
      <c r="G233">
        <v>66</v>
      </c>
      <c r="H233">
        <v>806</v>
      </c>
      <c r="I233" s="100">
        <v>0.14583333333333334</v>
      </c>
      <c r="J233" s="101">
        <v>46039.291666666664</v>
      </c>
      <c r="K233" s="101">
        <v>46040.291666666664</v>
      </c>
      <c r="L233">
        <v>24</v>
      </c>
      <c r="M233">
        <v>3.5</v>
      </c>
      <c r="N233">
        <v>4.75</v>
      </c>
      <c r="O233">
        <v>15.75</v>
      </c>
      <c r="P233">
        <v>1039.5</v>
      </c>
      <c r="Q233">
        <v>1584</v>
      </c>
      <c r="R233">
        <v>1.2897022332506203</v>
      </c>
      <c r="S233">
        <v>1.9652605459057071</v>
      </c>
      <c r="T233">
        <v>0.50883838383838387</v>
      </c>
    </row>
    <row r="234" spans="1:20" x14ac:dyDescent="0.3">
      <c r="A234" s="99">
        <v>46040</v>
      </c>
      <c r="B234" t="s">
        <v>96</v>
      </c>
      <c r="C234" t="s">
        <v>391</v>
      </c>
      <c r="D234" s="100"/>
      <c r="E234" s="100"/>
      <c r="F234" s="100"/>
      <c r="G234">
        <v>33</v>
      </c>
      <c r="H234">
        <v>322</v>
      </c>
      <c r="I234" s="100">
        <v>6.25E-2</v>
      </c>
      <c r="J234" s="101">
        <v>46040.291666666664</v>
      </c>
      <c r="K234" s="101">
        <v>46040.708333333336</v>
      </c>
      <c r="L234">
        <v>10</v>
      </c>
      <c r="M234">
        <v>1.5</v>
      </c>
      <c r="O234">
        <v>8.5</v>
      </c>
      <c r="P234">
        <v>280.5</v>
      </c>
      <c r="Q234">
        <v>330</v>
      </c>
      <c r="R234">
        <v>0.8711180124223602</v>
      </c>
      <c r="S234">
        <v>1.0248447204968945</v>
      </c>
      <c r="T234">
        <v>0.97575757575757571</v>
      </c>
    </row>
    <row r="235" spans="1:20" x14ac:dyDescent="0.3">
      <c r="A235" s="99">
        <v>46040</v>
      </c>
      <c r="B235" t="s">
        <v>97</v>
      </c>
      <c r="C235" t="s">
        <v>391</v>
      </c>
      <c r="D235" s="100">
        <v>9.0277777777777776E-2</v>
      </c>
      <c r="E235" s="100">
        <v>4.1666666666666664E-2</v>
      </c>
      <c r="F235" s="100"/>
      <c r="G235">
        <v>6</v>
      </c>
      <c r="H235">
        <v>364</v>
      </c>
      <c r="I235" s="100">
        <v>6.25E-2</v>
      </c>
      <c r="J235" s="101">
        <v>46040.291666666664</v>
      </c>
      <c r="K235" s="101">
        <v>46040.708333333336</v>
      </c>
      <c r="L235">
        <v>10</v>
      </c>
      <c r="M235">
        <v>1.5</v>
      </c>
      <c r="N235">
        <v>2.1666666666666665</v>
      </c>
      <c r="O235">
        <v>6.3333333333333339</v>
      </c>
      <c r="P235">
        <v>38</v>
      </c>
      <c r="Q235">
        <v>60</v>
      </c>
      <c r="R235">
        <v>0.1043956043956044</v>
      </c>
      <c r="S235">
        <v>0.16483516483516483</v>
      </c>
      <c r="T235">
        <v>6.0666666666666664</v>
      </c>
    </row>
    <row r="236" spans="1:20" x14ac:dyDescent="0.3">
      <c r="A236" s="99">
        <v>46040</v>
      </c>
      <c r="B236" t="s">
        <v>98</v>
      </c>
      <c r="C236" t="s">
        <v>391</v>
      </c>
      <c r="D236" s="100"/>
      <c r="E236" s="100"/>
      <c r="F236" s="100"/>
      <c r="G236">
        <v>38</v>
      </c>
      <c r="H236">
        <v>364</v>
      </c>
      <c r="I236" s="100">
        <v>6.25E-2</v>
      </c>
      <c r="J236" s="101">
        <v>46040.291666666664</v>
      </c>
      <c r="K236" s="101">
        <v>46040.708333333336</v>
      </c>
      <c r="L236">
        <v>10</v>
      </c>
      <c r="M236">
        <v>1.5</v>
      </c>
      <c r="O236">
        <v>8.5</v>
      </c>
      <c r="P236">
        <v>323</v>
      </c>
      <c r="Q236">
        <v>380</v>
      </c>
      <c r="R236">
        <v>0.88736263736263732</v>
      </c>
      <c r="S236">
        <v>1.043956043956044</v>
      </c>
      <c r="T236">
        <v>0.95789473684210524</v>
      </c>
    </row>
    <row r="237" spans="1:20" x14ac:dyDescent="0.3">
      <c r="A237" s="99">
        <v>46040</v>
      </c>
      <c r="B237" t="s">
        <v>99</v>
      </c>
      <c r="C237" t="s">
        <v>391</v>
      </c>
      <c r="D237" s="100"/>
      <c r="E237" s="100"/>
      <c r="F237" s="100"/>
      <c r="G237">
        <v>34</v>
      </c>
      <c r="H237">
        <v>365</v>
      </c>
      <c r="I237" s="100">
        <v>6.25E-2</v>
      </c>
      <c r="J237" s="101">
        <v>46040.291666666664</v>
      </c>
      <c r="K237" s="101">
        <v>46040.708333333336</v>
      </c>
      <c r="L237">
        <v>10</v>
      </c>
      <c r="M237">
        <v>1.5</v>
      </c>
      <c r="O237">
        <v>8.5</v>
      </c>
      <c r="P237">
        <v>289</v>
      </c>
      <c r="Q237">
        <v>340</v>
      </c>
      <c r="R237">
        <v>0.79178082191780819</v>
      </c>
      <c r="S237">
        <v>0.93150684931506844</v>
      </c>
      <c r="T237">
        <v>1.0735294117647058</v>
      </c>
    </row>
    <row r="238" spans="1:20" x14ac:dyDescent="0.3">
      <c r="A238" s="99">
        <v>46041</v>
      </c>
      <c r="B238" t="s">
        <v>96</v>
      </c>
      <c r="C238" t="s">
        <v>391</v>
      </c>
      <c r="D238" s="100"/>
      <c r="E238" s="100"/>
      <c r="F238" s="100"/>
      <c r="G238">
        <v>86</v>
      </c>
      <c r="H238">
        <v>1033</v>
      </c>
      <c r="I238" s="100">
        <v>0.14583333333333334</v>
      </c>
      <c r="J238" s="101">
        <v>46041.291666666664</v>
      </c>
      <c r="K238" s="101">
        <v>46042.291666666664</v>
      </c>
      <c r="L238">
        <v>24</v>
      </c>
      <c r="M238">
        <v>3.5</v>
      </c>
      <c r="O238">
        <v>20.5</v>
      </c>
      <c r="P238">
        <v>1763</v>
      </c>
      <c r="Q238">
        <v>2064</v>
      </c>
      <c r="R238">
        <v>1.7066795740561471</v>
      </c>
      <c r="S238">
        <v>1.9980638915779283</v>
      </c>
      <c r="T238">
        <v>0.50048449612403101</v>
      </c>
    </row>
    <row r="239" spans="1:20" x14ac:dyDescent="0.3">
      <c r="A239" s="99">
        <v>46041</v>
      </c>
      <c r="B239" t="s">
        <v>97</v>
      </c>
      <c r="C239" t="s">
        <v>391</v>
      </c>
      <c r="D239" s="100">
        <v>0.2361111111111111</v>
      </c>
      <c r="E239" s="100">
        <v>0.33333333333333331</v>
      </c>
      <c r="F239" s="100"/>
      <c r="G239">
        <v>12</v>
      </c>
      <c r="H239">
        <v>1007</v>
      </c>
      <c r="I239" s="100">
        <v>0.14583333333333334</v>
      </c>
      <c r="J239" s="101">
        <v>46041.291666666664</v>
      </c>
      <c r="K239" s="101">
        <v>46042.291666666664</v>
      </c>
      <c r="L239">
        <v>24</v>
      </c>
      <c r="M239">
        <v>3.5</v>
      </c>
      <c r="N239">
        <v>5.6666666666666661</v>
      </c>
      <c r="O239">
        <v>14.833333333333334</v>
      </c>
      <c r="P239">
        <v>178</v>
      </c>
      <c r="Q239">
        <v>288</v>
      </c>
      <c r="R239">
        <v>0.17676266137040714</v>
      </c>
      <c r="S239">
        <v>0.28599801390268126</v>
      </c>
      <c r="T239">
        <v>3.4965277777777772</v>
      </c>
    </row>
    <row r="240" spans="1:20" x14ac:dyDescent="0.3">
      <c r="A240" s="99">
        <v>46041</v>
      </c>
      <c r="B240" t="s">
        <v>98</v>
      </c>
      <c r="C240" t="s">
        <v>391</v>
      </c>
      <c r="D240" s="100">
        <v>9.375E-2</v>
      </c>
      <c r="E240" s="100"/>
      <c r="F240" s="100"/>
      <c r="G240">
        <v>71</v>
      </c>
      <c r="H240">
        <v>1021</v>
      </c>
      <c r="I240" s="100">
        <v>0.14583333333333334</v>
      </c>
      <c r="J240" s="101">
        <v>46041.291666666664</v>
      </c>
      <c r="K240" s="101">
        <v>46042.291666666664</v>
      </c>
      <c r="L240">
        <v>24</v>
      </c>
      <c r="M240">
        <v>3.5</v>
      </c>
      <c r="N240">
        <v>2.25</v>
      </c>
      <c r="O240">
        <v>18.25</v>
      </c>
      <c r="P240">
        <v>1295.75</v>
      </c>
      <c r="Q240">
        <v>1704</v>
      </c>
      <c r="R240">
        <v>1.2690989226248777</v>
      </c>
      <c r="S240">
        <v>1.6689520078354554</v>
      </c>
      <c r="T240">
        <v>0.59917840375586862</v>
      </c>
    </row>
    <row r="241" spans="1:20" x14ac:dyDescent="0.3">
      <c r="A241" s="99">
        <v>46041</v>
      </c>
      <c r="B241" t="s">
        <v>99</v>
      </c>
      <c r="C241" t="s">
        <v>391</v>
      </c>
      <c r="D241" s="100">
        <v>5.9027777777777776E-2</v>
      </c>
      <c r="E241" s="100"/>
      <c r="F241" s="100"/>
      <c r="G241">
        <v>73</v>
      </c>
      <c r="H241">
        <v>983</v>
      </c>
      <c r="I241" s="100">
        <v>0.14583333333333334</v>
      </c>
      <c r="J241" s="101">
        <v>46041.291666666664</v>
      </c>
      <c r="K241" s="101">
        <v>46042.291666666664</v>
      </c>
      <c r="L241">
        <v>24</v>
      </c>
      <c r="M241">
        <v>3.5</v>
      </c>
      <c r="N241">
        <v>1.4166666666666665</v>
      </c>
      <c r="O241">
        <v>19.083333333333332</v>
      </c>
      <c r="P241">
        <v>1393.0833333333333</v>
      </c>
      <c r="Q241">
        <v>1752</v>
      </c>
      <c r="R241">
        <v>1.4171753136656493</v>
      </c>
      <c r="S241">
        <v>1.7822990844354019</v>
      </c>
      <c r="T241">
        <v>0.5610730593607306</v>
      </c>
    </row>
    <row r="242" spans="1:20" x14ac:dyDescent="0.3">
      <c r="A242" s="99">
        <v>46042</v>
      </c>
      <c r="B242" t="s">
        <v>96</v>
      </c>
      <c r="C242" t="s">
        <v>391</v>
      </c>
      <c r="D242" s="100"/>
      <c r="E242" s="100">
        <v>0.16666666666666666</v>
      </c>
      <c r="F242" s="100"/>
      <c r="G242">
        <v>82</v>
      </c>
      <c r="H242">
        <v>884</v>
      </c>
      <c r="I242" s="100">
        <v>0.14583333333333334</v>
      </c>
      <c r="J242" s="101">
        <v>46042.291666666664</v>
      </c>
      <c r="K242" s="101">
        <v>46043.291666666664</v>
      </c>
      <c r="L242">
        <v>24</v>
      </c>
      <c r="M242">
        <v>3.5</v>
      </c>
      <c r="O242">
        <v>20.5</v>
      </c>
      <c r="P242">
        <v>1681</v>
      </c>
      <c r="Q242">
        <v>1968</v>
      </c>
      <c r="R242">
        <v>1.9015837104072397</v>
      </c>
      <c r="S242">
        <v>2.2262443438914028</v>
      </c>
      <c r="T242">
        <v>0.44918699186991867</v>
      </c>
    </row>
    <row r="243" spans="1:20" x14ac:dyDescent="0.3">
      <c r="A243" s="99">
        <v>46042</v>
      </c>
      <c r="B243" t="s">
        <v>97</v>
      </c>
      <c r="C243" t="s">
        <v>391</v>
      </c>
      <c r="D243" s="100">
        <v>0.19097222222222221</v>
      </c>
      <c r="E243" s="100">
        <v>0.16666666666666666</v>
      </c>
      <c r="F243" s="100"/>
      <c r="G243">
        <v>11</v>
      </c>
      <c r="H243">
        <v>918</v>
      </c>
      <c r="I243" s="100">
        <v>0.14583333333333334</v>
      </c>
      <c r="J243" s="101">
        <v>46042.291666666664</v>
      </c>
      <c r="K243" s="101">
        <v>46043.291666666664</v>
      </c>
      <c r="L243">
        <v>24</v>
      </c>
      <c r="M243">
        <v>3.5</v>
      </c>
      <c r="N243">
        <v>4.583333333333333</v>
      </c>
      <c r="O243">
        <v>15.916666666666668</v>
      </c>
      <c r="P243">
        <v>175.08333333333334</v>
      </c>
      <c r="Q243">
        <v>264</v>
      </c>
      <c r="R243">
        <v>0.19072258533042849</v>
      </c>
      <c r="S243">
        <v>0.28758169934640521</v>
      </c>
      <c r="T243">
        <v>3.4772727272727275</v>
      </c>
    </row>
    <row r="244" spans="1:20" x14ac:dyDescent="0.3">
      <c r="A244" s="99">
        <v>46042</v>
      </c>
      <c r="B244" t="s">
        <v>98</v>
      </c>
      <c r="C244" t="s">
        <v>391</v>
      </c>
      <c r="D244" s="100">
        <v>5.9027777777777776E-2</v>
      </c>
      <c r="E244" s="100"/>
      <c r="F244" s="100"/>
      <c r="G244">
        <v>71</v>
      </c>
      <c r="H244">
        <v>1131</v>
      </c>
      <c r="I244" s="100">
        <v>0.14583333333333334</v>
      </c>
      <c r="J244" s="101">
        <v>46042.291666666664</v>
      </c>
      <c r="K244" s="101">
        <v>46043.291666666664</v>
      </c>
      <c r="L244">
        <v>24</v>
      </c>
      <c r="M244">
        <v>3.5</v>
      </c>
      <c r="N244">
        <v>1.4166666666666665</v>
      </c>
      <c r="O244">
        <v>19.083333333333332</v>
      </c>
      <c r="P244">
        <v>1354.9166666666665</v>
      </c>
      <c r="Q244">
        <v>1704</v>
      </c>
      <c r="R244">
        <v>1.1979811376363099</v>
      </c>
      <c r="S244">
        <v>1.506631299734748</v>
      </c>
      <c r="T244">
        <v>0.66373239436619724</v>
      </c>
    </row>
    <row r="245" spans="1:20" x14ac:dyDescent="0.3">
      <c r="A245" s="99">
        <v>46042</v>
      </c>
      <c r="B245" t="s">
        <v>99</v>
      </c>
      <c r="C245" t="s">
        <v>391</v>
      </c>
      <c r="D245" s="100"/>
      <c r="E245" s="100"/>
      <c r="F245" s="100"/>
      <c r="G245">
        <v>74</v>
      </c>
      <c r="H245">
        <v>1158</v>
      </c>
      <c r="I245" s="100">
        <v>0.14583333333333334</v>
      </c>
      <c r="J245" s="101">
        <v>46042.291666666664</v>
      </c>
      <c r="K245" s="101">
        <v>46043.291666666664</v>
      </c>
      <c r="L245">
        <v>24</v>
      </c>
      <c r="M245">
        <v>3.5</v>
      </c>
      <c r="O245">
        <v>20.5</v>
      </c>
      <c r="P245">
        <v>1517</v>
      </c>
      <c r="Q245">
        <v>1776</v>
      </c>
      <c r="R245">
        <v>1.3100172711571676</v>
      </c>
      <c r="S245">
        <v>1.5336787564766838</v>
      </c>
      <c r="T245">
        <v>0.65202702702702708</v>
      </c>
    </row>
    <row r="246" spans="1:20" x14ac:dyDescent="0.3">
      <c r="A246" s="99">
        <v>46043</v>
      </c>
      <c r="B246" t="s">
        <v>96</v>
      </c>
      <c r="C246" t="s">
        <v>391</v>
      </c>
      <c r="D246" s="100"/>
      <c r="E246" s="100"/>
      <c r="F246" s="100"/>
      <c r="G246">
        <v>88</v>
      </c>
      <c r="H246">
        <v>1104</v>
      </c>
      <c r="I246" s="100">
        <v>0.14583333333333334</v>
      </c>
      <c r="J246" s="101">
        <v>46043.291666666664</v>
      </c>
      <c r="K246" s="101">
        <v>46044.291666666664</v>
      </c>
      <c r="L246">
        <v>24</v>
      </c>
      <c r="M246">
        <v>3.5</v>
      </c>
      <c r="O246">
        <v>20.5</v>
      </c>
      <c r="P246">
        <v>1804</v>
      </c>
      <c r="Q246">
        <v>2112</v>
      </c>
      <c r="R246">
        <v>1.6340579710144927</v>
      </c>
      <c r="S246">
        <v>1.9130434782608696</v>
      </c>
      <c r="T246">
        <v>0.52272727272727271</v>
      </c>
    </row>
    <row r="247" spans="1:20" x14ac:dyDescent="0.3">
      <c r="A247" s="99">
        <v>46043</v>
      </c>
      <c r="B247" t="s">
        <v>97</v>
      </c>
      <c r="C247" t="s">
        <v>391</v>
      </c>
      <c r="D247" s="100"/>
      <c r="E247" s="100"/>
      <c r="F247" s="100">
        <v>0.20833333333333334</v>
      </c>
      <c r="G247">
        <v>12</v>
      </c>
      <c r="H247">
        <v>953</v>
      </c>
      <c r="I247" s="100">
        <v>0.14583333333333334</v>
      </c>
      <c r="J247" s="101">
        <v>46043.291666666664</v>
      </c>
      <c r="K247" s="101">
        <v>46044.291666666664</v>
      </c>
      <c r="L247">
        <v>24</v>
      </c>
      <c r="M247">
        <v>3.5</v>
      </c>
      <c r="O247">
        <v>20.5</v>
      </c>
      <c r="P247">
        <v>246</v>
      </c>
      <c r="Q247">
        <v>288</v>
      </c>
      <c r="R247">
        <v>0.25813221406086045</v>
      </c>
      <c r="S247">
        <v>0.30220356768100737</v>
      </c>
      <c r="T247">
        <v>3.3090277777777777</v>
      </c>
    </row>
    <row r="248" spans="1:20" x14ac:dyDescent="0.3">
      <c r="A248" s="99">
        <v>46043</v>
      </c>
      <c r="B248" t="s">
        <v>98</v>
      </c>
      <c r="C248" t="s">
        <v>391</v>
      </c>
      <c r="D248" s="100">
        <v>9.7222222222222224E-2</v>
      </c>
      <c r="E248" s="100"/>
      <c r="F248" s="100"/>
      <c r="G248">
        <v>74</v>
      </c>
      <c r="H248">
        <v>1230</v>
      </c>
      <c r="I248" s="100">
        <v>0.14583333333333334</v>
      </c>
      <c r="J248" s="101">
        <v>46043.291666666664</v>
      </c>
      <c r="K248" s="101">
        <v>46044.291666666664</v>
      </c>
      <c r="L248">
        <v>24</v>
      </c>
      <c r="M248">
        <v>3.5</v>
      </c>
      <c r="N248">
        <v>2.333333333333333</v>
      </c>
      <c r="O248">
        <v>18.166666666666668</v>
      </c>
      <c r="P248">
        <v>1344.3333333333335</v>
      </c>
      <c r="Q248">
        <v>1776</v>
      </c>
      <c r="R248">
        <v>1.0929539295392956</v>
      </c>
      <c r="S248">
        <v>1.4439024390243902</v>
      </c>
      <c r="T248">
        <v>0.69256756756756754</v>
      </c>
    </row>
    <row r="249" spans="1:20" x14ac:dyDescent="0.3">
      <c r="A249" s="99">
        <v>46043</v>
      </c>
      <c r="B249" t="s">
        <v>99</v>
      </c>
      <c r="C249" t="s">
        <v>391</v>
      </c>
      <c r="D249" s="100"/>
      <c r="E249" s="100"/>
      <c r="F249" s="100"/>
      <c r="G249">
        <v>71</v>
      </c>
      <c r="H249">
        <v>1218</v>
      </c>
      <c r="I249" s="100">
        <v>0.14583333333333334</v>
      </c>
      <c r="J249" s="101">
        <v>46043.291666666664</v>
      </c>
      <c r="K249" s="101">
        <v>46044.291666666664</v>
      </c>
      <c r="L249">
        <v>24</v>
      </c>
      <c r="M249">
        <v>3.5</v>
      </c>
      <c r="O249">
        <v>20.5</v>
      </c>
      <c r="P249">
        <v>1455.5</v>
      </c>
      <c r="Q249">
        <v>1704</v>
      </c>
      <c r="R249">
        <v>1.194991789819376</v>
      </c>
      <c r="S249">
        <v>1.3990147783251232</v>
      </c>
      <c r="T249">
        <v>0.71478873239436613</v>
      </c>
    </row>
    <row r="250" spans="1:20" x14ac:dyDescent="0.3">
      <c r="A250" s="99">
        <v>46044</v>
      </c>
      <c r="B250" t="s">
        <v>96</v>
      </c>
      <c r="C250" t="s">
        <v>391</v>
      </c>
      <c r="D250" s="100"/>
      <c r="E250" s="100"/>
      <c r="F250" s="100"/>
      <c r="G250">
        <v>76</v>
      </c>
      <c r="H250">
        <v>929</v>
      </c>
      <c r="I250" s="100">
        <v>0.14583333333333334</v>
      </c>
      <c r="J250" s="101">
        <v>46044.291666666664</v>
      </c>
      <c r="K250" s="101">
        <v>46045.291666666664</v>
      </c>
      <c r="L250">
        <v>24</v>
      </c>
      <c r="M250">
        <v>3.5</v>
      </c>
      <c r="O250">
        <v>20.5</v>
      </c>
      <c r="P250">
        <v>1558</v>
      </c>
      <c r="Q250">
        <v>1824</v>
      </c>
      <c r="R250">
        <v>1.6770721205597416</v>
      </c>
      <c r="S250">
        <v>1.9634015069967707</v>
      </c>
      <c r="T250">
        <v>0.50932017543859653</v>
      </c>
    </row>
    <row r="251" spans="1:20" x14ac:dyDescent="0.3">
      <c r="A251" s="99">
        <v>46044</v>
      </c>
      <c r="B251" t="s">
        <v>97</v>
      </c>
      <c r="C251" t="s">
        <v>391</v>
      </c>
      <c r="D251" s="100">
        <v>8.3333333333333329E-2</v>
      </c>
      <c r="E251" s="100">
        <v>0.41666666666666669</v>
      </c>
      <c r="F251" s="100">
        <v>0.16666666666666666</v>
      </c>
      <c r="G251">
        <v>12</v>
      </c>
      <c r="H251">
        <v>985</v>
      </c>
      <c r="I251" s="100">
        <v>0.14583333333333334</v>
      </c>
      <c r="J251" s="101">
        <v>46044.291666666664</v>
      </c>
      <c r="K251" s="101">
        <v>46045.291666666664</v>
      </c>
      <c r="L251">
        <v>24</v>
      </c>
      <c r="M251">
        <v>3.5</v>
      </c>
      <c r="N251">
        <v>2</v>
      </c>
      <c r="O251">
        <v>18.5</v>
      </c>
      <c r="P251">
        <v>222</v>
      </c>
      <c r="Q251">
        <v>288</v>
      </c>
      <c r="R251">
        <v>0.22538071065989848</v>
      </c>
      <c r="S251">
        <v>0.29238578680203048</v>
      </c>
      <c r="T251">
        <v>3.4201388888888888</v>
      </c>
    </row>
    <row r="252" spans="1:20" x14ac:dyDescent="0.3">
      <c r="A252" s="99">
        <v>46044</v>
      </c>
      <c r="B252" t="s">
        <v>98</v>
      </c>
      <c r="C252" t="s">
        <v>391</v>
      </c>
      <c r="D252" s="100">
        <v>0.14583333333333334</v>
      </c>
      <c r="E252" s="100"/>
      <c r="F252" s="100"/>
      <c r="G252">
        <v>68</v>
      </c>
      <c r="H252">
        <v>1009</v>
      </c>
      <c r="I252" s="100">
        <v>0.14583333333333334</v>
      </c>
      <c r="J252" s="101">
        <v>46044.291666666664</v>
      </c>
      <c r="K252" s="101">
        <v>46045.291666666664</v>
      </c>
      <c r="L252">
        <v>24</v>
      </c>
      <c r="M252">
        <v>3.5</v>
      </c>
      <c r="N252">
        <v>3.5</v>
      </c>
      <c r="O252">
        <v>17</v>
      </c>
      <c r="P252">
        <v>1156</v>
      </c>
      <c r="Q252">
        <v>1632</v>
      </c>
      <c r="R252">
        <v>1.1456888007928643</v>
      </c>
      <c r="S252">
        <v>1.6174430128840436</v>
      </c>
      <c r="T252">
        <v>0.61825980392156865</v>
      </c>
    </row>
    <row r="253" spans="1:20" x14ac:dyDescent="0.3">
      <c r="A253" s="99">
        <v>46044</v>
      </c>
      <c r="B253" t="s">
        <v>99</v>
      </c>
      <c r="C253" t="s">
        <v>391</v>
      </c>
      <c r="D253" s="100">
        <v>0.10416666666666667</v>
      </c>
      <c r="E253" s="100">
        <v>0.10069444444444445</v>
      </c>
      <c r="F253" s="100"/>
      <c r="G253">
        <v>69</v>
      </c>
      <c r="H253">
        <v>1100</v>
      </c>
      <c r="I253" s="100">
        <v>0.14583333333333334</v>
      </c>
      <c r="J253" s="101">
        <v>46044.291666666664</v>
      </c>
      <c r="K253" s="101">
        <v>46045.291666666664</v>
      </c>
      <c r="L253">
        <v>24</v>
      </c>
      <c r="M253">
        <v>3.5</v>
      </c>
      <c r="N253">
        <v>2.5</v>
      </c>
      <c r="O253">
        <v>18</v>
      </c>
      <c r="P253">
        <v>1242</v>
      </c>
      <c r="Q253">
        <v>1656</v>
      </c>
      <c r="R253">
        <v>1.1290909090909091</v>
      </c>
      <c r="S253">
        <v>1.5054545454545454</v>
      </c>
      <c r="T253">
        <v>0.66425120772946866</v>
      </c>
    </row>
    <row r="254" spans="1:20" x14ac:dyDescent="0.3">
      <c r="A254" s="99">
        <v>46045</v>
      </c>
      <c r="B254" t="s">
        <v>96</v>
      </c>
      <c r="C254" t="s">
        <v>391</v>
      </c>
      <c r="D254" s="100"/>
      <c r="E254" s="100"/>
      <c r="F254" s="100"/>
      <c r="G254">
        <v>87</v>
      </c>
      <c r="H254">
        <v>1080</v>
      </c>
      <c r="I254" s="100">
        <v>0.14583333333333334</v>
      </c>
      <c r="J254" s="101">
        <v>46045.291666666664</v>
      </c>
      <c r="K254" s="101">
        <v>46046.291666666664</v>
      </c>
      <c r="L254">
        <v>24</v>
      </c>
      <c r="M254">
        <v>3.5</v>
      </c>
      <c r="O254">
        <v>20.5</v>
      </c>
      <c r="P254">
        <v>1783.5</v>
      </c>
      <c r="Q254">
        <v>2088</v>
      </c>
      <c r="R254">
        <v>1.6513888888888888</v>
      </c>
      <c r="S254">
        <v>1.9333333333333333</v>
      </c>
      <c r="T254">
        <v>0.51724137931034486</v>
      </c>
    </row>
    <row r="255" spans="1:20" x14ac:dyDescent="0.3">
      <c r="A255" s="99">
        <v>46045</v>
      </c>
      <c r="B255" t="s">
        <v>97</v>
      </c>
      <c r="C255" t="s">
        <v>391</v>
      </c>
      <c r="D255" s="100"/>
      <c r="E255" s="100">
        <v>0.41666666666666669</v>
      </c>
      <c r="F255" s="100"/>
      <c r="G255">
        <v>11</v>
      </c>
      <c r="H255">
        <v>1055</v>
      </c>
      <c r="I255" s="100">
        <v>0.14583333333333334</v>
      </c>
      <c r="J255" s="101">
        <v>46045.291666666664</v>
      </c>
      <c r="K255" s="101">
        <v>46046.291666666664</v>
      </c>
      <c r="L255">
        <v>24</v>
      </c>
      <c r="M255">
        <v>3.5</v>
      </c>
      <c r="O255">
        <v>20.5</v>
      </c>
      <c r="P255">
        <v>225.5</v>
      </c>
      <c r="Q255">
        <v>264</v>
      </c>
      <c r="R255">
        <v>0.21374407582938387</v>
      </c>
      <c r="S255">
        <v>0.25023696682464452</v>
      </c>
      <c r="T255">
        <v>3.9962121212121215</v>
      </c>
    </row>
    <row r="256" spans="1:20" x14ac:dyDescent="0.3">
      <c r="A256" s="99">
        <v>46045</v>
      </c>
      <c r="B256" t="s">
        <v>98</v>
      </c>
      <c r="C256" t="s">
        <v>391</v>
      </c>
      <c r="D256" s="100">
        <v>9.7222222222222224E-2</v>
      </c>
      <c r="E256" s="100"/>
      <c r="F256" s="100"/>
      <c r="G256">
        <v>72</v>
      </c>
      <c r="H256">
        <v>977</v>
      </c>
      <c r="I256" s="100">
        <v>0.14583333333333334</v>
      </c>
      <c r="J256" s="101">
        <v>46045.291666666664</v>
      </c>
      <c r="K256" s="101">
        <v>46046.291666666664</v>
      </c>
      <c r="L256">
        <v>24</v>
      </c>
      <c r="M256">
        <v>3.5</v>
      </c>
      <c r="N256">
        <v>2.333333333333333</v>
      </c>
      <c r="O256">
        <v>18.166666666666668</v>
      </c>
      <c r="P256">
        <v>1308</v>
      </c>
      <c r="Q256">
        <v>1728</v>
      </c>
      <c r="R256">
        <v>1.3387922210849539</v>
      </c>
      <c r="S256">
        <v>1.7686796315250768</v>
      </c>
      <c r="T256">
        <v>0.56539351851851849</v>
      </c>
    </row>
    <row r="257" spans="1:20" x14ac:dyDescent="0.3">
      <c r="A257" s="99">
        <v>46045</v>
      </c>
      <c r="B257" t="s">
        <v>99</v>
      </c>
      <c r="C257" t="s">
        <v>391</v>
      </c>
      <c r="D257" s="100"/>
      <c r="E257" s="100"/>
      <c r="F257" s="100"/>
      <c r="G257">
        <v>72</v>
      </c>
      <c r="H257">
        <v>1068</v>
      </c>
      <c r="I257" s="100">
        <v>0.14583333333333334</v>
      </c>
      <c r="J257" s="101">
        <v>46045.291666666664</v>
      </c>
      <c r="K257" s="101">
        <v>46046.291666666664</v>
      </c>
      <c r="L257">
        <v>24</v>
      </c>
      <c r="M257">
        <v>3.5</v>
      </c>
      <c r="O257">
        <v>20.5</v>
      </c>
      <c r="P257">
        <v>1476</v>
      </c>
      <c r="Q257">
        <v>1728</v>
      </c>
      <c r="R257">
        <v>1.3820224719101124</v>
      </c>
      <c r="S257">
        <v>1.6179775280898876</v>
      </c>
      <c r="T257">
        <v>0.61805555555555558</v>
      </c>
    </row>
    <row r="258" spans="1:20" x14ac:dyDescent="0.3">
      <c r="A258" s="99">
        <v>46046</v>
      </c>
      <c r="B258" t="s">
        <v>96</v>
      </c>
      <c r="C258" t="s">
        <v>391</v>
      </c>
      <c r="D258" s="100"/>
      <c r="E258" s="100"/>
      <c r="F258" s="100"/>
      <c r="G258">
        <v>85</v>
      </c>
      <c r="H258">
        <v>999</v>
      </c>
      <c r="I258" s="100">
        <v>0.14583333333333334</v>
      </c>
      <c r="J258" s="101">
        <v>46046.291666666664</v>
      </c>
      <c r="K258" s="101">
        <v>46047.291666666664</v>
      </c>
      <c r="L258">
        <v>24</v>
      </c>
      <c r="M258">
        <v>3.5</v>
      </c>
      <c r="O258">
        <v>20.5</v>
      </c>
      <c r="P258">
        <v>1742.5</v>
      </c>
      <c r="Q258">
        <v>2040</v>
      </c>
      <c r="R258">
        <v>1.7442442442442443</v>
      </c>
      <c r="S258">
        <v>2.0420420420420422</v>
      </c>
      <c r="T258">
        <v>0.48970588235294116</v>
      </c>
    </row>
    <row r="259" spans="1:20" x14ac:dyDescent="0.3">
      <c r="A259" s="99">
        <v>46046</v>
      </c>
      <c r="B259" t="s">
        <v>97</v>
      </c>
      <c r="C259" t="s">
        <v>391</v>
      </c>
      <c r="D259" s="100">
        <v>6.9444444444444448E-2</v>
      </c>
      <c r="E259" s="100">
        <v>0.54166666666666663</v>
      </c>
      <c r="F259" s="100"/>
      <c r="G259">
        <v>12</v>
      </c>
      <c r="H259">
        <v>1057</v>
      </c>
      <c r="I259" s="100">
        <v>0.14583333333333334</v>
      </c>
      <c r="J259" s="101">
        <v>46046.291666666664</v>
      </c>
      <c r="K259" s="101">
        <v>46047.291666666664</v>
      </c>
      <c r="L259">
        <v>24</v>
      </c>
      <c r="M259">
        <v>3.5</v>
      </c>
      <c r="N259">
        <v>1.6666666666666665</v>
      </c>
      <c r="O259">
        <v>18.833333333333332</v>
      </c>
      <c r="P259">
        <v>226</v>
      </c>
      <c r="Q259">
        <v>288</v>
      </c>
      <c r="R259">
        <v>0.21381267738883633</v>
      </c>
      <c r="S259">
        <v>0.27246925260170296</v>
      </c>
      <c r="T259">
        <v>3.6701388888888884</v>
      </c>
    </row>
    <row r="260" spans="1:20" x14ac:dyDescent="0.3">
      <c r="A260" s="99">
        <v>46046</v>
      </c>
      <c r="B260" t="s">
        <v>98</v>
      </c>
      <c r="C260" t="s">
        <v>391</v>
      </c>
      <c r="D260" s="100"/>
      <c r="E260" s="100"/>
      <c r="F260" s="100"/>
      <c r="G260">
        <v>70</v>
      </c>
      <c r="H260">
        <v>1102</v>
      </c>
      <c r="I260" s="100">
        <v>0.14583333333333334</v>
      </c>
      <c r="J260" s="101">
        <v>46046.291666666664</v>
      </c>
      <c r="K260" s="101">
        <v>46047.291666666664</v>
      </c>
      <c r="L260">
        <v>24</v>
      </c>
      <c r="M260">
        <v>3.5</v>
      </c>
      <c r="O260">
        <v>20.5</v>
      </c>
      <c r="P260">
        <v>1435</v>
      </c>
      <c r="Q260">
        <v>1680</v>
      </c>
      <c r="R260">
        <v>1.3021778584392014</v>
      </c>
      <c r="S260">
        <v>1.5245009074410163</v>
      </c>
      <c r="T260">
        <v>0.65595238095238095</v>
      </c>
    </row>
    <row r="261" spans="1:20" x14ac:dyDescent="0.3">
      <c r="A261" s="99">
        <v>46046</v>
      </c>
      <c r="B261" t="s">
        <v>99</v>
      </c>
      <c r="C261" t="s">
        <v>391</v>
      </c>
      <c r="D261" s="100"/>
      <c r="E261" s="100"/>
      <c r="F261" s="100"/>
      <c r="G261">
        <v>71</v>
      </c>
      <c r="H261">
        <v>1111</v>
      </c>
      <c r="I261" s="100">
        <v>0.14583333333333334</v>
      </c>
      <c r="J261" s="101">
        <v>46046.291666666664</v>
      </c>
      <c r="K261" s="101">
        <v>46047.291666666664</v>
      </c>
      <c r="L261">
        <v>24</v>
      </c>
      <c r="M261">
        <v>3.5</v>
      </c>
      <c r="O261">
        <v>20.5</v>
      </c>
      <c r="P261">
        <v>1455.5</v>
      </c>
      <c r="Q261">
        <v>1704</v>
      </c>
      <c r="R261">
        <v>1.3100810081008101</v>
      </c>
      <c r="S261">
        <v>1.5337533753375339</v>
      </c>
      <c r="T261">
        <v>0.65199530516431925</v>
      </c>
    </row>
    <row r="262" spans="1:20" x14ac:dyDescent="0.3">
      <c r="A262" s="99">
        <v>46047</v>
      </c>
      <c r="B262" t="s">
        <v>97</v>
      </c>
      <c r="C262" t="s">
        <v>391</v>
      </c>
      <c r="D262" s="100"/>
      <c r="E262" s="100"/>
      <c r="F262" s="100"/>
      <c r="G262">
        <v>1</v>
      </c>
      <c r="H262">
        <v>15</v>
      </c>
      <c r="I262" s="100">
        <v>6.25E-2</v>
      </c>
      <c r="J262" s="101">
        <v>46047.291666666664</v>
      </c>
      <c r="K262" s="101">
        <v>46047.708333333336</v>
      </c>
      <c r="L262">
        <v>10</v>
      </c>
      <c r="M262">
        <v>1.5</v>
      </c>
      <c r="O262">
        <v>8.5</v>
      </c>
      <c r="P262">
        <v>8.5</v>
      </c>
      <c r="Q262">
        <v>10</v>
      </c>
      <c r="R262">
        <v>0.56666666666666665</v>
      </c>
      <c r="S262">
        <v>0.66666666666666663</v>
      </c>
      <c r="T262">
        <v>1.5</v>
      </c>
    </row>
    <row r="263" spans="1:20" x14ac:dyDescent="0.3">
      <c r="A263" s="99">
        <v>46047</v>
      </c>
      <c r="B263" t="s">
        <v>98</v>
      </c>
      <c r="C263" t="s">
        <v>391</v>
      </c>
      <c r="D263" s="100"/>
      <c r="E263" s="100"/>
      <c r="F263" s="100"/>
      <c r="G263">
        <v>36</v>
      </c>
      <c r="H263">
        <v>252</v>
      </c>
      <c r="I263" s="100">
        <v>6.25E-2</v>
      </c>
      <c r="J263" s="101">
        <v>46047.291666666664</v>
      </c>
      <c r="K263" s="101">
        <v>46047.708333333336</v>
      </c>
      <c r="L263">
        <v>10</v>
      </c>
      <c r="M263">
        <v>1.5</v>
      </c>
      <c r="O263">
        <v>8.5</v>
      </c>
      <c r="P263">
        <v>306</v>
      </c>
      <c r="Q263">
        <v>360</v>
      </c>
      <c r="R263">
        <v>1.2142857142857142</v>
      </c>
      <c r="S263">
        <v>1.4285714285714286</v>
      </c>
      <c r="T263">
        <v>0.7</v>
      </c>
    </row>
    <row r="264" spans="1:20" x14ac:dyDescent="0.3">
      <c r="A264" s="99">
        <v>46047</v>
      </c>
      <c r="B264" t="s">
        <v>99</v>
      </c>
      <c r="C264" t="s">
        <v>391</v>
      </c>
      <c r="D264" s="100"/>
      <c r="E264" s="100">
        <v>4.1666666666666664E-2</v>
      </c>
      <c r="F264" s="100"/>
      <c r="G264">
        <v>37</v>
      </c>
      <c r="H264">
        <v>336</v>
      </c>
      <c r="I264" s="100">
        <v>6.25E-2</v>
      </c>
      <c r="J264" s="101">
        <v>46047.291666666664</v>
      </c>
      <c r="K264" s="101">
        <v>46047.708333333336</v>
      </c>
      <c r="L264">
        <v>10</v>
      </c>
      <c r="M264">
        <v>1.5</v>
      </c>
      <c r="O264">
        <v>8.5</v>
      </c>
      <c r="P264">
        <v>314.5</v>
      </c>
      <c r="Q264">
        <v>370</v>
      </c>
      <c r="R264">
        <v>0.93601190476190477</v>
      </c>
      <c r="S264">
        <v>1.1011904761904763</v>
      </c>
      <c r="T264">
        <v>0.90810810810810805</v>
      </c>
    </row>
    <row r="265" spans="1:20" x14ac:dyDescent="0.3">
      <c r="A265" s="99">
        <v>46048</v>
      </c>
      <c r="B265" t="s">
        <v>96</v>
      </c>
      <c r="C265" t="s">
        <v>391</v>
      </c>
      <c r="D265" s="100"/>
      <c r="E265" s="100"/>
      <c r="F265" s="100"/>
      <c r="G265">
        <v>93</v>
      </c>
      <c r="H265">
        <v>759</v>
      </c>
      <c r="I265" s="100">
        <v>0.14583333333333334</v>
      </c>
      <c r="J265" s="101">
        <v>46048.291666666664</v>
      </c>
      <c r="K265" s="101">
        <v>46049.291666666664</v>
      </c>
      <c r="L265">
        <v>24</v>
      </c>
      <c r="M265">
        <v>3.5</v>
      </c>
      <c r="O265">
        <v>20.5</v>
      </c>
      <c r="P265">
        <v>1906.5</v>
      </c>
      <c r="Q265">
        <v>2232</v>
      </c>
      <c r="R265">
        <v>2.5118577075098814</v>
      </c>
      <c r="S265">
        <v>2.9407114624505928</v>
      </c>
      <c r="T265">
        <v>0.34005376344086025</v>
      </c>
    </row>
    <row r="266" spans="1:20" x14ac:dyDescent="0.3">
      <c r="A266" s="99">
        <v>46048</v>
      </c>
      <c r="B266" t="s">
        <v>97</v>
      </c>
      <c r="C266" t="s">
        <v>391</v>
      </c>
      <c r="D266" s="100"/>
      <c r="E266" s="100">
        <v>0.375</v>
      </c>
      <c r="F266" s="100">
        <v>0.3125</v>
      </c>
      <c r="G266">
        <v>12</v>
      </c>
      <c r="H266">
        <v>911</v>
      </c>
      <c r="I266" s="100">
        <v>0.14583333333333334</v>
      </c>
      <c r="J266" s="101">
        <v>46048.291666666664</v>
      </c>
      <c r="K266" s="101">
        <v>46049.291666666664</v>
      </c>
      <c r="L266">
        <v>24</v>
      </c>
      <c r="M266">
        <v>3.5</v>
      </c>
      <c r="O266">
        <v>20.5</v>
      </c>
      <c r="P266">
        <v>246</v>
      </c>
      <c r="Q266">
        <v>288</v>
      </c>
      <c r="R266">
        <v>0.27003293084522501</v>
      </c>
      <c r="S266">
        <v>0.31613611416026344</v>
      </c>
      <c r="T266">
        <v>3.1631944444444446</v>
      </c>
    </row>
    <row r="267" spans="1:20" x14ac:dyDescent="0.3">
      <c r="A267" s="99">
        <v>46048</v>
      </c>
      <c r="B267" t="s">
        <v>98</v>
      </c>
      <c r="C267" t="s">
        <v>391</v>
      </c>
      <c r="D267" s="100">
        <v>0.12847222222222221</v>
      </c>
      <c r="E267" s="100"/>
      <c r="F267" s="100"/>
      <c r="G267">
        <v>67</v>
      </c>
      <c r="H267">
        <v>860</v>
      </c>
      <c r="I267" s="100">
        <v>0.14583333333333334</v>
      </c>
      <c r="J267" s="101">
        <v>46048.291666666664</v>
      </c>
      <c r="K267" s="101">
        <v>46049.291666666664</v>
      </c>
      <c r="L267">
        <v>24</v>
      </c>
      <c r="M267">
        <v>3.5</v>
      </c>
      <c r="N267">
        <v>3.083333333333333</v>
      </c>
      <c r="O267">
        <v>17.416666666666668</v>
      </c>
      <c r="P267">
        <v>1166.9166666666667</v>
      </c>
      <c r="Q267">
        <v>1608</v>
      </c>
      <c r="R267">
        <v>1.3568798449612405</v>
      </c>
      <c r="S267">
        <v>1.8697674418604651</v>
      </c>
      <c r="T267">
        <v>0.53482587064676623</v>
      </c>
    </row>
    <row r="268" spans="1:20" x14ac:dyDescent="0.3">
      <c r="A268" s="99">
        <v>46048</v>
      </c>
      <c r="B268" t="s">
        <v>99</v>
      </c>
      <c r="C268" t="s">
        <v>391</v>
      </c>
      <c r="D268" s="100">
        <v>4.1666666666666664E-2</v>
      </c>
      <c r="E268" s="100"/>
      <c r="F268" s="100"/>
      <c r="G268">
        <v>71</v>
      </c>
      <c r="H268">
        <v>810</v>
      </c>
      <c r="I268" s="100">
        <v>0.14583333333333334</v>
      </c>
      <c r="J268" s="101">
        <v>46048.291666666664</v>
      </c>
      <c r="K268" s="101">
        <v>46049.291666666664</v>
      </c>
      <c r="L268">
        <v>24</v>
      </c>
      <c r="M268">
        <v>3.5</v>
      </c>
      <c r="N268">
        <v>1</v>
      </c>
      <c r="O268">
        <v>19.5</v>
      </c>
      <c r="P268">
        <v>1384.5</v>
      </c>
      <c r="Q268">
        <v>1704</v>
      </c>
      <c r="R268">
        <v>1.7092592592592593</v>
      </c>
      <c r="S268">
        <v>2.1037037037037036</v>
      </c>
      <c r="T268">
        <v>0.47535211267605637</v>
      </c>
    </row>
    <row r="269" spans="1:20" x14ac:dyDescent="0.3">
      <c r="A269" s="99">
        <v>46049</v>
      </c>
      <c r="B269" t="s">
        <v>96</v>
      </c>
      <c r="C269" t="s">
        <v>391</v>
      </c>
      <c r="D269" s="100"/>
      <c r="E269" s="100"/>
      <c r="F269" s="100"/>
      <c r="G269">
        <v>91</v>
      </c>
      <c r="H269">
        <v>1093</v>
      </c>
      <c r="I269" s="100">
        <v>0.14583333333333334</v>
      </c>
      <c r="J269" s="101">
        <v>46049.291666666664</v>
      </c>
      <c r="K269" s="101">
        <v>46050.291666666664</v>
      </c>
      <c r="L269">
        <v>24</v>
      </c>
      <c r="M269">
        <v>3.5</v>
      </c>
      <c r="O269">
        <v>20.5</v>
      </c>
      <c r="P269">
        <v>1865.5</v>
      </c>
      <c r="Q269">
        <v>2184</v>
      </c>
      <c r="R269">
        <v>1.7067703568161026</v>
      </c>
      <c r="S269">
        <v>1.9981701738334858</v>
      </c>
      <c r="T269">
        <v>0.50045787545787546</v>
      </c>
    </row>
    <row r="270" spans="1:20" x14ac:dyDescent="0.3">
      <c r="A270" s="99">
        <v>46049</v>
      </c>
      <c r="B270" t="s">
        <v>97</v>
      </c>
      <c r="C270" t="s">
        <v>391</v>
      </c>
      <c r="D270" s="100">
        <v>8.3333333333333329E-2</v>
      </c>
      <c r="E270" s="100"/>
      <c r="F270" s="100"/>
      <c r="G270">
        <v>13</v>
      </c>
      <c r="H270">
        <v>1145</v>
      </c>
      <c r="I270" s="100">
        <v>0.14583333333333334</v>
      </c>
      <c r="J270" s="101">
        <v>46049.291666666664</v>
      </c>
      <c r="K270" s="101">
        <v>46050.291666666664</v>
      </c>
      <c r="L270">
        <v>24</v>
      </c>
      <c r="M270">
        <v>3.5</v>
      </c>
      <c r="N270">
        <v>2</v>
      </c>
      <c r="O270">
        <v>18.5</v>
      </c>
      <c r="P270">
        <v>240.5</v>
      </c>
      <c r="Q270">
        <v>312</v>
      </c>
      <c r="R270">
        <v>0.21004366812227074</v>
      </c>
      <c r="S270">
        <v>0.27248908296943231</v>
      </c>
      <c r="T270">
        <v>3.6698717948717952</v>
      </c>
    </row>
    <row r="271" spans="1:20" x14ac:dyDescent="0.3">
      <c r="A271" s="99">
        <v>46049</v>
      </c>
      <c r="B271" t="s">
        <v>98</v>
      </c>
      <c r="C271" t="s">
        <v>391</v>
      </c>
      <c r="D271" s="100">
        <v>6.9444444444444448E-2</v>
      </c>
      <c r="E271" s="100"/>
      <c r="F271" s="100"/>
      <c r="G271">
        <v>72</v>
      </c>
      <c r="H271">
        <v>995</v>
      </c>
      <c r="I271" s="100">
        <v>0.14583333333333334</v>
      </c>
      <c r="J271" s="101">
        <v>46049.291666666664</v>
      </c>
      <c r="K271" s="101">
        <v>46050.291666666664</v>
      </c>
      <c r="L271">
        <v>24</v>
      </c>
      <c r="M271">
        <v>3.5</v>
      </c>
      <c r="N271">
        <v>1.6666666666666665</v>
      </c>
      <c r="O271">
        <v>18.833333333333332</v>
      </c>
      <c r="P271">
        <v>1356</v>
      </c>
      <c r="Q271">
        <v>1728</v>
      </c>
      <c r="R271">
        <v>1.3628140703517588</v>
      </c>
      <c r="S271">
        <v>1.7366834170854271</v>
      </c>
      <c r="T271">
        <v>0.57581018518518523</v>
      </c>
    </row>
    <row r="272" spans="1:20" x14ac:dyDescent="0.3">
      <c r="A272" s="99">
        <v>46049</v>
      </c>
      <c r="B272" t="s">
        <v>99</v>
      </c>
      <c r="C272" t="s">
        <v>391</v>
      </c>
      <c r="D272" s="100"/>
      <c r="E272" s="100">
        <v>4.1666666666666664E-2</v>
      </c>
      <c r="F272" s="100"/>
      <c r="G272">
        <v>69</v>
      </c>
      <c r="H272">
        <v>945</v>
      </c>
      <c r="I272" s="100">
        <v>0.14583333333333334</v>
      </c>
      <c r="J272" s="101">
        <v>46049.291666666664</v>
      </c>
      <c r="K272" s="101">
        <v>46050.291666666664</v>
      </c>
      <c r="L272">
        <v>24</v>
      </c>
      <c r="M272">
        <v>3.5</v>
      </c>
      <c r="O272">
        <v>20.5</v>
      </c>
      <c r="P272">
        <v>1414.5</v>
      </c>
      <c r="Q272">
        <v>1656</v>
      </c>
      <c r="R272">
        <v>1.4968253968253968</v>
      </c>
      <c r="S272">
        <v>1.7523809523809524</v>
      </c>
      <c r="T272">
        <v>0.57065217391304346</v>
      </c>
    </row>
    <row r="273" spans="1:20" x14ac:dyDescent="0.3">
      <c r="A273" s="99">
        <v>46050</v>
      </c>
      <c r="B273" t="s">
        <v>96</v>
      </c>
      <c r="C273" t="s">
        <v>391</v>
      </c>
      <c r="D273" s="100"/>
      <c r="E273" s="100">
        <v>0.26041666666666669</v>
      </c>
      <c r="F273" s="100"/>
      <c r="G273">
        <v>88</v>
      </c>
      <c r="H273">
        <v>906</v>
      </c>
      <c r="I273" s="100">
        <v>0.14583333333333334</v>
      </c>
      <c r="J273" s="101">
        <v>46050.291666666664</v>
      </c>
      <c r="K273" s="101">
        <v>46051.291666666664</v>
      </c>
      <c r="L273">
        <v>24</v>
      </c>
      <c r="M273">
        <v>3.5</v>
      </c>
      <c r="O273">
        <v>20.5</v>
      </c>
      <c r="P273">
        <v>1804</v>
      </c>
      <c r="Q273">
        <v>2112</v>
      </c>
      <c r="R273">
        <v>1.9911699779249448</v>
      </c>
      <c r="S273">
        <v>2.3311258278145695</v>
      </c>
      <c r="T273">
        <v>0.42897727272727276</v>
      </c>
    </row>
    <row r="274" spans="1:20" x14ac:dyDescent="0.3">
      <c r="A274" s="99">
        <v>46050</v>
      </c>
      <c r="B274" t="s">
        <v>97</v>
      </c>
      <c r="C274" t="s">
        <v>391</v>
      </c>
      <c r="D274" s="100"/>
      <c r="E274" s="100">
        <v>0.16666666666666666</v>
      </c>
      <c r="F274" s="100">
        <v>8.3333333333333329E-2</v>
      </c>
      <c r="G274">
        <v>12</v>
      </c>
      <c r="H274">
        <v>1091</v>
      </c>
      <c r="I274" s="100">
        <v>0.14583333333333334</v>
      </c>
      <c r="J274" s="101">
        <v>46050.291666666664</v>
      </c>
      <c r="K274" s="101">
        <v>46051.291666666664</v>
      </c>
      <c r="L274">
        <v>24</v>
      </c>
      <c r="M274">
        <v>3.5</v>
      </c>
      <c r="O274">
        <v>20.5</v>
      </c>
      <c r="P274">
        <v>246</v>
      </c>
      <c r="Q274">
        <v>288</v>
      </c>
      <c r="R274">
        <v>0.22548120989917506</v>
      </c>
      <c r="S274">
        <v>0.26397800183318054</v>
      </c>
      <c r="T274">
        <v>3.7881944444444446</v>
      </c>
    </row>
    <row r="275" spans="1:20" x14ac:dyDescent="0.3">
      <c r="A275" s="99">
        <v>46050</v>
      </c>
      <c r="B275" t="s">
        <v>98</v>
      </c>
      <c r="C275" t="s">
        <v>391</v>
      </c>
      <c r="D275" s="100">
        <v>8.3333333333333329E-2</v>
      </c>
      <c r="E275" s="100"/>
      <c r="F275" s="100"/>
      <c r="G275">
        <v>73</v>
      </c>
      <c r="H275">
        <v>1098</v>
      </c>
      <c r="I275" s="100">
        <v>0.14583333333333334</v>
      </c>
      <c r="J275" s="101">
        <v>46050.291666666664</v>
      </c>
      <c r="K275" s="101">
        <v>46051.291666666664</v>
      </c>
      <c r="L275">
        <v>24</v>
      </c>
      <c r="M275">
        <v>3.5</v>
      </c>
      <c r="N275">
        <v>2</v>
      </c>
      <c r="O275">
        <v>18.5</v>
      </c>
      <c r="P275">
        <v>1350.5</v>
      </c>
      <c r="Q275">
        <v>1752</v>
      </c>
      <c r="R275">
        <v>1.2299635701275045</v>
      </c>
      <c r="S275">
        <v>1.5956284153005464</v>
      </c>
      <c r="T275">
        <v>0.62671232876712324</v>
      </c>
    </row>
    <row r="276" spans="1:20" x14ac:dyDescent="0.3">
      <c r="A276" s="99">
        <v>46050</v>
      </c>
      <c r="B276" t="s">
        <v>99</v>
      </c>
      <c r="C276" t="s">
        <v>391</v>
      </c>
      <c r="D276" s="100"/>
      <c r="E276" s="100"/>
      <c r="F276" s="100"/>
      <c r="G276">
        <v>72</v>
      </c>
      <c r="H276">
        <v>1170</v>
      </c>
      <c r="I276" s="100">
        <v>0.14583333333333334</v>
      </c>
      <c r="J276" s="101">
        <v>46050.291666666664</v>
      </c>
      <c r="K276" s="101">
        <v>46051.291666666664</v>
      </c>
      <c r="L276">
        <v>24</v>
      </c>
      <c r="M276">
        <v>3.5</v>
      </c>
      <c r="O276">
        <v>20.5</v>
      </c>
      <c r="P276">
        <v>1476</v>
      </c>
      <c r="Q276">
        <v>1728</v>
      </c>
      <c r="R276">
        <v>1.2615384615384615</v>
      </c>
      <c r="S276">
        <v>1.476923076923077</v>
      </c>
      <c r="T276">
        <v>0.67708333333333326</v>
      </c>
    </row>
    <row r="277" spans="1:20" x14ac:dyDescent="0.3">
      <c r="A277" s="99">
        <v>46051</v>
      </c>
      <c r="B277" t="s">
        <v>96</v>
      </c>
      <c r="C277" t="s">
        <v>391</v>
      </c>
      <c r="D277" s="100"/>
      <c r="E277" s="100">
        <v>1.0416666666666666E-2</v>
      </c>
      <c r="F277" s="100"/>
      <c r="G277">
        <v>88</v>
      </c>
      <c r="H277">
        <v>1036</v>
      </c>
      <c r="I277" s="100">
        <v>0.14583333333333334</v>
      </c>
      <c r="J277" s="101">
        <v>46051.291666666664</v>
      </c>
      <c r="K277" s="101">
        <v>46052.291666666664</v>
      </c>
      <c r="L277">
        <v>24</v>
      </c>
      <c r="M277">
        <v>3.5</v>
      </c>
      <c r="O277">
        <v>20.5</v>
      </c>
      <c r="P277">
        <v>1804</v>
      </c>
      <c r="Q277">
        <v>2112</v>
      </c>
      <c r="R277">
        <v>1.7413127413127414</v>
      </c>
      <c r="S277">
        <v>2.0386100386100385</v>
      </c>
      <c r="T277">
        <v>0.49053030303030304</v>
      </c>
    </row>
    <row r="278" spans="1:20" x14ac:dyDescent="0.3">
      <c r="A278" s="99">
        <v>46051</v>
      </c>
      <c r="B278" t="s">
        <v>97</v>
      </c>
      <c r="C278" t="s">
        <v>391</v>
      </c>
      <c r="D278" s="100"/>
      <c r="E278" s="100">
        <v>0.45833333333333331</v>
      </c>
      <c r="F278" s="100"/>
      <c r="G278">
        <v>12</v>
      </c>
      <c r="H278">
        <v>1033</v>
      </c>
      <c r="I278" s="100">
        <v>0.14583333333333334</v>
      </c>
      <c r="J278" s="101">
        <v>46051.291666666664</v>
      </c>
      <c r="K278" s="101">
        <v>46052.291666666664</v>
      </c>
      <c r="L278">
        <v>24</v>
      </c>
      <c r="M278">
        <v>3.5</v>
      </c>
      <c r="O278">
        <v>20.5</v>
      </c>
      <c r="P278">
        <v>246</v>
      </c>
      <c r="Q278">
        <v>288</v>
      </c>
      <c r="R278">
        <v>0.23814133591481124</v>
      </c>
      <c r="S278">
        <v>0.27879961277831561</v>
      </c>
      <c r="T278">
        <v>3.5868055555555554</v>
      </c>
    </row>
    <row r="279" spans="1:20" x14ac:dyDescent="0.3">
      <c r="A279" s="99">
        <v>46051</v>
      </c>
      <c r="B279" t="s">
        <v>98</v>
      </c>
      <c r="C279" t="s">
        <v>391</v>
      </c>
      <c r="D279" s="100">
        <v>6.5972222222222224E-2</v>
      </c>
      <c r="E279" s="100"/>
      <c r="F279" s="100"/>
      <c r="G279">
        <v>73</v>
      </c>
      <c r="H279">
        <v>1117</v>
      </c>
      <c r="I279" s="100">
        <v>0.14583333333333334</v>
      </c>
      <c r="J279" s="101">
        <v>46051.291666666664</v>
      </c>
      <c r="K279" s="101">
        <v>46052.291666666664</v>
      </c>
      <c r="L279">
        <v>24</v>
      </c>
      <c r="M279">
        <v>3.5</v>
      </c>
      <c r="N279">
        <v>1.5833333333333333</v>
      </c>
      <c r="O279">
        <v>18.916666666666668</v>
      </c>
      <c r="P279">
        <v>1380.9166666666667</v>
      </c>
      <c r="Q279">
        <v>1752</v>
      </c>
      <c r="R279">
        <v>1.2362727544016712</v>
      </c>
      <c r="S279">
        <v>1.5684870188003581</v>
      </c>
      <c r="T279">
        <v>0.63755707762557079</v>
      </c>
    </row>
    <row r="280" spans="1:20" x14ac:dyDescent="0.3">
      <c r="A280" s="99">
        <v>46051</v>
      </c>
      <c r="B280" t="s">
        <v>99</v>
      </c>
      <c r="C280" t="s">
        <v>391</v>
      </c>
      <c r="D280" s="100"/>
      <c r="E280" s="100"/>
      <c r="F280" s="100"/>
      <c r="G280">
        <v>69</v>
      </c>
      <c r="H280">
        <v>1059</v>
      </c>
      <c r="I280" s="100">
        <v>0.14583333333333334</v>
      </c>
      <c r="J280" s="101">
        <v>46051.291666666664</v>
      </c>
      <c r="K280" s="101">
        <v>46052.291666666664</v>
      </c>
      <c r="L280">
        <v>24</v>
      </c>
      <c r="M280">
        <v>3.5</v>
      </c>
      <c r="O280">
        <v>20.5</v>
      </c>
      <c r="P280">
        <v>1414.5</v>
      </c>
      <c r="Q280">
        <v>1656</v>
      </c>
      <c r="R280">
        <v>1.3356940509915014</v>
      </c>
      <c r="S280">
        <v>1.5637393767705383</v>
      </c>
      <c r="T280">
        <v>0.63949275362318836</v>
      </c>
    </row>
    <row r="281" spans="1:20" x14ac:dyDescent="0.3">
      <c r="A281" s="99">
        <v>46052</v>
      </c>
      <c r="B281" t="s">
        <v>96</v>
      </c>
      <c r="C281" t="s">
        <v>391</v>
      </c>
      <c r="D281" s="100"/>
      <c r="E281" s="100">
        <v>0.20833333333333334</v>
      </c>
      <c r="F281" s="100"/>
      <c r="G281">
        <v>86</v>
      </c>
      <c r="H281">
        <v>933</v>
      </c>
      <c r="I281" s="100">
        <v>0.14583333333333334</v>
      </c>
      <c r="J281" s="101">
        <v>46052.291666666664</v>
      </c>
      <c r="K281" s="101">
        <v>46053.291666666664</v>
      </c>
      <c r="L281">
        <v>24</v>
      </c>
      <c r="M281">
        <v>3.5</v>
      </c>
      <c r="O281">
        <v>20.5</v>
      </c>
      <c r="P281">
        <v>1763</v>
      </c>
      <c r="Q281">
        <v>2064</v>
      </c>
      <c r="R281">
        <v>1.8896034297963558</v>
      </c>
      <c r="S281">
        <v>2.212218649517685</v>
      </c>
      <c r="T281">
        <v>0.4520348837209302</v>
      </c>
    </row>
    <row r="282" spans="1:20" x14ac:dyDescent="0.3">
      <c r="A282" s="99">
        <v>46052</v>
      </c>
      <c r="B282" t="s">
        <v>97</v>
      </c>
      <c r="C282" t="s">
        <v>391</v>
      </c>
      <c r="D282" s="100"/>
      <c r="E282" s="100">
        <v>0.33333333333333331</v>
      </c>
      <c r="F282" s="100">
        <v>0.12152777777777778</v>
      </c>
      <c r="G282">
        <v>12</v>
      </c>
      <c r="H282">
        <v>939</v>
      </c>
      <c r="I282" s="100">
        <v>0.14583333333333334</v>
      </c>
      <c r="J282" s="101">
        <v>46052.291666666664</v>
      </c>
      <c r="K282" s="101">
        <v>46053.291666666664</v>
      </c>
      <c r="L282">
        <v>24</v>
      </c>
      <c r="M282">
        <v>3.5</v>
      </c>
      <c r="O282">
        <v>20.5</v>
      </c>
      <c r="P282">
        <v>246</v>
      </c>
      <c r="Q282">
        <v>288</v>
      </c>
      <c r="R282">
        <v>0.26198083067092653</v>
      </c>
      <c r="S282">
        <v>0.30670926517571884</v>
      </c>
      <c r="T282">
        <v>3.260416666666667</v>
      </c>
    </row>
    <row r="283" spans="1:20" x14ac:dyDescent="0.3">
      <c r="A283" s="99">
        <v>46052</v>
      </c>
      <c r="B283" t="s">
        <v>98</v>
      </c>
      <c r="C283" t="s">
        <v>391</v>
      </c>
      <c r="D283" s="100">
        <v>7.2916666666666671E-2</v>
      </c>
      <c r="E283" s="100"/>
      <c r="F283" s="100"/>
      <c r="G283">
        <v>74</v>
      </c>
      <c r="H283">
        <v>995</v>
      </c>
      <c r="I283" s="100">
        <v>0.14583333333333334</v>
      </c>
      <c r="J283" s="101">
        <v>46052.291666666664</v>
      </c>
      <c r="K283" s="101">
        <v>46053.291666666664</v>
      </c>
      <c r="L283">
        <v>24</v>
      </c>
      <c r="M283">
        <v>3.5</v>
      </c>
      <c r="N283">
        <v>1.75</v>
      </c>
      <c r="O283">
        <v>18.75</v>
      </c>
      <c r="P283">
        <v>1387.5</v>
      </c>
      <c r="Q283">
        <v>1776</v>
      </c>
      <c r="R283">
        <v>1.3944723618090453</v>
      </c>
      <c r="S283">
        <v>1.784924623115578</v>
      </c>
      <c r="T283">
        <v>0.56024774774774777</v>
      </c>
    </row>
    <row r="284" spans="1:20" x14ac:dyDescent="0.3">
      <c r="A284" s="99">
        <v>46052</v>
      </c>
      <c r="B284" t="s">
        <v>99</v>
      </c>
      <c r="C284" t="s">
        <v>391</v>
      </c>
      <c r="D284" s="100"/>
      <c r="E284" s="100">
        <v>8.3333333333333329E-2</v>
      </c>
      <c r="F284" s="100"/>
      <c r="G284">
        <v>70</v>
      </c>
      <c r="H284">
        <v>1056</v>
      </c>
      <c r="I284" s="100">
        <v>0.14583333333333334</v>
      </c>
      <c r="J284" s="101">
        <v>46052.291666666664</v>
      </c>
      <c r="K284" s="101">
        <v>46053.291666666664</v>
      </c>
      <c r="L284">
        <v>24</v>
      </c>
      <c r="M284">
        <v>3.5</v>
      </c>
      <c r="O284">
        <v>20.5</v>
      </c>
      <c r="P284">
        <v>1435</v>
      </c>
      <c r="Q284">
        <v>1680</v>
      </c>
      <c r="R284">
        <v>1.3589015151515151</v>
      </c>
      <c r="S284">
        <v>1.5909090909090908</v>
      </c>
      <c r="T284">
        <v>0.62857142857142856</v>
      </c>
    </row>
    <row r="285" spans="1:20" x14ac:dyDescent="0.3">
      <c r="A285" s="99">
        <v>46053</v>
      </c>
      <c r="B285" t="s">
        <v>96</v>
      </c>
      <c r="C285" t="s">
        <v>391</v>
      </c>
      <c r="D285" s="100">
        <v>3.4722222222222224E-2</v>
      </c>
      <c r="E285" s="100">
        <v>0.33333333333333331</v>
      </c>
      <c r="F285" s="100"/>
      <c r="G285">
        <v>82</v>
      </c>
      <c r="H285">
        <v>956</v>
      </c>
      <c r="I285" s="100">
        <v>0.14583333333333334</v>
      </c>
      <c r="J285" s="101">
        <v>46053.291666666664</v>
      </c>
      <c r="K285" s="101">
        <v>46054.291666666664</v>
      </c>
      <c r="L285">
        <v>24</v>
      </c>
      <c r="M285">
        <v>3.5</v>
      </c>
      <c r="N285">
        <v>0.83333333333333326</v>
      </c>
      <c r="O285">
        <v>19.666666666666668</v>
      </c>
      <c r="P285">
        <v>1612.6666666666667</v>
      </c>
      <c r="Q285">
        <v>1968</v>
      </c>
      <c r="R285">
        <v>1.686889818688982</v>
      </c>
      <c r="S285">
        <v>2.0585774058577404</v>
      </c>
      <c r="T285">
        <v>0.4857723577235773</v>
      </c>
    </row>
    <row r="286" spans="1:20" x14ac:dyDescent="0.3">
      <c r="A286" s="99">
        <v>46053</v>
      </c>
      <c r="B286" t="s">
        <v>97</v>
      </c>
      <c r="C286" t="s">
        <v>391</v>
      </c>
      <c r="D286" s="100">
        <v>4.8611111111111112E-2</v>
      </c>
      <c r="E286" s="100">
        <v>0.375</v>
      </c>
      <c r="F286" s="100">
        <v>4.8611111111111112E-2</v>
      </c>
      <c r="G286">
        <v>11</v>
      </c>
      <c r="H286">
        <v>959</v>
      </c>
      <c r="I286" s="100">
        <v>0.14583333333333334</v>
      </c>
      <c r="J286" s="101">
        <v>46053.291666666664</v>
      </c>
      <c r="K286" s="101">
        <v>46054.291666666664</v>
      </c>
      <c r="L286">
        <v>24</v>
      </c>
      <c r="M286">
        <v>3.5</v>
      </c>
      <c r="N286">
        <v>1.1666666666666665</v>
      </c>
      <c r="O286">
        <v>19.333333333333332</v>
      </c>
      <c r="P286">
        <v>212.66666666666666</v>
      </c>
      <c r="Q286">
        <v>264</v>
      </c>
      <c r="R286">
        <v>0.22175877650330203</v>
      </c>
      <c r="S286">
        <v>0.27528675703858185</v>
      </c>
      <c r="T286">
        <v>3.6325757575757578</v>
      </c>
    </row>
    <row r="287" spans="1:20" x14ac:dyDescent="0.3">
      <c r="A287" s="99">
        <v>46053</v>
      </c>
      <c r="B287" t="s">
        <v>98</v>
      </c>
      <c r="C287" t="s">
        <v>391</v>
      </c>
      <c r="D287" s="100">
        <v>8.3333333333333329E-2</v>
      </c>
      <c r="E287" s="100"/>
      <c r="F287" s="100"/>
      <c r="G287">
        <v>68</v>
      </c>
      <c r="H287">
        <v>983</v>
      </c>
      <c r="I287" s="100">
        <v>0.14583333333333334</v>
      </c>
      <c r="J287" s="101">
        <v>46053.291666666664</v>
      </c>
      <c r="K287" s="101">
        <v>46054.291666666664</v>
      </c>
      <c r="L287">
        <v>24</v>
      </c>
      <c r="M287">
        <v>3.5</v>
      </c>
      <c r="N287">
        <v>2</v>
      </c>
      <c r="O287">
        <v>18.5</v>
      </c>
      <c r="P287">
        <v>1258</v>
      </c>
      <c r="Q287">
        <v>1632</v>
      </c>
      <c r="R287">
        <v>1.2797558494404884</v>
      </c>
      <c r="S287">
        <v>1.6602238046795523</v>
      </c>
      <c r="T287">
        <v>0.60232843137254899</v>
      </c>
    </row>
    <row r="288" spans="1:20" x14ac:dyDescent="0.3">
      <c r="A288" s="99">
        <v>46053</v>
      </c>
      <c r="B288" t="s">
        <v>99</v>
      </c>
      <c r="C288" t="s">
        <v>391</v>
      </c>
      <c r="D288" s="100"/>
      <c r="E288" s="100"/>
      <c r="F288" s="100"/>
      <c r="G288">
        <v>68</v>
      </c>
      <c r="H288">
        <v>978</v>
      </c>
      <c r="I288" s="100">
        <v>0.14583333333333334</v>
      </c>
      <c r="J288" s="101">
        <v>46053.291666666664</v>
      </c>
      <c r="K288" s="101">
        <v>46054.291666666664</v>
      </c>
      <c r="L288">
        <v>24</v>
      </c>
      <c r="M288">
        <v>3.5</v>
      </c>
      <c r="O288">
        <v>20.5</v>
      </c>
      <c r="P288">
        <v>1394</v>
      </c>
      <c r="Q288">
        <v>1632</v>
      </c>
      <c r="R288">
        <v>1.425357873210634</v>
      </c>
      <c r="S288">
        <v>1.6687116564417177</v>
      </c>
      <c r="T288">
        <v>0.59926470588235292</v>
      </c>
    </row>
    <row r="289" spans="1:20" x14ac:dyDescent="0.3">
      <c r="A289" s="99">
        <v>46054</v>
      </c>
      <c r="B289" t="s">
        <v>96</v>
      </c>
      <c r="C289" t="s">
        <v>391</v>
      </c>
      <c r="D289" s="100"/>
      <c r="E289" s="100">
        <v>8.3333333333333329E-2</v>
      </c>
      <c r="F289" s="100"/>
      <c r="G289">
        <v>29</v>
      </c>
      <c r="H289">
        <v>217</v>
      </c>
      <c r="I289" s="100">
        <v>6.25E-2</v>
      </c>
      <c r="J289" s="101">
        <v>46054.291666666664</v>
      </c>
      <c r="K289" s="101">
        <v>46054.708333333336</v>
      </c>
      <c r="L289">
        <v>10</v>
      </c>
      <c r="M289">
        <v>1.5</v>
      </c>
      <c r="O289">
        <v>8.5</v>
      </c>
      <c r="P289">
        <v>246.5</v>
      </c>
      <c r="Q289">
        <v>290</v>
      </c>
      <c r="R289">
        <v>1.1359447004608294</v>
      </c>
      <c r="S289">
        <v>1.336405529953917</v>
      </c>
      <c r="T289">
        <v>0.74827586206896557</v>
      </c>
    </row>
    <row r="290" spans="1:20" x14ac:dyDescent="0.3">
      <c r="A290" s="99">
        <v>46054</v>
      </c>
      <c r="B290" t="s">
        <v>97</v>
      </c>
      <c r="C290" t="s">
        <v>391</v>
      </c>
      <c r="D290" s="100"/>
      <c r="E290" s="100"/>
      <c r="F290" s="100"/>
      <c r="G290">
        <v>3</v>
      </c>
      <c r="H290">
        <v>189</v>
      </c>
      <c r="I290" s="100">
        <v>6.25E-2</v>
      </c>
      <c r="J290" s="101">
        <v>46054.291666666664</v>
      </c>
      <c r="K290" s="101">
        <v>46054.708333333336</v>
      </c>
      <c r="L290">
        <v>10</v>
      </c>
      <c r="M290">
        <v>1.5</v>
      </c>
      <c r="O290">
        <v>8.5</v>
      </c>
      <c r="P290">
        <v>25.5</v>
      </c>
      <c r="Q290">
        <v>30</v>
      </c>
      <c r="R290">
        <v>0.13492063492063491</v>
      </c>
      <c r="S290">
        <v>0.15873015873015872</v>
      </c>
      <c r="T290">
        <v>6.3000000000000007</v>
      </c>
    </row>
    <row r="291" spans="1:20" x14ac:dyDescent="0.3">
      <c r="A291" s="99">
        <v>46054</v>
      </c>
      <c r="B291" t="s">
        <v>98</v>
      </c>
      <c r="C291" t="s">
        <v>391</v>
      </c>
      <c r="D291" s="100"/>
      <c r="E291" s="100"/>
      <c r="F291" s="100"/>
      <c r="G291">
        <v>33</v>
      </c>
      <c r="H291">
        <v>251</v>
      </c>
      <c r="I291" s="100">
        <v>6.25E-2</v>
      </c>
      <c r="J291" s="101">
        <v>46054.291666666664</v>
      </c>
      <c r="K291" s="101">
        <v>46054.708333333336</v>
      </c>
      <c r="L291">
        <v>10</v>
      </c>
      <c r="M291">
        <v>1.5</v>
      </c>
      <c r="O291">
        <v>8.5</v>
      </c>
      <c r="P291">
        <v>280.5</v>
      </c>
      <c r="Q291">
        <v>330</v>
      </c>
      <c r="R291">
        <v>1.1175298804780875</v>
      </c>
      <c r="S291">
        <v>1.3147410358565736</v>
      </c>
      <c r="T291">
        <v>0.76060606060606062</v>
      </c>
    </row>
    <row r="292" spans="1:20" x14ac:dyDescent="0.3">
      <c r="A292" s="99">
        <v>46054</v>
      </c>
      <c r="B292" t="s">
        <v>99</v>
      </c>
      <c r="C292" t="s">
        <v>391</v>
      </c>
      <c r="D292" s="100"/>
      <c r="E292" s="100"/>
      <c r="F292" s="100"/>
      <c r="G292">
        <v>26</v>
      </c>
      <c r="H292">
        <v>232</v>
      </c>
      <c r="I292" s="100">
        <v>6.25E-2</v>
      </c>
      <c r="J292" s="101">
        <v>46054.291666666664</v>
      </c>
      <c r="K292" s="101">
        <v>46054.708333333336</v>
      </c>
      <c r="L292">
        <v>10</v>
      </c>
      <c r="M292">
        <v>1.5</v>
      </c>
      <c r="O292">
        <v>8.5</v>
      </c>
      <c r="P292">
        <v>221</v>
      </c>
      <c r="Q292">
        <v>260</v>
      </c>
      <c r="R292">
        <v>0.95258620689655171</v>
      </c>
      <c r="S292">
        <v>1.1206896551724137</v>
      </c>
      <c r="T292">
        <v>0.89230769230769236</v>
      </c>
    </row>
    <row r="293" spans="1:20" x14ac:dyDescent="0.3">
      <c r="A293" s="99">
        <v>46055</v>
      </c>
      <c r="B293" t="s">
        <v>96</v>
      </c>
      <c r="C293" t="s">
        <v>391</v>
      </c>
      <c r="D293" s="100"/>
      <c r="E293" s="100"/>
      <c r="F293" s="100"/>
      <c r="G293">
        <v>66</v>
      </c>
      <c r="H293">
        <v>848</v>
      </c>
      <c r="I293" s="100">
        <v>0.14583333333333334</v>
      </c>
      <c r="J293" s="101">
        <v>46055.291666666664</v>
      </c>
      <c r="K293" s="101">
        <v>46056.291666666664</v>
      </c>
      <c r="L293">
        <v>24</v>
      </c>
      <c r="M293">
        <v>3.5</v>
      </c>
      <c r="O293">
        <v>20.5</v>
      </c>
      <c r="P293">
        <v>1353</v>
      </c>
      <c r="Q293">
        <v>1584</v>
      </c>
      <c r="R293">
        <v>1.5955188679245282</v>
      </c>
      <c r="S293">
        <v>1.8679245283018868</v>
      </c>
      <c r="T293">
        <v>0.53535353535353536</v>
      </c>
    </row>
    <row r="294" spans="1:20" x14ac:dyDescent="0.3">
      <c r="A294" s="99">
        <v>46055</v>
      </c>
      <c r="B294" t="s">
        <v>97</v>
      </c>
      <c r="C294" t="s">
        <v>391</v>
      </c>
      <c r="D294" s="100"/>
      <c r="E294" s="100">
        <v>0.375</v>
      </c>
      <c r="F294" s="100"/>
      <c r="G294">
        <v>10</v>
      </c>
      <c r="H294">
        <v>785</v>
      </c>
      <c r="I294" s="100">
        <v>0.14583333333333334</v>
      </c>
      <c r="J294" s="101">
        <v>46055.291666666664</v>
      </c>
      <c r="K294" s="101">
        <v>46056.291666666664</v>
      </c>
      <c r="L294">
        <v>24</v>
      </c>
      <c r="M294">
        <v>3.5</v>
      </c>
      <c r="O294">
        <v>20.5</v>
      </c>
      <c r="P294">
        <v>205</v>
      </c>
      <c r="Q294">
        <v>240</v>
      </c>
      <c r="R294">
        <v>0.26114649681528662</v>
      </c>
      <c r="S294">
        <v>0.30573248407643311</v>
      </c>
      <c r="T294">
        <v>3.2708333333333335</v>
      </c>
    </row>
    <row r="295" spans="1:20" x14ac:dyDescent="0.3">
      <c r="A295" s="99">
        <v>46055</v>
      </c>
      <c r="B295" t="s">
        <v>98</v>
      </c>
      <c r="C295" t="s">
        <v>391</v>
      </c>
      <c r="D295" s="100">
        <v>0.21527777777777779</v>
      </c>
      <c r="E295" s="100">
        <v>6.25E-2</v>
      </c>
      <c r="F295" s="100"/>
      <c r="G295">
        <v>67</v>
      </c>
      <c r="H295">
        <v>807</v>
      </c>
      <c r="I295" s="100">
        <v>0.14583333333333334</v>
      </c>
      <c r="J295" s="101">
        <v>46055.291666666664</v>
      </c>
      <c r="K295" s="101">
        <v>46056.291666666664</v>
      </c>
      <c r="L295">
        <v>24</v>
      </c>
      <c r="M295">
        <v>3.5</v>
      </c>
      <c r="N295">
        <v>5.1666666666666661</v>
      </c>
      <c r="O295">
        <v>15.333333333333334</v>
      </c>
      <c r="P295">
        <v>1027.3333333333335</v>
      </c>
      <c r="Q295">
        <v>1608</v>
      </c>
      <c r="R295">
        <v>1.2730276745146636</v>
      </c>
      <c r="S295">
        <v>1.9925650557620818</v>
      </c>
      <c r="T295">
        <v>0.50186567164179108</v>
      </c>
    </row>
    <row r="296" spans="1:20" x14ac:dyDescent="0.3">
      <c r="A296" s="99">
        <v>46055</v>
      </c>
      <c r="B296" t="s">
        <v>99</v>
      </c>
      <c r="C296" t="s">
        <v>391</v>
      </c>
      <c r="D296" s="100">
        <v>8.3333333333333329E-2</v>
      </c>
      <c r="E296" s="100"/>
      <c r="F296" s="100"/>
      <c r="G296">
        <v>64</v>
      </c>
      <c r="H296">
        <v>823</v>
      </c>
      <c r="I296" s="100">
        <v>0.14583333333333334</v>
      </c>
      <c r="J296" s="101">
        <v>46055.291666666664</v>
      </c>
      <c r="K296" s="101">
        <v>46056.291666666664</v>
      </c>
      <c r="L296">
        <v>24</v>
      </c>
      <c r="M296">
        <v>3.5</v>
      </c>
      <c r="N296">
        <v>2</v>
      </c>
      <c r="O296">
        <v>18.5</v>
      </c>
      <c r="P296">
        <v>1184</v>
      </c>
      <c r="Q296">
        <v>1536</v>
      </c>
      <c r="R296">
        <v>1.4386391251518833</v>
      </c>
      <c r="S296">
        <v>1.8663426488456865</v>
      </c>
      <c r="T296">
        <v>0.53580729166666663</v>
      </c>
    </row>
    <row r="297" spans="1:20" x14ac:dyDescent="0.3">
      <c r="A297" s="99">
        <v>46056</v>
      </c>
      <c r="B297" t="s">
        <v>96</v>
      </c>
      <c r="C297" t="s">
        <v>391</v>
      </c>
      <c r="D297" s="100"/>
      <c r="E297" s="100">
        <v>0.16666666666666666</v>
      </c>
      <c r="F297" s="100"/>
      <c r="G297">
        <v>86</v>
      </c>
      <c r="H297">
        <v>926</v>
      </c>
      <c r="I297" s="100">
        <v>0.14583333333333334</v>
      </c>
      <c r="J297" s="101">
        <v>46056.291666666664</v>
      </c>
      <c r="K297" s="101">
        <v>46057.291666666664</v>
      </c>
      <c r="L297">
        <v>24</v>
      </c>
      <c r="M297">
        <v>3.5</v>
      </c>
      <c r="O297">
        <v>20.5</v>
      </c>
      <c r="P297">
        <v>1763</v>
      </c>
      <c r="Q297">
        <v>2064</v>
      </c>
      <c r="R297">
        <v>1.9038876889848813</v>
      </c>
      <c r="S297">
        <v>2.2289416846652266</v>
      </c>
      <c r="T297">
        <v>0.4486434108527132</v>
      </c>
    </row>
    <row r="298" spans="1:20" x14ac:dyDescent="0.3">
      <c r="A298" s="99">
        <v>46056</v>
      </c>
      <c r="B298" t="s">
        <v>97</v>
      </c>
      <c r="C298" t="s">
        <v>391</v>
      </c>
      <c r="D298" s="100"/>
      <c r="E298" s="100">
        <v>0.25</v>
      </c>
      <c r="F298" s="100"/>
      <c r="G298">
        <v>11</v>
      </c>
      <c r="H298">
        <v>948</v>
      </c>
      <c r="I298" s="100">
        <v>0.14583333333333334</v>
      </c>
      <c r="J298" s="101">
        <v>46056.291666666664</v>
      </c>
      <c r="K298" s="101">
        <v>46057.291666666664</v>
      </c>
      <c r="L298">
        <v>24</v>
      </c>
      <c r="M298">
        <v>3.5</v>
      </c>
      <c r="O298">
        <v>20.5</v>
      </c>
      <c r="P298">
        <v>225.5</v>
      </c>
      <c r="Q298">
        <v>264</v>
      </c>
      <c r="R298">
        <v>0.2378691983122363</v>
      </c>
      <c r="S298">
        <v>0.27848101265822783</v>
      </c>
      <c r="T298">
        <v>3.5909090909090913</v>
      </c>
    </row>
    <row r="299" spans="1:20" x14ac:dyDescent="0.3">
      <c r="A299" s="99">
        <v>46056</v>
      </c>
      <c r="B299" t="s">
        <v>98</v>
      </c>
      <c r="C299" t="s">
        <v>391</v>
      </c>
      <c r="D299" s="100">
        <v>4.1666666666666664E-2</v>
      </c>
      <c r="E299" s="100"/>
      <c r="F299" s="100"/>
      <c r="G299">
        <v>69</v>
      </c>
      <c r="H299">
        <v>1041</v>
      </c>
      <c r="I299" s="100">
        <v>0.14583333333333334</v>
      </c>
      <c r="J299" s="101">
        <v>46056.291666666664</v>
      </c>
      <c r="K299" s="101">
        <v>46057.291666666664</v>
      </c>
      <c r="L299">
        <v>24</v>
      </c>
      <c r="M299">
        <v>3.5</v>
      </c>
      <c r="N299">
        <v>1</v>
      </c>
      <c r="O299">
        <v>19.5</v>
      </c>
      <c r="P299">
        <v>1345.5</v>
      </c>
      <c r="Q299">
        <v>1656</v>
      </c>
      <c r="R299">
        <v>1.2925072046109509</v>
      </c>
      <c r="S299">
        <v>1.5907780979827089</v>
      </c>
      <c r="T299">
        <v>0.62862318840579712</v>
      </c>
    </row>
    <row r="300" spans="1:20" x14ac:dyDescent="0.3">
      <c r="A300" s="99">
        <v>46056</v>
      </c>
      <c r="B300" t="s">
        <v>99</v>
      </c>
      <c r="C300" t="s">
        <v>391</v>
      </c>
      <c r="D300" s="100"/>
      <c r="E300" s="100">
        <v>8.3333333333333329E-2</v>
      </c>
      <c r="F300" s="100"/>
      <c r="G300">
        <v>68</v>
      </c>
      <c r="H300">
        <v>973</v>
      </c>
      <c r="I300" s="100">
        <v>0.14583333333333334</v>
      </c>
      <c r="J300" s="101">
        <v>46056.291666666664</v>
      </c>
      <c r="K300" s="101">
        <v>46057.291666666664</v>
      </c>
      <c r="L300">
        <v>24</v>
      </c>
      <c r="M300">
        <v>3.5</v>
      </c>
      <c r="O300">
        <v>20.5</v>
      </c>
      <c r="P300">
        <v>1394</v>
      </c>
      <c r="Q300">
        <v>1632</v>
      </c>
      <c r="R300">
        <v>1.4326824254881809</v>
      </c>
      <c r="S300">
        <v>1.6772867420349435</v>
      </c>
      <c r="T300">
        <v>0.59620098039215685</v>
      </c>
    </row>
    <row r="301" spans="1:20" x14ac:dyDescent="0.3">
      <c r="A301" s="99">
        <v>46057</v>
      </c>
      <c r="B301" t="s">
        <v>96</v>
      </c>
      <c r="C301" t="s">
        <v>391</v>
      </c>
      <c r="D301" s="100"/>
      <c r="E301" s="100">
        <v>8.3333333333333329E-2</v>
      </c>
      <c r="F301" s="100"/>
      <c r="G301">
        <v>85</v>
      </c>
      <c r="H301">
        <v>1029</v>
      </c>
      <c r="I301" s="100">
        <v>0.14583333333333334</v>
      </c>
      <c r="J301" s="101">
        <v>46057.291666666664</v>
      </c>
      <c r="K301" s="101">
        <v>46058.291666666664</v>
      </c>
      <c r="L301">
        <v>24</v>
      </c>
      <c r="M301">
        <v>3.5</v>
      </c>
      <c r="O301">
        <v>20.5</v>
      </c>
      <c r="P301">
        <v>1742.5</v>
      </c>
      <c r="Q301">
        <v>2040</v>
      </c>
      <c r="R301">
        <v>1.6933916423712343</v>
      </c>
      <c r="S301">
        <v>1.9825072886297377</v>
      </c>
      <c r="T301">
        <v>0.50441176470588234</v>
      </c>
    </row>
    <row r="302" spans="1:20" x14ac:dyDescent="0.3">
      <c r="A302" s="99">
        <v>46057</v>
      </c>
      <c r="B302" t="s">
        <v>97</v>
      </c>
      <c r="C302" t="s">
        <v>391</v>
      </c>
      <c r="D302" s="100">
        <v>7.2916666666666671E-2</v>
      </c>
      <c r="E302" s="100">
        <v>0.25</v>
      </c>
      <c r="F302" s="100"/>
      <c r="G302">
        <v>10</v>
      </c>
      <c r="H302">
        <v>1006</v>
      </c>
      <c r="I302" s="100">
        <v>0.14583333333333334</v>
      </c>
      <c r="J302" s="101">
        <v>46057.291666666664</v>
      </c>
      <c r="K302" s="101">
        <v>46058.291666666664</v>
      </c>
      <c r="L302">
        <v>24</v>
      </c>
      <c r="M302">
        <v>3.5</v>
      </c>
      <c r="N302">
        <v>1.75</v>
      </c>
      <c r="O302">
        <v>18.75</v>
      </c>
      <c r="P302">
        <v>187.5</v>
      </c>
      <c r="Q302">
        <v>240</v>
      </c>
      <c r="R302">
        <v>0.18638170974155069</v>
      </c>
      <c r="S302">
        <v>0.23856858846918488</v>
      </c>
      <c r="T302">
        <v>4.1916666666666664</v>
      </c>
    </row>
    <row r="303" spans="1:20" x14ac:dyDescent="0.3">
      <c r="A303" s="99">
        <v>46057</v>
      </c>
      <c r="B303" t="s">
        <v>98</v>
      </c>
      <c r="C303" t="s">
        <v>391</v>
      </c>
      <c r="D303" s="100">
        <v>0.1111111111111111</v>
      </c>
      <c r="E303" s="100">
        <v>0.16666666666666666</v>
      </c>
      <c r="F303" s="100"/>
      <c r="G303">
        <v>68</v>
      </c>
      <c r="H303">
        <v>1050</v>
      </c>
      <c r="I303" s="100">
        <v>0.14583333333333334</v>
      </c>
      <c r="J303" s="101">
        <v>46057.291666666664</v>
      </c>
      <c r="K303" s="101">
        <v>46058.291666666664</v>
      </c>
      <c r="L303">
        <v>24</v>
      </c>
      <c r="M303">
        <v>3.5</v>
      </c>
      <c r="N303">
        <v>2.6666666666666665</v>
      </c>
      <c r="O303">
        <v>17.833333333333332</v>
      </c>
      <c r="P303">
        <v>1212.6666666666665</v>
      </c>
      <c r="Q303">
        <v>1632</v>
      </c>
      <c r="R303">
        <v>1.1549206349206347</v>
      </c>
      <c r="S303">
        <v>1.5542857142857143</v>
      </c>
      <c r="T303">
        <v>0.64338235294117652</v>
      </c>
    </row>
    <row r="304" spans="1:20" x14ac:dyDescent="0.3">
      <c r="A304" s="99">
        <v>46057</v>
      </c>
      <c r="B304" t="s">
        <v>99</v>
      </c>
      <c r="C304" t="s">
        <v>391</v>
      </c>
      <c r="D304" s="100"/>
      <c r="E304" s="100"/>
      <c r="F304" s="100"/>
      <c r="G304">
        <v>67</v>
      </c>
      <c r="H304">
        <v>1063</v>
      </c>
      <c r="I304" s="100">
        <v>0.14583333333333334</v>
      </c>
      <c r="J304" s="101">
        <v>46057.291666666664</v>
      </c>
      <c r="K304" s="101">
        <v>46058.291666666664</v>
      </c>
      <c r="L304">
        <v>24</v>
      </c>
      <c r="M304">
        <v>3.5</v>
      </c>
      <c r="O304">
        <v>20.5</v>
      </c>
      <c r="P304">
        <v>1373.5</v>
      </c>
      <c r="Q304">
        <v>1608</v>
      </c>
      <c r="R304">
        <v>1.2920978363123237</v>
      </c>
      <c r="S304">
        <v>1.5126999059266228</v>
      </c>
      <c r="T304">
        <v>0.66106965174129351</v>
      </c>
    </row>
    <row r="305" spans="1:20" x14ac:dyDescent="0.3">
      <c r="A305" s="99">
        <v>46058</v>
      </c>
      <c r="B305" t="s">
        <v>96</v>
      </c>
      <c r="C305" t="s">
        <v>391</v>
      </c>
      <c r="D305" s="100"/>
      <c r="E305" s="100"/>
      <c r="F305" s="100"/>
      <c r="G305">
        <v>64</v>
      </c>
      <c r="H305">
        <v>742</v>
      </c>
      <c r="I305" s="100">
        <v>0.14583333333333334</v>
      </c>
      <c r="J305" s="101">
        <v>46058.291666666664</v>
      </c>
      <c r="K305" s="101">
        <v>46059.291666666664</v>
      </c>
      <c r="L305">
        <v>24</v>
      </c>
      <c r="M305">
        <v>3.5</v>
      </c>
      <c r="O305">
        <v>20.5</v>
      </c>
      <c r="P305">
        <v>1312</v>
      </c>
      <c r="Q305">
        <v>1536</v>
      </c>
      <c r="R305">
        <v>1.7681940700808625</v>
      </c>
      <c r="S305">
        <v>2.0700808625336928</v>
      </c>
      <c r="T305">
        <v>0.48307291666666663</v>
      </c>
    </row>
    <row r="306" spans="1:20" x14ac:dyDescent="0.3">
      <c r="A306" s="99">
        <v>46058</v>
      </c>
      <c r="B306" t="s">
        <v>97</v>
      </c>
      <c r="C306" t="s">
        <v>391</v>
      </c>
      <c r="D306" s="100"/>
      <c r="E306" s="100">
        <v>0.70833333333333337</v>
      </c>
      <c r="F306" s="100">
        <v>6.25E-2</v>
      </c>
      <c r="G306">
        <v>10</v>
      </c>
      <c r="H306">
        <v>764</v>
      </c>
      <c r="I306" s="100">
        <v>0.14583333333333334</v>
      </c>
      <c r="J306" s="101">
        <v>46058.291666666664</v>
      </c>
      <c r="K306" s="101">
        <v>46059.291666666664</v>
      </c>
      <c r="L306">
        <v>24</v>
      </c>
      <c r="M306">
        <v>3.5</v>
      </c>
      <c r="O306">
        <v>20.5</v>
      </c>
      <c r="P306">
        <v>205</v>
      </c>
      <c r="Q306">
        <v>240</v>
      </c>
      <c r="R306">
        <v>0.26832460732984292</v>
      </c>
      <c r="S306">
        <v>0.31413612565445026</v>
      </c>
      <c r="T306">
        <v>3.1833333333333336</v>
      </c>
    </row>
    <row r="307" spans="1:20" x14ac:dyDescent="0.3">
      <c r="A307" s="99">
        <v>46058</v>
      </c>
      <c r="B307" t="s">
        <v>98</v>
      </c>
      <c r="C307" t="s">
        <v>391</v>
      </c>
      <c r="D307" s="100">
        <v>0.1111111111111111</v>
      </c>
      <c r="E307" s="100">
        <v>0.125</v>
      </c>
      <c r="F307" s="100"/>
      <c r="G307">
        <v>67</v>
      </c>
      <c r="H307">
        <v>785</v>
      </c>
      <c r="I307" s="100">
        <v>0.14583333333333334</v>
      </c>
      <c r="J307" s="101">
        <v>46058.291666666664</v>
      </c>
      <c r="K307" s="101">
        <v>46059.291666666664</v>
      </c>
      <c r="L307">
        <v>24</v>
      </c>
      <c r="M307">
        <v>3.5</v>
      </c>
      <c r="N307">
        <v>2.6666666666666665</v>
      </c>
      <c r="O307">
        <v>17.833333333333332</v>
      </c>
      <c r="P307">
        <v>1194.8333333333333</v>
      </c>
      <c r="Q307">
        <v>1608</v>
      </c>
      <c r="R307">
        <v>1.5220806794055202</v>
      </c>
      <c r="S307">
        <v>2.0484076433121019</v>
      </c>
      <c r="T307">
        <v>0.48818407960199006</v>
      </c>
    </row>
    <row r="308" spans="1:20" x14ac:dyDescent="0.3">
      <c r="A308" s="99">
        <v>46058</v>
      </c>
      <c r="B308" t="s">
        <v>99</v>
      </c>
      <c r="C308" t="s">
        <v>391</v>
      </c>
      <c r="D308" s="100">
        <v>6.25E-2</v>
      </c>
      <c r="E308" s="100"/>
      <c r="F308" s="100"/>
      <c r="G308">
        <v>67</v>
      </c>
      <c r="H308">
        <v>917</v>
      </c>
      <c r="I308" s="100">
        <v>0.14583333333333334</v>
      </c>
      <c r="J308" s="101">
        <v>46058.291666666664</v>
      </c>
      <c r="K308" s="101">
        <v>46059.291666666664</v>
      </c>
      <c r="L308">
        <v>24</v>
      </c>
      <c r="M308">
        <v>3.5</v>
      </c>
      <c r="N308">
        <v>1.5</v>
      </c>
      <c r="O308">
        <v>19</v>
      </c>
      <c r="P308">
        <v>1273</v>
      </c>
      <c r="Q308">
        <v>1608</v>
      </c>
      <c r="R308">
        <v>1.3882224645583425</v>
      </c>
      <c r="S308">
        <v>1.7535441657579063</v>
      </c>
      <c r="T308">
        <v>0.57027363184079605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C145-79D5-48F9-968B-3035794CBEB7}">
  <dimension ref="A1:D10"/>
  <sheetViews>
    <sheetView tabSelected="1" workbookViewId="0">
      <selection activeCell="E36" sqref="E36"/>
    </sheetView>
  </sheetViews>
  <sheetFormatPr defaultRowHeight="14.4" x14ac:dyDescent="0.3"/>
  <cols>
    <col min="1" max="1" width="12.77734375" bestFit="1" customWidth="1"/>
    <col min="2" max="2" width="16.77734375" bestFit="1" customWidth="1"/>
    <col min="3" max="3" width="34" bestFit="1" customWidth="1"/>
    <col min="4" max="4" width="12.77734375" bestFit="1" customWidth="1"/>
    <col min="5" max="5" width="16.6640625" bestFit="1" customWidth="1"/>
    <col min="6" max="6" width="33.44140625" bestFit="1" customWidth="1"/>
    <col min="7" max="7" width="12.5546875" bestFit="1" customWidth="1"/>
    <col min="8" max="8" width="16.6640625" bestFit="1" customWidth="1"/>
    <col min="9" max="9" width="33.44140625" bestFit="1" customWidth="1"/>
    <col min="10" max="10" width="12.5546875" bestFit="1" customWidth="1"/>
    <col min="11" max="11" width="16.6640625" bestFit="1" customWidth="1"/>
    <col min="12" max="12" width="33.44140625" bestFit="1" customWidth="1"/>
    <col min="13" max="13" width="12.5546875" bestFit="1" customWidth="1"/>
    <col min="14" max="14" width="16.6640625" bestFit="1" customWidth="1"/>
    <col min="15" max="15" width="33.44140625" bestFit="1" customWidth="1"/>
    <col min="16" max="16" width="12.5546875" bestFit="1" customWidth="1"/>
    <col min="17" max="17" width="21.5546875" bestFit="1" customWidth="1"/>
    <col min="18" max="18" width="38.33203125" bestFit="1" customWidth="1"/>
    <col min="19" max="19" width="17.44140625" bestFit="1" customWidth="1"/>
    <col min="20" max="36" width="15.5546875" bestFit="1" customWidth="1"/>
    <col min="37" max="38" width="10.77734375" bestFit="1" customWidth="1"/>
  </cols>
  <sheetData>
    <row r="1" spans="1:4" x14ac:dyDescent="0.3">
      <c r="A1" t="s">
        <v>425</v>
      </c>
    </row>
    <row r="4" spans="1:4" x14ac:dyDescent="0.3">
      <c r="A4" s="102" t="s">
        <v>421</v>
      </c>
      <c r="B4" t="s">
        <v>422</v>
      </c>
      <c r="C4" t="s">
        <v>423</v>
      </c>
      <c r="D4" t="s">
        <v>424</v>
      </c>
    </row>
    <row r="5" spans="1:4" x14ac:dyDescent="0.3">
      <c r="A5" s="103">
        <v>46054</v>
      </c>
      <c r="B5" s="104">
        <v>139</v>
      </c>
      <c r="C5" s="104">
        <v>1783</v>
      </c>
      <c r="D5" s="104">
        <v>69</v>
      </c>
    </row>
    <row r="6" spans="1:4" x14ac:dyDescent="0.3">
      <c r="A6" s="103">
        <v>46055</v>
      </c>
      <c r="B6" s="104">
        <v>327</v>
      </c>
      <c r="C6" s="104">
        <v>5607</v>
      </c>
      <c r="D6" s="104">
        <v>168</v>
      </c>
    </row>
    <row r="7" spans="1:4" x14ac:dyDescent="0.3">
      <c r="A7" s="103">
        <v>46056</v>
      </c>
      <c r="B7" s="104">
        <v>364</v>
      </c>
      <c r="C7" s="104">
        <v>6295</v>
      </c>
      <c r="D7" s="104">
        <v>168</v>
      </c>
    </row>
    <row r="8" spans="1:4" x14ac:dyDescent="0.3">
      <c r="A8" s="103">
        <v>46057</v>
      </c>
      <c r="B8" s="104">
        <v>357</v>
      </c>
      <c r="C8" s="104">
        <v>6991</v>
      </c>
      <c r="D8" s="104">
        <v>170</v>
      </c>
    </row>
    <row r="9" spans="1:4" x14ac:dyDescent="0.3">
      <c r="A9" s="103">
        <v>46058</v>
      </c>
      <c r="B9" s="104">
        <v>324</v>
      </c>
      <c r="C9" s="104">
        <v>6217</v>
      </c>
      <c r="D9" s="104">
        <v>170</v>
      </c>
    </row>
    <row r="10" spans="1:4" x14ac:dyDescent="0.3">
      <c r="A10" s="103" t="s">
        <v>420</v>
      </c>
      <c r="B10" s="104">
        <v>1511</v>
      </c>
      <c r="C10" s="104">
        <v>26893</v>
      </c>
      <c r="D10" s="104">
        <v>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3D00-7D42-437C-ABE2-405721E4B799}">
  <sheetPr>
    <tabColor rgb="FF7030A0"/>
  </sheetPr>
  <dimension ref="A2:AC494"/>
  <sheetViews>
    <sheetView zoomScale="70" zoomScaleNormal="70" workbookViewId="0">
      <pane ySplit="7" topLeftCell="A8" activePane="bottomLeft" state="frozen"/>
      <selection activeCell="K18" sqref="K18"/>
      <selection pane="bottomLeft" activeCell="W25" sqref="W25"/>
    </sheetView>
  </sheetViews>
  <sheetFormatPr defaultRowHeight="15" customHeight="1" x14ac:dyDescent="0.3"/>
  <cols>
    <col min="1" max="1" width="4.33203125" customWidth="1"/>
    <col min="2" max="2" width="19.109375" customWidth="1"/>
    <col min="3" max="10" width="10.5546875" customWidth="1"/>
    <col min="11" max="17" width="11.5546875" customWidth="1"/>
    <col min="18" max="18" width="12.77734375" customWidth="1"/>
    <col min="19" max="19" width="9.33203125" bestFit="1" customWidth="1"/>
    <col min="22" max="25" width="9.33203125" bestFit="1" customWidth="1"/>
    <col min="27" max="27" width="8.44140625" customWidth="1"/>
  </cols>
  <sheetData>
    <row r="2" spans="1:29" ht="39.6" customHeight="1" x14ac:dyDescent="0.75">
      <c r="B2" s="8"/>
      <c r="C2" s="8"/>
      <c r="D2" s="8"/>
      <c r="E2" s="41" t="s">
        <v>366</v>
      </c>
      <c r="F2" s="8"/>
      <c r="G2" s="8"/>
      <c r="H2" s="8"/>
      <c r="I2" s="8"/>
      <c r="J2" s="41"/>
      <c r="K2" s="8"/>
      <c r="L2" s="8"/>
      <c r="M2" s="8"/>
      <c r="N2" s="8"/>
      <c r="O2" s="8"/>
      <c r="P2" s="8"/>
      <c r="Q2" s="8"/>
      <c r="R2" s="8"/>
    </row>
    <row r="3" spans="1:29" ht="18.600000000000001" x14ac:dyDescent="0.3">
      <c r="B3" s="2" t="s">
        <v>367</v>
      </c>
      <c r="C3" s="12" t="s">
        <v>426</v>
      </c>
      <c r="D3" s="2"/>
      <c r="E3" s="2"/>
      <c r="F3" s="2"/>
      <c r="G3" s="2"/>
      <c r="H3" s="2"/>
      <c r="I3" s="2"/>
      <c r="J3" s="2"/>
      <c r="K3" s="2"/>
      <c r="L3" s="2"/>
      <c r="M3" s="2"/>
      <c r="N3" s="2"/>
      <c r="O3" s="2"/>
      <c r="P3" s="2"/>
      <c r="Q3" s="2"/>
      <c r="R3" s="2"/>
    </row>
    <row r="4" spans="1:29" ht="11.25" customHeight="1" x14ac:dyDescent="0.3">
      <c r="B4" s="11"/>
      <c r="C4" s="3"/>
      <c r="D4" s="3"/>
      <c r="E4" s="3"/>
      <c r="F4" s="3"/>
      <c r="G4" s="3"/>
      <c r="H4" s="3"/>
      <c r="I4" s="3"/>
      <c r="J4" s="3"/>
      <c r="K4" s="3"/>
      <c r="L4" s="3"/>
      <c r="M4" s="3"/>
      <c r="N4" s="3"/>
      <c r="O4" s="3"/>
      <c r="P4" s="3"/>
      <c r="Q4" s="3"/>
      <c r="R4" s="3"/>
    </row>
    <row r="5" spans="1:29" ht="11.25" customHeight="1" thickBot="1" x14ac:dyDescent="0.35">
      <c r="B5" s="3"/>
      <c r="C5" s="3"/>
      <c r="D5" s="3"/>
      <c r="E5" s="3"/>
      <c r="F5" s="3"/>
      <c r="G5" s="3"/>
      <c r="H5" s="3"/>
      <c r="I5" s="3"/>
      <c r="J5" s="3"/>
      <c r="K5" s="3"/>
      <c r="L5" s="3"/>
      <c r="M5" s="3"/>
      <c r="N5" s="3"/>
      <c r="O5" s="3"/>
      <c r="P5" s="3"/>
      <c r="Q5" s="3"/>
      <c r="R5" s="3"/>
    </row>
    <row r="6" spans="1:29" ht="33" customHeight="1" x14ac:dyDescent="0.3">
      <c r="B6" s="61">
        <v>1</v>
      </c>
      <c r="C6" s="62">
        <v>2</v>
      </c>
      <c r="D6" s="62">
        <v>3</v>
      </c>
      <c r="E6" s="62">
        <v>4</v>
      </c>
      <c r="F6" s="62">
        <v>5</v>
      </c>
      <c r="G6" s="62">
        <v>6</v>
      </c>
      <c r="H6" s="62">
        <v>7</v>
      </c>
      <c r="I6" s="62">
        <v>8</v>
      </c>
      <c r="J6" s="62">
        <v>9</v>
      </c>
      <c r="K6" s="63" t="s">
        <v>368</v>
      </c>
      <c r="L6" s="62" t="s">
        <v>369</v>
      </c>
      <c r="M6" s="62" t="s">
        <v>370</v>
      </c>
      <c r="N6" s="62" t="s">
        <v>371</v>
      </c>
      <c r="O6" s="62">
        <v>14</v>
      </c>
      <c r="P6" s="64" t="s">
        <v>372</v>
      </c>
      <c r="Q6" s="64" t="s">
        <v>373</v>
      </c>
      <c r="R6" s="65" t="s">
        <v>374</v>
      </c>
    </row>
    <row r="7" spans="1:29" ht="65.400000000000006" customHeight="1" x14ac:dyDescent="0.3">
      <c r="B7" s="42" t="s">
        <v>375</v>
      </c>
      <c r="C7" s="9" t="s">
        <v>376</v>
      </c>
      <c r="D7" s="9" t="s">
        <v>377</v>
      </c>
      <c r="E7" s="9" t="s">
        <v>378</v>
      </c>
      <c r="F7" s="9" t="s">
        <v>379</v>
      </c>
      <c r="G7" s="43" t="s">
        <v>380</v>
      </c>
      <c r="H7" s="44" t="s">
        <v>381</v>
      </c>
      <c r="I7" s="44" t="s">
        <v>382</v>
      </c>
      <c r="J7" s="44" t="s">
        <v>383</v>
      </c>
      <c r="K7" s="9" t="s">
        <v>384</v>
      </c>
      <c r="L7" s="9" t="s">
        <v>385</v>
      </c>
      <c r="M7" s="9" t="s">
        <v>386</v>
      </c>
      <c r="N7" s="9" t="s">
        <v>387</v>
      </c>
      <c r="O7" s="9" t="s">
        <v>388</v>
      </c>
      <c r="P7" s="58" t="s">
        <v>389</v>
      </c>
      <c r="Q7" s="58" t="s">
        <v>390</v>
      </c>
      <c r="R7" s="13" t="s">
        <v>24</v>
      </c>
    </row>
    <row r="8" spans="1:29" ht="20.25" customHeight="1" x14ac:dyDescent="0.3">
      <c r="B8" s="37" t="s">
        <v>426</v>
      </c>
      <c r="C8" s="45"/>
      <c r="D8" s="45"/>
      <c r="E8" s="45"/>
      <c r="F8" s="45"/>
      <c r="G8" s="45"/>
      <c r="H8" s="52"/>
      <c r="I8" s="52"/>
      <c r="J8" s="52"/>
      <c r="K8" s="52"/>
      <c r="L8" s="52"/>
      <c r="M8" s="53"/>
      <c r="N8" s="53"/>
      <c r="O8" s="53"/>
      <c r="P8" s="46"/>
      <c r="Q8" s="46"/>
      <c r="R8" s="56"/>
      <c r="S8" s="35"/>
      <c r="U8" s="35"/>
      <c r="W8" s="35"/>
      <c r="Y8" s="35"/>
      <c r="AA8" s="35"/>
      <c r="AC8" s="35"/>
    </row>
    <row r="9" spans="1:29" ht="17.399999999999999" x14ac:dyDescent="0.3">
      <c r="B9" s="10" t="s">
        <v>426</v>
      </c>
      <c r="C9" s="67"/>
      <c r="D9" s="67"/>
      <c r="E9" s="47"/>
      <c r="F9" s="47"/>
      <c r="G9" s="47"/>
      <c r="H9" s="54">
        <f>SUBTOTAL(9,H10:H40)*24</f>
        <v>14.75</v>
      </c>
      <c r="I9" s="54">
        <f>SUBTOTAL(9,I10:I40)*24</f>
        <v>22.833333333333332</v>
      </c>
      <c r="J9" s="54">
        <f>SUBTOTAL(9,J10:J40)*24</f>
        <v>144.41666666666669</v>
      </c>
      <c r="K9" s="55">
        <f>SUBTOTAL(9,K10:K40)</f>
        <v>610.5</v>
      </c>
      <c r="L9" s="55">
        <f>SUBTOTAL(9,L10:L40)</f>
        <v>730</v>
      </c>
      <c r="M9" s="55">
        <f>SUBTOTAL(9,M10:M40)</f>
        <v>48238.25</v>
      </c>
      <c r="N9" s="55">
        <f>SUBTOTAL(9,N10:N40)</f>
        <v>57784</v>
      </c>
      <c r="O9" s="55">
        <f>SUBTOTAL(9,O10:O40)</f>
        <v>41318</v>
      </c>
      <c r="P9" s="48">
        <f>IFERROR(M9/O9,"")</f>
        <v>1.1674875356987269</v>
      </c>
      <c r="Q9" s="48">
        <f>IFERROR(N9/O9,"")</f>
        <v>1.39851880536328</v>
      </c>
      <c r="R9" s="57">
        <f>1/Q9</f>
        <v>0.71504222622179148</v>
      </c>
      <c r="S9" s="35"/>
      <c r="U9" s="35"/>
      <c r="W9" s="35"/>
      <c r="Y9" s="35"/>
      <c r="AA9" s="35"/>
      <c r="AC9" s="35"/>
    </row>
    <row r="10" spans="1:29" ht="15.6" x14ac:dyDescent="0.3">
      <c r="A10">
        <v>1</v>
      </c>
      <c r="B10" s="70" cm="1">
        <f t="array" ref="B10:R316">_xlfn._xlws.FILTER(
    Finish[[NGÀY SX]:[UPPH]],
    (IF(Dashboard!C3="Tất cả", ROW(Finish[Month])=ROW(Finish[Month]), Finish[Month]=Dashboard!C3)) * (IF(Dashboard!B8="Tất cả", ROW(Finish[DÂY CHUYỀN])=ROW(Finish[DÂY CHUYỀN]), Finish[DÂY CHUYỀN]=Dashboard!B8)) * (IF(Dashboard!B9="Tất cả", ROW(Finish[TỔ SX])=ROW(Finish[TỔ SX]), Finish[TỔ SX]=Dashboard!B9)),
    "Không có dữ liệu"
)</f>
        <v>46023</v>
      </c>
      <c r="C10" s="75" t="str">
        <v>PUcanh</v>
      </c>
      <c r="D10" s="68">
        <v>95</v>
      </c>
      <c r="E10" s="66">
        <v>46023.291666666664</v>
      </c>
      <c r="F10" s="49">
        <v>46024.291666666664</v>
      </c>
      <c r="G10" s="49">
        <v>0.14583333333333334</v>
      </c>
      <c r="H10" s="4">
        <v>0</v>
      </c>
      <c r="I10" s="4">
        <v>0</v>
      </c>
      <c r="J10" s="4">
        <v>8.3333333333333329E-2</v>
      </c>
      <c r="K10" s="5">
        <v>20.5</v>
      </c>
      <c r="L10" s="5">
        <v>24</v>
      </c>
      <c r="M10" s="5">
        <v>1947.5</v>
      </c>
      <c r="N10" s="5">
        <v>2280</v>
      </c>
      <c r="O10" s="6">
        <v>1531</v>
      </c>
      <c r="P10" s="7">
        <v>1.2720444154147617</v>
      </c>
      <c r="Q10" s="7">
        <v>1.4892227302416721</v>
      </c>
      <c r="R10" s="7">
        <v>0.67149122807017547</v>
      </c>
      <c r="S10" s="35"/>
      <c r="U10" s="35"/>
      <c r="W10" s="35"/>
      <c r="Y10" s="35"/>
      <c r="AA10" s="35"/>
      <c r="AC10" s="35"/>
    </row>
    <row r="11" spans="1:29" ht="15.6" x14ac:dyDescent="0.3">
      <c r="A11">
        <v>2</v>
      </c>
      <c r="B11" s="70">
        <v>46024</v>
      </c>
      <c r="C11" s="75" t="str">
        <v>PUcanh</v>
      </c>
      <c r="D11" s="68">
        <v>93</v>
      </c>
      <c r="E11" s="66">
        <v>46024.291666666664</v>
      </c>
      <c r="F11" s="49">
        <v>46025.291666666664</v>
      </c>
      <c r="G11" s="49">
        <v>0.14583333333333334</v>
      </c>
      <c r="H11" s="4">
        <v>1.3888888888888888E-2</v>
      </c>
      <c r="I11" s="4">
        <v>3.125E-2</v>
      </c>
      <c r="J11" s="4">
        <v>0.10416666666666667</v>
      </c>
      <c r="K11" s="5">
        <v>20.166666666666668</v>
      </c>
      <c r="L11" s="5">
        <v>24</v>
      </c>
      <c r="M11" s="5">
        <v>1875.5</v>
      </c>
      <c r="N11" s="5">
        <v>2232</v>
      </c>
      <c r="O11" s="6">
        <v>1403</v>
      </c>
      <c r="P11" s="7">
        <v>1.3367783321454028</v>
      </c>
      <c r="Q11" s="7">
        <v>1.5908766928011404</v>
      </c>
      <c r="R11" s="7">
        <v>0.62858422939068104</v>
      </c>
      <c r="S11" s="35"/>
      <c r="U11" s="35"/>
      <c r="W11" s="35"/>
      <c r="Y11" s="35"/>
      <c r="AA11" s="35"/>
      <c r="AC11" s="35"/>
    </row>
    <row r="12" spans="1:29" ht="15.6" x14ac:dyDescent="0.3">
      <c r="A12">
        <v>3</v>
      </c>
      <c r="B12" s="70">
        <v>46025</v>
      </c>
      <c r="C12" s="75" t="str">
        <v>PUcanh</v>
      </c>
      <c r="D12" s="68">
        <v>81</v>
      </c>
      <c r="E12" s="66">
        <v>46025.291666666664</v>
      </c>
      <c r="F12" s="49">
        <v>46026.291666666664</v>
      </c>
      <c r="G12" s="49">
        <v>0.14583333333333334</v>
      </c>
      <c r="H12" s="4">
        <v>0</v>
      </c>
      <c r="I12" s="4">
        <v>6.25E-2</v>
      </c>
      <c r="J12" s="4">
        <v>0.44791666666666669</v>
      </c>
      <c r="K12" s="5">
        <v>20.5</v>
      </c>
      <c r="L12" s="5">
        <v>24</v>
      </c>
      <c r="M12" s="5">
        <v>1660.5</v>
      </c>
      <c r="N12" s="5">
        <v>1944</v>
      </c>
      <c r="O12" s="6">
        <v>1721</v>
      </c>
      <c r="P12" s="7">
        <v>0.96484601975595585</v>
      </c>
      <c r="Q12" s="7">
        <v>1.1295758280069728</v>
      </c>
      <c r="R12" s="7">
        <v>0.8852880658436213</v>
      </c>
      <c r="S12" s="35"/>
      <c r="U12" s="35"/>
      <c r="W12" s="35"/>
      <c r="Y12" s="35"/>
      <c r="AA12" s="35"/>
      <c r="AC12" s="35"/>
    </row>
    <row r="13" spans="1:29" ht="15.6" x14ac:dyDescent="0.3">
      <c r="A13">
        <v>4</v>
      </c>
      <c r="B13" s="70">
        <v>46026</v>
      </c>
      <c r="C13" s="75" t="str">
        <v>PUcanh</v>
      </c>
      <c r="D13" s="68">
        <v>73</v>
      </c>
      <c r="E13" s="66">
        <v>46026.291666666664</v>
      </c>
      <c r="F13" s="49">
        <v>46027.291666666664</v>
      </c>
      <c r="G13" s="49">
        <v>0.14583333333333334</v>
      </c>
      <c r="H13" s="4">
        <v>5.5555555555555552E-2</v>
      </c>
      <c r="I13" s="4">
        <v>0</v>
      </c>
      <c r="J13" s="4">
        <v>3.4722222222222224E-2</v>
      </c>
      <c r="K13" s="5">
        <v>19.166666666666668</v>
      </c>
      <c r="L13" s="5">
        <v>24</v>
      </c>
      <c r="M13" s="5">
        <v>1399.1666666666667</v>
      </c>
      <c r="N13" s="5">
        <v>1752</v>
      </c>
      <c r="O13" s="6">
        <v>1167</v>
      </c>
      <c r="P13" s="7">
        <v>1.1989431590974009</v>
      </c>
      <c r="Q13" s="7">
        <v>1.5012853470437018</v>
      </c>
      <c r="R13" s="7">
        <v>0.66609589041095896</v>
      </c>
      <c r="S13" s="35"/>
      <c r="U13" s="35"/>
      <c r="W13" s="35"/>
      <c r="Y13" s="35"/>
      <c r="AA13" s="35"/>
      <c r="AC13" s="35"/>
    </row>
    <row r="14" spans="1:29" ht="15.6" x14ac:dyDescent="0.3">
      <c r="A14">
        <v>5</v>
      </c>
      <c r="B14" s="70">
        <v>46027</v>
      </c>
      <c r="C14" s="75" t="str">
        <v>PUcanh</v>
      </c>
      <c r="D14" s="68">
        <v>84</v>
      </c>
      <c r="E14" s="66">
        <v>46027.291666666664</v>
      </c>
      <c r="F14" s="49">
        <v>46028.291666666664</v>
      </c>
      <c r="G14" s="49">
        <v>0.14583333333333334</v>
      </c>
      <c r="H14" s="4">
        <v>0</v>
      </c>
      <c r="I14" s="4">
        <v>0</v>
      </c>
      <c r="J14" s="4">
        <v>0</v>
      </c>
      <c r="K14" s="5">
        <v>20.5</v>
      </c>
      <c r="L14" s="5">
        <v>24</v>
      </c>
      <c r="M14" s="5">
        <v>1722</v>
      </c>
      <c r="N14" s="5">
        <v>2016</v>
      </c>
      <c r="O14" s="6">
        <v>1425</v>
      </c>
      <c r="P14" s="7">
        <v>1.2084210526315788</v>
      </c>
      <c r="Q14" s="7">
        <v>1.4147368421052631</v>
      </c>
      <c r="R14" s="7">
        <v>0.70684523809523814</v>
      </c>
      <c r="S14" s="35"/>
      <c r="U14" s="35"/>
      <c r="W14" s="35"/>
      <c r="Y14" s="35"/>
      <c r="AA14" s="35"/>
      <c r="AC14" s="35"/>
    </row>
    <row r="15" spans="1:29" ht="15.6" x14ac:dyDescent="0.3">
      <c r="A15">
        <v>6</v>
      </c>
      <c r="B15" s="70">
        <v>46028</v>
      </c>
      <c r="C15" s="75" t="str">
        <v>PUcanh</v>
      </c>
      <c r="D15" s="68">
        <v>88</v>
      </c>
      <c r="E15" s="66">
        <v>46028.291666666664</v>
      </c>
      <c r="F15" s="49">
        <v>46029.291666666664</v>
      </c>
      <c r="G15" s="49">
        <v>0.14583333333333334</v>
      </c>
      <c r="H15" s="4">
        <v>0</v>
      </c>
      <c r="I15" s="4">
        <v>9.0277777777777776E-2</v>
      </c>
      <c r="J15" s="4">
        <v>0.2638888888888889</v>
      </c>
      <c r="K15" s="5">
        <v>20.5</v>
      </c>
      <c r="L15" s="5">
        <v>24</v>
      </c>
      <c r="M15" s="5">
        <v>1804</v>
      </c>
      <c r="N15" s="5">
        <v>2112</v>
      </c>
      <c r="O15" s="6">
        <v>1387</v>
      </c>
      <c r="P15" s="7">
        <v>1.300648882480173</v>
      </c>
      <c r="Q15" s="7">
        <v>1.5227108868060562</v>
      </c>
      <c r="R15" s="7">
        <v>0.65672348484848486</v>
      </c>
      <c r="S15" s="35"/>
    </row>
    <row r="16" spans="1:29" ht="15.6" x14ac:dyDescent="0.3">
      <c r="A16">
        <v>7</v>
      </c>
      <c r="B16" s="71">
        <v>46029</v>
      </c>
      <c r="C16" s="75" t="str">
        <v>PUcanh</v>
      </c>
      <c r="D16" s="68">
        <v>90</v>
      </c>
      <c r="E16" s="66">
        <v>46029.291666666664</v>
      </c>
      <c r="F16" s="49">
        <v>46030.291666666664</v>
      </c>
      <c r="G16" s="49">
        <v>0.14583333333333334</v>
      </c>
      <c r="H16" s="4">
        <v>3.4722222222222224E-2</v>
      </c>
      <c r="I16" s="4">
        <v>0</v>
      </c>
      <c r="J16" s="4">
        <v>0.10416666666666667</v>
      </c>
      <c r="K16" s="5">
        <v>19.666666666666668</v>
      </c>
      <c r="L16" s="5">
        <v>24</v>
      </c>
      <c r="M16" s="5">
        <v>1770</v>
      </c>
      <c r="N16" s="5">
        <v>2160</v>
      </c>
      <c r="O16" s="6">
        <v>1475</v>
      </c>
      <c r="P16" s="7">
        <v>1.2</v>
      </c>
      <c r="Q16" s="7">
        <v>1.464406779661017</v>
      </c>
      <c r="R16" s="7">
        <v>0.68287037037037035</v>
      </c>
      <c r="S16" s="35"/>
    </row>
    <row r="17" spans="1:19" ht="15.6" x14ac:dyDescent="0.3">
      <c r="A17">
        <v>8</v>
      </c>
      <c r="B17" s="71">
        <v>46030</v>
      </c>
      <c r="C17" s="75" t="str">
        <v>PUcanh</v>
      </c>
      <c r="D17" s="68">
        <v>90</v>
      </c>
      <c r="E17" s="66">
        <v>46030.291666666664</v>
      </c>
      <c r="F17" s="49">
        <v>46031.291666666664</v>
      </c>
      <c r="G17" s="49">
        <v>0.14583333333333334</v>
      </c>
      <c r="H17" s="4">
        <v>1.3888888888888888E-2</v>
      </c>
      <c r="I17" s="4">
        <v>0</v>
      </c>
      <c r="J17" s="4">
        <v>8.3333333333333329E-2</v>
      </c>
      <c r="K17" s="5">
        <v>20.166666666666668</v>
      </c>
      <c r="L17" s="5">
        <v>24</v>
      </c>
      <c r="M17" s="5">
        <v>1815</v>
      </c>
      <c r="N17" s="5">
        <v>2160</v>
      </c>
      <c r="O17" s="6">
        <v>1476</v>
      </c>
      <c r="P17" s="7">
        <v>1.2296747967479675</v>
      </c>
      <c r="Q17" s="7">
        <v>1.4634146341463414</v>
      </c>
      <c r="R17" s="7">
        <v>0.68333333333333335</v>
      </c>
      <c r="S17" s="35"/>
    </row>
    <row r="18" spans="1:19" ht="15.6" x14ac:dyDescent="0.3">
      <c r="A18">
        <v>9</v>
      </c>
      <c r="B18" s="70">
        <v>46031</v>
      </c>
      <c r="C18" s="75" t="str">
        <v>PUcanh</v>
      </c>
      <c r="D18" s="68">
        <v>80</v>
      </c>
      <c r="E18" s="66">
        <v>46031.291666666664</v>
      </c>
      <c r="F18" s="49">
        <v>46032.291666666664</v>
      </c>
      <c r="G18" s="49">
        <v>0.14583333333333334</v>
      </c>
      <c r="H18" s="4">
        <v>0</v>
      </c>
      <c r="I18" s="4">
        <v>2.0833333333333332E-2</v>
      </c>
      <c r="J18" s="4">
        <v>0.11805555555555555</v>
      </c>
      <c r="K18" s="5">
        <v>20.5</v>
      </c>
      <c r="L18" s="5">
        <v>24</v>
      </c>
      <c r="M18" s="5">
        <v>1640</v>
      </c>
      <c r="N18" s="5">
        <v>1920</v>
      </c>
      <c r="O18" s="6">
        <v>990</v>
      </c>
      <c r="P18" s="7">
        <v>1.6565656565656566</v>
      </c>
      <c r="Q18" s="7">
        <v>1.9393939393939394</v>
      </c>
      <c r="R18" s="7">
        <v>0.515625</v>
      </c>
      <c r="S18" s="35"/>
    </row>
    <row r="19" spans="1:19" ht="15.6" x14ac:dyDescent="0.3">
      <c r="A19">
        <v>10</v>
      </c>
      <c r="B19" s="70">
        <v>46032</v>
      </c>
      <c r="C19" s="75" t="str">
        <v>PUcanh</v>
      </c>
      <c r="D19" s="68">
        <v>86</v>
      </c>
      <c r="E19" s="66">
        <v>46032.291666666664</v>
      </c>
      <c r="F19" s="49">
        <v>46033.291666666664</v>
      </c>
      <c r="G19" s="49">
        <v>0.14583333333333334</v>
      </c>
      <c r="H19" s="4">
        <v>0</v>
      </c>
      <c r="I19" s="4">
        <v>4.1666666666666664E-2</v>
      </c>
      <c r="J19" s="4">
        <v>0.41666666666666669</v>
      </c>
      <c r="K19" s="5">
        <v>20.5</v>
      </c>
      <c r="L19" s="5">
        <v>24</v>
      </c>
      <c r="M19" s="5">
        <v>1763</v>
      </c>
      <c r="N19" s="5">
        <v>2064</v>
      </c>
      <c r="O19" s="6">
        <v>1266</v>
      </c>
      <c r="P19" s="7">
        <v>1.3925750394944707</v>
      </c>
      <c r="Q19" s="7">
        <v>1.6303317535545023</v>
      </c>
      <c r="R19" s="7">
        <v>0.61337209302325579</v>
      </c>
      <c r="S19" s="35"/>
    </row>
    <row r="20" spans="1:19" ht="15.6" x14ac:dyDescent="0.3">
      <c r="A20">
        <v>11</v>
      </c>
      <c r="B20" s="71">
        <v>46033</v>
      </c>
      <c r="C20" s="75" t="str">
        <v>PUcanh</v>
      </c>
      <c r="D20" s="68">
        <v>67</v>
      </c>
      <c r="E20" s="66">
        <v>46033.291666666664</v>
      </c>
      <c r="F20" s="49">
        <v>46034.291666666664</v>
      </c>
      <c r="G20" s="49">
        <v>0.14583333333333334</v>
      </c>
      <c r="H20" s="4">
        <v>0</v>
      </c>
      <c r="I20" s="4">
        <v>0</v>
      </c>
      <c r="J20" s="4">
        <v>0</v>
      </c>
      <c r="K20" s="5">
        <v>20.5</v>
      </c>
      <c r="L20" s="5">
        <v>24</v>
      </c>
      <c r="M20" s="5">
        <v>1373.5</v>
      </c>
      <c r="N20" s="5">
        <v>1608</v>
      </c>
      <c r="O20" s="6">
        <v>914</v>
      </c>
      <c r="P20" s="7">
        <v>1.5027352297592997</v>
      </c>
      <c r="Q20" s="7">
        <v>1.7592997811816193</v>
      </c>
      <c r="R20" s="7">
        <v>0.56840796019900497</v>
      </c>
      <c r="S20" s="35"/>
    </row>
    <row r="21" spans="1:19" ht="15.6" x14ac:dyDescent="0.3">
      <c r="A21">
        <v>12</v>
      </c>
      <c r="B21" s="71">
        <v>46034</v>
      </c>
      <c r="C21" s="75" t="str">
        <v>PUcanh</v>
      </c>
      <c r="D21" s="68">
        <v>82</v>
      </c>
      <c r="E21" s="66">
        <v>46034.291666666664</v>
      </c>
      <c r="F21" s="49">
        <v>46035.291666666664</v>
      </c>
      <c r="G21" s="49">
        <v>0.14583333333333334</v>
      </c>
      <c r="H21" s="4">
        <v>0</v>
      </c>
      <c r="I21" s="4">
        <v>2.0833333333333332E-2</v>
      </c>
      <c r="J21" s="4">
        <v>0.20833333333333334</v>
      </c>
      <c r="K21" s="5">
        <v>20.5</v>
      </c>
      <c r="L21" s="5">
        <v>24</v>
      </c>
      <c r="M21" s="5">
        <v>1681</v>
      </c>
      <c r="N21" s="5">
        <v>1968</v>
      </c>
      <c r="O21" s="6">
        <v>1320</v>
      </c>
      <c r="P21" s="7">
        <v>1.2734848484848484</v>
      </c>
      <c r="Q21" s="7">
        <v>1.490909090909091</v>
      </c>
      <c r="R21" s="7">
        <v>0.6707317073170731</v>
      </c>
      <c r="S21" s="35"/>
    </row>
    <row r="22" spans="1:19" ht="15.6" x14ac:dyDescent="0.3">
      <c r="A22">
        <v>13</v>
      </c>
      <c r="B22" s="70">
        <v>46035</v>
      </c>
      <c r="C22" s="75" t="str">
        <v>PUcanh</v>
      </c>
      <c r="D22" s="68">
        <v>85</v>
      </c>
      <c r="E22" s="66">
        <v>46035.291666666664</v>
      </c>
      <c r="F22" s="49">
        <v>46036.291666666664</v>
      </c>
      <c r="G22" s="49">
        <v>0.14583333333333334</v>
      </c>
      <c r="H22" s="4">
        <v>1.7361111111111112E-2</v>
      </c>
      <c r="I22" s="4">
        <v>4.8611111111111112E-2</v>
      </c>
      <c r="J22" s="4">
        <v>0.4375</v>
      </c>
      <c r="K22" s="5">
        <v>20.083333333333332</v>
      </c>
      <c r="L22" s="5">
        <v>24</v>
      </c>
      <c r="M22" s="5">
        <v>1707.0833333333333</v>
      </c>
      <c r="N22" s="5">
        <v>2040</v>
      </c>
      <c r="O22" s="6">
        <v>1225</v>
      </c>
      <c r="P22" s="7">
        <v>1.3935374149659863</v>
      </c>
      <c r="Q22" s="7">
        <v>1.6653061224489796</v>
      </c>
      <c r="R22" s="7">
        <v>0.60049019607843135</v>
      </c>
      <c r="S22" s="35"/>
    </row>
    <row r="23" spans="1:19" ht="15.6" x14ac:dyDescent="0.3">
      <c r="A23">
        <v>14</v>
      </c>
      <c r="B23" s="70">
        <v>46036</v>
      </c>
      <c r="C23" s="75" t="str">
        <v>PUcanh</v>
      </c>
      <c r="D23" s="68">
        <v>90</v>
      </c>
      <c r="E23" s="66">
        <v>46036.291666666664</v>
      </c>
      <c r="F23" s="49">
        <v>46037.291666666664</v>
      </c>
      <c r="G23" s="49">
        <v>0.14583333333333334</v>
      </c>
      <c r="H23" s="4">
        <v>2.0833333333333332E-2</v>
      </c>
      <c r="I23" s="4">
        <v>2.7777777777777776E-2</v>
      </c>
      <c r="J23" s="4">
        <v>0.53472222222222221</v>
      </c>
      <c r="K23" s="5">
        <v>20</v>
      </c>
      <c r="L23" s="5">
        <v>24</v>
      </c>
      <c r="M23" s="5">
        <v>1800</v>
      </c>
      <c r="N23" s="5">
        <v>2160</v>
      </c>
      <c r="O23" s="6">
        <v>1207</v>
      </c>
      <c r="P23" s="7">
        <v>1.4913007456503728</v>
      </c>
      <c r="Q23" s="7">
        <v>1.7895608947804473</v>
      </c>
      <c r="R23" s="7">
        <v>0.55879629629629635</v>
      </c>
      <c r="S23" s="35"/>
    </row>
    <row r="24" spans="1:19" ht="15.6" x14ac:dyDescent="0.3">
      <c r="A24">
        <v>15</v>
      </c>
      <c r="B24" s="71">
        <v>46037</v>
      </c>
      <c r="C24" s="75" t="str">
        <v>PUcanh</v>
      </c>
      <c r="D24" s="68">
        <v>84</v>
      </c>
      <c r="E24" s="66">
        <v>46037.291666666664</v>
      </c>
      <c r="F24" s="49">
        <v>46038.291666666664</v>
      </c>
      <c r="G24" s="49">
        <v>0.14583333333333334</v>
      </c>
      <c r="H24" s="4">
        <v>0.10416666666666667</v>
      </c>
      <c r="I24" s="4">
        <v>3.4722222222222224E-2</v>
      </c>
      <c r="J24" s="4">
        <v>0.25</v>
      </c>
      <c r="K24" s="5">
        <v>18</v>
      </c>
      <c r="L24" s="5">
        <v>24</v>
      </c>
      <c r="M24" s="5">
        <v>1512</v>
      </c>
      <c r="N24" s="5">
        <v>2016</v>
      </c>
      <c r="O24" s="6">
        <v>1464</v>
      </c>
      <c r="P24" s="7">
        <v>1.0327868852459017</v>
      </c>
      <c r="Q24" s="7">
        <v>1.3770491803278688</v>
      </c>
      <c r="R24" s="7">
        <v>0.72619047619047616</v>
      </c>
      <c r="S24" s="35"/>
    </row>
    <row r="25" spans="1:19" ht="15.6" x14ac:dyDescent="0.3">
      <c r="A25">
        <v>16</v>
      </c>
      <c r="B25" s="71">
        <v>46038</v>
      </c>
      <c r="C25" s="75" t="str">
        <v>PUcanh</v>
      </c>
      <c r="D25" s="68">
        <v>83</v>
      </c>
      <c r="E25" s="66">
        <v>46038.291666666664</v>
      </c>
      <c r="F25" s="49">
        <v>46039.291666666664</v>
      </c>
      <c r="G25" s="49">
        <v>0.14583333333333334</v>
      </c>
      <c r="H25" s="4">
        <v>0</v>
      </c>
      <c r="I25" s="4">
        <v>6.25E-2</v>
      </c>
      <c r="J25" s="4">
        <v>0</v>
      </c>
      <c r="K25" s="5">
        <v>20.5</v>
      </c>
      <c r="L25" s="5">
        <v>24</v>
      </c>
      <c r="M25" s="5">
        <v>1701.5</v>
      </c>
      <c r="N25" s="5">
        <v>1992</v>
      </c>
      <c r="O25" s="6">
        <v>1472</v>
      </c>
      <c r="P25" s="7">
        <v>1.1559103260869565</v>
      </c>
      <c r="Q25" s="7">
        <v>1.3532608695652173</v>
      </c>
      <c r="R25" s="7">
        <v>0.73895582329317278</v>
      </c>
      <c r="S25" s="35"/>
    </row>
    <row r="26" spans="1:19" ht="15.6" x14ac:dyDescent="0.3">
      <c r="A26">
        <v>17</v>
      </c>
      <c r="B26" s="70">
        <v>46039</v>
      </c>
      <c r="C26" s="75" t="str">
        <v>PUcanh</v>
      </c>
      <c r="D26" s="68">
        <v>75</v>
      </c>
      <c r="E26" s="66">
        <v>46039.291666666664</v>
      </c>
      <c r="F26" s="49">
        <v>46040.291666666664</v>
      </c>
      <c r="G26" s="49">
        <v>0.14583333333333334</v>
      </c>
      <c r="H26" s="4">
        <v>5.9027777777777776E-2</v>
      </c>
      <c r="I26" s="4">
        <v>0</v>
      </c>
      <c r="J26" s="4">
        <v>0</v>
      </c>
      <c r="K26" s="5">
        <v>19.083333333333332</v>
      </c>
      <c r="L26" s="5">
        <v>24</v>
      </c>
      <c r="M26" s="5">
        <v>1431.25</v>
      </c>
      <c r="N26" s="5">
        <v>1800</v>
      </c>
      <c r="O26" s="6">
        <v>1455</v>
      </c>
      <c r="P26" s="7">
        <v>0.98367697594501713</v>
      </c>
      <c r="Q26" s="7">
        <v>1.2371134020618557</v>
      </c>
      <c r="R26" s="7">
        <v>0.80833333333333335</v>
      </c>
      <c r="S26" s="35"/>
    </row>
    <row r="27" spans="1:19" ht="15.6" x14ac:dyDescent="0.3">
      <c r="A27">
        <v>18</v>
      </c>
      <c r="B27" s="70">
        <v>46040</v>
      </c>
      <c r="C27" s="75" t="str">
        <v>PUcanh</v>
      </c>
      <c r="D27" s="68">
        <v>34</v>
      </c>
      <c r="E27" s="66">
        <v>46040</v>
      </c>
      <c r="F27" s="49">
        <v>46040.791666666664</v>
      </c>
      <c r="G27" s="49">
        <v>7.2916666666666671E-2</v>
      </c>
      <c r="H27" s="4">
        <v>0</v>
      </c>
      <c r="I27" s="4">
        <v>2.7777777777777776E-2</v>
      </c>
      <c r="J27" s="4">
        <v>0</v>
      </c>
      <c r="K27" s="5">
        <v>17.25</v>
      </c>
      <c r="L27" s="5">
        <v>19</v>
      </c>
      <c r="M27" s="5">
        <v>586.5</v>
      </c>
      <c r="N27" s="5">
        <v>646</v>
      </c>
      <c r="O27" s="6">
        <v>405</v>
      </c>
      <c r="P27" s="7">
        <v>1.4481481481481482</v>
      </c>
      <c r="Q27" s="7">
        <v>1.5950617283950617</v>
      </c>
      <c r="R27" s="7">
        <v>0.62693498452012386</v>
      </c>
      <c r="S27" s="35"/>
    </row>
    <row r="28" spans="1:19" ht="15.6" x14ac:dyDescent="0.3">
      <c r="A28">
        <v>19</v>
      </c>
      <c r="B28" s="71">
        <v>46041</v>
      </c>
      <c r="C28" s="75" t="str">
        <v>PUcanh</v>
      </c>
      <c r="D28" s="68">
        <v>78</v>
      </c>
      <c r="E28" s="66">
        <v>46041.291666666664</v>
      </c>
      <c r="F28" s="49">
        <v>46042.291666666664</v>
      </c>
      <c r="G28" s="49">
        <v>0.14583333333333334</v>
      </c>
      <c r="H28" s="4">
        <v>0.1111111111111111</v>
      </c>
      <c r="I28" s="4">
        <v>6.9444444444444448E-2</v>
      </c>
      <c r="J28" s="4">
        <v>0</v>
      </c>
      <c r="K28" s="5">
        <v>17.833333333333332</v>
      </c>
      <c r="L28" s="5">
        <v>24</v>
      </c>
      <c r="M28" s="5">
        <v>1391</v>
      </c>
      <c r="N28" s="5">
        <v>1872</v>
      </c>
      <c r="O28" s="6">
        <v>1379</v>
      </c>
      <c r="P28" s="7">
        <v>1.0087019579405365</v>
      </c>
      <c r="Q28" s="7">
        <v>1.3575054387237129</v>
      </c>
      <c r="R28" s="7">
        <v>0.73664529914529908</v>
      </c>
      <c r="S28" s="35"/>
    </row>
    <row r="29" spans="1:19" ht="15.6" x14ac:dyDescent="0.3">
      <c r="A29">
        <v>20</v>
      </c>
      <c r="B29" s="71">
        <v>46042</v>
      </c>
      <c r="C29" s="75" t="str">
        <v>PUcanh</v>
      </c>
      <c r="D29" s="68">
        <v>81</v>
      </c>
      <c r="E29" s="66">
        <v>46042.291666666664</v>
      </c>
      <c r="F29" s="49">
        <v>46043.291666666664</v>
      </c>
      <c r="G29" s="49">
        <v>0.14583333333333334</v>
      </c>
      <c r="H29" s="4">
        <v>0</v>
      </c>
      <c r="I29" s="4">
        <v>0</v>
      </c>
      <c r="J29" s="4">
        <v>0.41666666666666669</v>
      </c>
      <c r="K29" s="5">
        <v>20.5</v>
      </c>
      <c r="L29" s="5">
        <v>24</v>
      </c>
      <c r="M29" s="5">
        <v>1660.5</v>
      </c>
      <c r="N29" s="5">
        <v>1944</v>
      </c>
      <c r="O29" s="6">
        <v>1643</v>
      </c>
      <c r="P29" s="7">
        <v>1.0106512477175897</v>
      </c>
      <c r="Q29" s="7">
        <v>1.1832014607425441</v>
      </c>
      <c r="R29" s="7">
        <v>0.84516460905349799</v>
      </c>
      <c r="S29" s="35"/>
    </row>
    <row r="30" spans="1:19" ht="15.6" x14ac:dyDescent="0.3">
      <c r="A30">
        <v>21</v>
      </c>
      <c r="B30" s="70">
        <v>46043</v>
      </c>
      <c r="C30" s="75" t="str">
        <v>PUcanh</v>
      </c>
      <c r="D30" s="68">
        <v>81</v>
      </c>
      <c r="E30" s="66">
        <v>46043.291666666664</v>
      </c>
      <c r="F30" s="49">
        <v>46044.291666666664</v>
      </c>
      <c r="G30" s="49">
        <v>0.14583333333333334</v>
      </c>
      <c r="H30" s="4">
        <v>0</v>
      </c>
      <c r="I30" s="4">
        <v>0</v>
      </c>
      <c r="J30" s="4">
        <v>0.85416666666666663</v>
      </c>
      <c r="K30" s="5">
        <v>20.5</v>
      </c>
      <c r="L30" s="5">
        <v>24</v>
      </c>
      <c r="M30" s="5">
        <v>1660.5</v>
      </c>
      <c r="N30" s="5">
        <v>1944</v>
      </c>
      <c r="O30" s="6">
        <v>1346</v>
      </c>
      <c r="P30" s="7">
        <v>1.2336552748885588</v>
      </c>
      <c r="Q30" s="7">
        <v>1.4442793462109955</v>
      </c>
      <c r="R30" s="7">
        <v>0.6923868312757202</v>
      </c>
      <c r="S30" s="35"/>
    </row>
    <row r="31" spans="1:19" ht="15.6" x14ac:dyDescent="0.3">
      <c r="A31">
        <v>22</v>
      </c>
      <c r="B31" s="70">
        <v>46044</v>
      </c>
      <c r="C31" s="75" t="str">
        <v>PUcanh</v>
      </c>
      <c r="D31" s="68">
        <v>81</v>
      </c>
      <c r="E31" s="66">
        <v>46044.291666666664</v>
      </c>
      <c r="F31" s="49">
        <v>46045.291666666664</v>
      </c>
      <c r="G31" s="49">
        <v>0.14583333333333334</v>
      </c>
      <c r="H31" s="4">
        <v>0</v>
      </c>
      <c r="I31" s="4">
        <v>4.1666666666666664E-2</v>
      </c>
      <c r="J31" s="4">
        <v>0.35416666666666669</v>
      </c>
      <c r="K31" s="5">
        <v>20.5</v>
      </c>
      <c r="L31" s="5">
        <v>24</v>
      </c>
      <c r="M31" s="5">
        <v>1660.5</v>
      </c>
      <c r="N31" s="5">
        <v>1944</v>
      </c>
      <c r="O31" s="6">
        <v>1568</v>
      </c>
      <c r="P31" s="7">
        <v>1.0589923469387754</v>
      </c>
      <c r="Q31" s="7">
        <v>1.239795918367347</v>
      </c>
      <c r="R31" s="7">
        <v>0.80658436213991758</v>
      </c>
      <c r="S31" s="17"/>
    </row>
    <row r="32" spans="1:19" ht="15.6" x14ac:dyDescent="0.3">
      <c r="A32">
        <v>23</v>
      </c>
      <c r="B32" s="71">
        <v>46045</v>
      </c>
      <c r="C32" s="75" t="str">
        <v>PUcanh</v>
      </c>
      <c r="D32" s="68">
        <v>80</v>
      </c>
      <c r="E32" s="66">
        <v>46045.291666666664</v>
      </c>
      <c r="F32" s="49">
        <v>46046.291666666664</v>
      </c>
      <c r="G32" s="49">
        <v>0.14583333333333334</v>
      </c>
      <c r="H32" s="4">
        <v>0</v>
      </c>
      <c r="I32" s="4">
        <v>6.9444444444444448E-2</v>
      </c>
      <c r="J32" s="4">
        <v>7.6388888888888895E-2</v>
      </c>
      <c r="K32" s="5">
        <v>20.5</v>
      </c>
      <c r="L32" s="5">
        <v>24</v>
      </c>
      <c r="M32" s="5">
        <v>1640</v>
      </c>
      <c r="N32" s="5">
        <v>1920</v>
      </c>
      <c r="O32" s="6">
        <v>1528</v>
      </c>
      <c r="P32" s="7">
        <v>1.0732984293193717</v>
      </c>
      <c r="Q32" s="7">
        <v>1.256544502617801</v>
      </c>
      <c r="R32" s="7">
        <v>0.79583333333333339</v>
      </c>
      <c r="S32" s="17"/>
    </row>
    <row r="33" spans="1:19" ht="15.6" x14ac:dyDescent="0.3">
      <c r="A33">
        <v>24</v>
      </c>
      <c r="B33" s="71">
        <v>46046</v>
      </c>
      <c r="C33" s="75" t="str">
        <v>PUcanh</v>
      </c>
      <c r="D33" s="68">
        <v>76</v>
      </c>
      <c r="E33" s="66">
        <v>46046.291666666664</v>
      </c>
      <c r="F33" s="49">
        <v>46047.291666666664</v>
      </c>
      <c r="G33" s="49">
        <v>0.14583333333333334</v>
      </c>
      <c r="H33" s="4">
        <v>0</v>
      </c>
      <c r="I33" s="4">
        <v>2.7777777777777776E-2</v>
      </c>
      <c r="J33" s="4">
        <v>0</v>
      </c>
      <c r="K33" s="5">
        <v>20.5</v>
      </c>
      <c r="L33" s="5">
        <v>24</v>
      </c>
      <c r="M33" s="5">
        <v>1558</v>
      </c>
      <c r="N33" s="5">
        <v>1824</v>
      </c>
      <c r="O33" s="6">
        <v>1472</v>
      </c>
      <c r="P33" s="7">
        <v>1.0584239130434783</v>
      </c>
      <c r="Q33" s="7">
        <v>1.2391304347826086</v>
      </c>
      <c r="R33" s="7">
        <v>0.80701754385964919</v>
      </c>
      <c r="S33" s="17"/>
    </row>
    <row r="34" spans="1:19" ht="15.6" x14ac:dyDescent="0.3">
      <c r="A34">
        <v>25</v>
      </c>
      <c r="B34" s="70">
        <v>46047</v>
      </c>
      <c r="C34" s="75" t="str">
        <v>PUcanh</v>
      </c>
      <c r="D34" s="68">
        <v>30</v>
      </c>
      <c r="E34" s="66">
        <v>46047</v>
      </c>
      <c r="F34" s="49">
        <v>46047.625</v>
      </c>
      <c r="G34" s="49">
        <v>6.25E-2</v>
      </c>
      <c r="H34" s="4">
        <v>0</v>
      </c>
      <c r="I34" s="4">
        <v>0</v>
      </c>
      <c r="J34" s="4">
        <v>0</v>
      </c>
      <c r="K34" s="5">
        <v>13.5</v>
      </c>
      <c r="L34" s="5">
        <v>15</v>
      </c>
      <c r="M34" s="5">
        <v>405</v>
      </c>
      <c r="N34" s="5">
        <v>450</v>
      </c>
      <c r="O34" s="6">
        <v>268</v>
      </c>
      <c r="P34" s="7">
        <v>1.5111940298507462</v>
      </c>
      <c r="Q34" s="7">
        <v>1.6791044776119404</v>
      </c>
      <c r="R34" s="7">
        <v>0.5955555555555555</v>
      </c>
      <c r="S34" s="17"/>
    </row>
    <row r="35" spans="1:19" ht="15.6" x14ac:dyDescent="0.3">
      <c r="A35">
        <v>26</v>
      </c>
      <c r="B35" s="70">
        <v>46048</v>
      </c>
      <c r="C35" s="75" t="str">
        <v>PUcanh</v>
      </c>
      <c r="D35" s="68">
        <v>77</v>
      </c>
      <c r="E35" s="66">
        <v>46048.291666666664</v>
      </c>
      <c r="F35" s="49">
        <v>46049.291666666664</v>
      </c>
      <c r="G35" s="49">
        <v>0.14583333333333334</v>
      </c>
      <c r="H35" s="4">
        <v>4.1666666666666664E-2</v>
      </c>
      <c r="I35" s="4">
        <v>0</v>
      </c>
      <c r="J35" s="4">
        <v>0.67708333333333337</v>
      </c>
      <c r="K35" s="5">
        <v>19.5</v>
      </c>
      <c r="L35" s="5">
        <v>24</v>
      </c>
      <c r="M35" s="5">
        <v>1501.5</v>
      </c>
      <c r="N35" s="5">
        <v>1848</v>
      </c>
      <c r="O35" s="6">
        <v>1481</v>
      </c>
      <c r="P35" s="7">
        <v>1.013841998649561</v>
      </c>
      <c r="Q35" s="7">
        <v>1.2478055367994598</v>
      </c>
      <c r="R35" s="7">
        <v>0.80140692640692646</v>
      </c>
      <c r="S35" s="17"/>
    </row>
    <row r="36" spans="1:19" ht="15.6" x14ac:dyDescent="0.3">
      <c r="A36">
        <v>27</v>
      </c>
      <c r="B36" s="71">
        <v>46049</v>
      </c>
      <c r="C36" s="75" t="str">
        <v>PUcanh</v>
      </c>
      <c r="D36" s="68">
        <v>75</v>
      </c>
      <c r="E36" s="66">
        <v>46049.291666666664</v>
      </c>
      <c r="F36" s="49">
        <v>46050.291666666664</v>
      </c>
      <c r="G36" s="49">
        <v>0.14583333333333334</v>
      </c>
      <c r="H36" s="4">
        <v>1.7361111111111112E-2</v>
      </c>
      <c r="I36" s="4">
        <v>9.7222222222222224E-2</v>
      </c>
      <c r="J36" s="4">
        <v>0.14583333333333334</v>
      </c>
      <c r="K36" s="5">
        <v>20.083333333333332</v>
      </c>
      <c r="L36" s="5">
        <v>24</v>
      </c>
      <c r="M36" s="5">
        <v>1506.25</v>
      </c>
      <c r="N36" s="5">
        <v>1800</v>
      </c>
      <c r="O36" s="6">
        <v>1309</v>
      </c>
      <c r="P36" s="7">
        <v>1.1506875477463714</v>
      </c>
      <c r="Q36" s="7">
        <v>1.3750954927425516</v>
      </c>
      <c r="R36" s="7">
        <v>0.72722222222222221</v>
      </c>
      <c r="S36" s="17"/>
    </row>
    <row r="37" spans="1:19" ht="15.6" x14ac:dyDescent="0.3">
      <c r="A37">
        <v>28</v>
      </c>
      <c r="B37" s="71">
        <v>46050</v>
      </c>
      <c r="C37" s="75" t="str">
        <v>PUcanh</v>
      </c>
      <c r="D37" s="68">
        <v>76</v>
      </c>
      <c r="E37" s="66">
        <v>46050.291666666664</v>
      </c>
      <c r="F37" s="49">
        <v>46051.291666666664</v>
      </c>
      <c r="G37" s="49">
        <v>0.14583333333333334</v>
      </c>
      <c r="H37" s="4">
        <v>8.3333333333333329E-2</v>
      </c>
      <c r="I37" s="4">
        <v>4.1666666666666664E-2</v>
      </c>
      <c r="J37" s="4">
        <v>0</v>
      </c>
      <c r="K37" s="5">
        <v>18.5</v>
      </c>
      <c r="L37" s="5">
        <v>24</v>
      </c>
      <c r="M37" s="5">
        <v>1406</v>
      </c>
      <c r="N37" s="5">
        <v>1824</v>
      </c>
      <c r="O37" s="6">
        <v>1592</v>
      </c>
      <c r="P37" s="7">
        <v>0.88316582914572861</v>
      </c>
      <c r="Q37" s="7">
        <v>1.1457286432160805</v>
      </c>
      <c r="R37" s="7">
        <v>0.87280701754385959</v>
      </c>
      <c r="S37" s="17"/>
    </row>
    <row r="38" spans="1:19" ht="15.6" x14ac:dyDescent="0.3">
      <c r="A38">
        <v>29</v>
      </c>
      <c r="B38" s="70">
        <v>46051</v>
      </c>
      <c r="C38" s="75" t="str">
        <v>PUcanh</v>
      </c>
      <c r="D38" s="68">
        <v>80</v>
      </c>
      <c r="E38" s="66">
        <v>46051.291666666664</v>
      </c>
      <c r="F38" s="49">
        <v>46052.291666666664</v>
      </c>
      <c r="G38" s="49">
        <v>0.14583333333333334</v>
      </c>
      <c r="H38" s="4">
        <v>0</v>
      </c>
      <c r="I38" s="4">
        <v>4.8611111111111112E-2</v>
      </c>
      <c r="J38" s="4">
        <v>0</v>
      </c>
      <c r="K38" s="5">
        <v>20.5</v>
      </c>
      <c r="L38" s="5">
        <v>24</v>
      </c>
      <c r="M38" s="5">
        <v>1640</v>
      </c>
      <c r="N38" s="5">
        <v>1920</v>
      </c>
      <c r="O38" s="6">
        <v>1708</v>
      </c>
      <c r="P38" s="7">
        <v>0.96018735362997654</v>
      </c>
      <c r="Q38" s="7">
        <v>1.1241217798594847</v>
      </c>
      <c r="R38" s="7">
        <v>0.88958333333333339</v>
      </c>
      <c r="S38" s="17"/>
    </row>
    <row r="39" spans="1:19" ht="15.6" x14ac:dyDescent="0.3">
      <c r="A39">
        <v>30</v>
      </c>
      <c r="B39" s="70">
        <v>46052</v>
      </c>
      <c r="C39" s="75" t="str">
        <v>PUcanh</v>
      </c>
      <c r="D39" s="68">
        <v>75</v>
      </c>
      <c r="E39" s="66">
        <v>46052.291666666664</v>
      </c>
      <c r="F39" s="49">
        <v>46053.291666666664</v>
      </c>
      <c r="G39" s="49">
        <v>0.14583333333333334</v>
      </c>
      <c r="H39" s="4">
        <v>0</v>
      </c>
      <c r="I39" s="4">
        <v>6.5972222222222224E-2</v>
      </c>
      <c r="J39" s="4">
        <v>0.32291666666666669</v>
      </c>
      <c r="K39" s="5">
        <v>20.5</v>
      </c>
      <c r="L39" s="5">
        <v>24</v>
      </c>
      <c r="M39" s="5">
        <v>1537.5</v>
      </c>
      <c r="N39" s="5">
        <v>1800</v>
      </c>
      <c r="O39" s="6">
        <v>1518</v>
      </c>
      <c r="P39" s="7">
        <v>1.0128458498023716</v>
      </c>
      <c r="Q39" s="7">
        <v>1.1857707509881423</v>
      </c>
      <c r="R39" s="7">
        <v>0.84333333333333327</v>
      </c>
      <c r="S39" s="17"/>
    </row>
    <row r="40" spans="1:19" ht="15.6" x14ac:dyDescent="0.3">
      <c r="A40">
        <v>31</v>
      </c>
      <c r="B40" s="71">
        <v>46053</v>
      </c>
      <c r="C40" s="75" t="str">
        <v>PUcanh</v>
      </c>
      <c r="D40" s="68">
        <v>76</v>
      </c>
      <c r="E40" s="66">
        <v>46053.291666666664</v>
      </c>
      <c r="F40" s="49">
        <v>46054.291666666664</v>
      </c>
      <c r="G40" s="49">
        <v>0.14583333333333334</v>
      </c>
      <c r="H40" s="4">
        <v>4.1666666666666664E-2</v>
      </c>
      <c r="I40" s="4">
        <v>2.0833333333333332E-2</v>
      </c>
      <c r="J40" s="4">
        <v>8.3333333333333329E-2</v>
      </c>
      <c r="K40" s="5">
        <v>19.5</v>
      </c>
      <c r="L40" s="5">
        <v>24</v>
      </c>
      <c r="M40" s="5">
        <v>1482</v>
      </c>
      <c r="N40" s="5">
        <v>1824</v>
      </c>
      <c r="O40" s="6">
        <v>1203</v>
      </c>
      <c r="P40" s="7">
        <v>1.231920199501247</v>
      </c>
      <c r="Q40" s="7">
        <v>1.5162094763092269</v>
      </c>
      <c r="R40" s="7">
        <v>0.65953947368421051</v>
      </c>
      <c r="S40" s="17"/>
    </row>
    <row r="41" spans="1:19" ht="15.6" x14ac:dyDescent="0.3">
      <c r="A41">
        <v>32</v>
      </c>
      <c r="B41" s="71">
        <v>46054</v>
      </c>
      <c r="C41" s="69" t="str">
        <v>PUcanh</v>
      </c>
      <c r="D41" s="68">
        <v>27</v>
      </c>
      <c r="E41" s="66">
        <v>46054</v>
      </c>
      <c r="F41" s="49">
        <v>46054.708333333336</v>
      </c>
      <c r="G41" s="49">
        <v>6.25E-2</v>
      </c>
      <c r="H41" s="4">
        <v>0</v>
      </c>
      <c r="I41" s="4">
        <v>0</v>
      </c>
      <c r="J41" s="4">
        <v>0</v>
      </c>
      <c r="K41" s="5">
        <v>15.5</v>
      </c>
      <c r="L41" s="5">
        <v>17</v>
      </c>
      <c r="M41" s="5">
        <v>418.5</v>
      </c>
      <c r="N41" s="5">
        <v>459</v>
      </c>
      <c r="O41" s="6">
        <v>415</v>
      </c>
      <c r="P41" s="7">
        <v>1.008433734939759</v>
      </c>
      <c r="Q41" s="7">
        <v>1.1060240963855421</v>
      </c>
      <c r="R41" s="7">
        <v>0.9041394335511983</v>
      </c>
      <c r="S41" s="35"/>
    </row>
    <row r="42" spans="1:19" ht="15.6" x14ac:dyDescent="0.3">
      <c r="A42">
        <v>33</v>
      </c>
      <c r="B42" s="70">
        <v>46055</v>
      </c>
      <c r="C42" s="69" t="str">
        <v>PUcanh</v>
      </c>
      <c r="D42" s="68">
        <v>66</v>
      </c>
      <c r="E42" s="66">
        <v>46055.291666666664</v>
      </c>
      <c r="F42" s="49">
        <v>46056.291666666664</v>
      </c>
      <c r="G42" s="49">
        <v>0.14583333333333334</v>
      </c>
      <c r="H42" s="4">
        <v>7.9861111111111105E-2</v>
      </c>
      <c r="I42" s="4">
        <v>4.1666666666666664E-2</v>
      </c>
      <c r="J42" s="4">
        <v>0.14583333333333334</v>
      </c>
      <c r="K42" s="5">
        <v>18.583333333333332</v>
      </c>
      <c r="L42" s="5">
        <v>24</v>
      </c>
      <c r="M42" s="5">
        <v>1226.5</v>
      </c>
      <c r="N42" s="5">
        <v>1584</v>
      </c>
      <c r="O42" s="6">
        <v>880</v>
      </c>
      <c r="P42" s="7">
        <v>1.39375</v>
      </c>
      <c r="Q42" s="7">
        <v>1.8</v>
      </c>
      <c r="R42" s="7">
        <v>0.55555555555555558</v>
      </c>
      <c r="S42" s="35"/>
    </row>
    <row r="43" spans="1:19" ht="15.6" x14ac:dyDescent="0.3">
      <c r="A43">
        <v>34</v>
      </c>
      <c r="B43" s="70">
        <v>46056</v>
      </c>
      <c r="C43" s="69" t="str">
        <v>PUcanh</v>
      </c>
      <c r="D43" s="68">
        <v>72</v>
      </c>
      <c r="E43" s="66">
        <v>46056.291666666664</v>
      </c>
      <c r="F43" s="49">
        <v>46057.291666666664</v>
      </c>
      <c r="G43" s="49">
        <v>0.14583333333333334</v>
      </c>
      <c r="H43" s="4">
        <v>0</v>
      </c>
      <c r="I43" s="4">
        <v>0</v>
      </c>
      <c r="J43" s="4">
        <v>0</v>
      </c>
      <c r="K43" s="5">
        <v>20.5</v>
      </c>
      <c r="L43" s="5">
        <v>24</v>
      </c>
      <c r="M43" s="5">
        <v>1476</v>
      </c>
      <c r="N43" s="5">
        <v>1728</v>
      </c>
      <c r="O43" s="6">
        <v>1082</v>
      </c>
      <c r="P43" s="7">
        <v>1.3641404805914972</v>
      </c>
      <c r="Q43" s="7">
        <v>1.5970425138632163</v>
      </c>
      <c r="R43" s="7">
        <v>0.62615740740740744</v>
      </c>
      <c r="S43" s="17"/>
    </row>
    <row r="44" spans="1:19" ht="15.6" x14ac:dyDescent="0.3">
      <c r="A44">
        <v>35</v>
      </c>
      <c r="B44" s="71">
        <v>46057</v>
      </c>
      <c r="C44" s="69" t="str">
        <v>PUcanh</v>
      </c>
      <c r="D44" s="68">
        <v>73</v>
      </c>
      <c r="E44" s="66">
        <v>46057.291666666664</v>
      </c>
      <c r="F44" s="49">
        <v>46058.291666666664</v>
      </c>
      <c r="G44" s="49">
        <v>0.14583333333333334</v>
      </c>
      <c r="H44" s="4">
        <v>0</v>
      </c>
      <c r="I44" s="4">
        <v>0</v>
      </c>
      <c r="J44" s="4">
        <v>0.41666666666666669</v>
      </c>
      <c r="K44" s="5">
        <v>20.5</v>
      </c>
      <c r="L44" s="5">
        <v>24</v>
      </c>
      <c r="M44" s="5">
        <v>1496.5</v>
      </c>
      <c r="N44" s="5">
        <v>1752</v>
      </c>
      <c r="O44" s="6">
        <v>1173</v>
      </c>
      <c r="P44" s="7">
        <v>1.2757885763000854</v>
      </c>
      <c r="Q44" s="7">
        <v>1.4936061381074168</v>
      </c>
      <c r="R44" s="7">
        <v>0.66952054794520555</v>
      </c>
      <c r="S44" s="17"/>
    </row>
    <row r="45" spans="1:19" ht="15.6" x14ac:dyDescent="0.3">
      <c r="A45">
        <v>36</v>
      </c>
      <c r="B45" s="71">
        <v>46058</v>
      </c>
      <c r="C45" s="69" t="str">
        <v>PUcanh</v>
      </c>
      <c r="D45" s="68">
        <v>73</v>
      </c>
      <c r="E45" s="66">
        <v>46058.291666666664</v>
      </c>
      <c r="F45" s="49">
        <v>46059.291666666664</v>
      </c>
      <c r="G45" s="49">
        <v>0.14583333333333334</v>
      </c>
      <c r="H45" s="4">
        <v>0</v>
      </c>
      <c r="I45" s="4">
        <v>0</v>
      </c>
      <c r="J45" s="4">
        <v>0.125</v>
      </c>
      <c r="K45" s="5">
        <v>20.5</v>
      </c>
      <c r="L45" s="5">
        <v>24</v>
      </c>
      <c r="M45" s="5">
        <v>1496.5</v>
      </c>
      <c r="N45" s="5">
        <v>1752</v>
      </c>
      <c r="O45" s="6">
        <v>1349</v>
      </c>
      <c r="P45" s="7">
        <v>1.1093402520385471</v>
      </c>
      <c r="Q45" s="7">
        <v>1.2987398072646406</v>
      </c>
      <c r="R45" s="7">
        <v>0.76997716894977164</v>
      </c>
      <c r="S45" s="17"/>
    </row>
    <row r="46" spans="1:19" ht="15.6" x14ac:dyDescent="0.3">
      <c r="A46">
        <v>37</v>
      </c>
      <c r="B46" s="70">
        <v>46023</v>
      </c>
      <c r="C46" s="69" t="str">
        <v>TLR</v>
      </c>
      <c r="D46" s="68">
        <v>24</v>
      </c>
      <c r="E46" s="66">
        <v>46023.291666666664</v>
      </c>
      <c r="F46" s="49">
        <v>46023.791666666664</v>
      </c>
      <c r="G46" s="49">
        <v>7.2916666666666671E-2</v>
      </c>
      <c r="H46" s="4">
        <v>0</v>
      </c>
      <c r="I46" s="4">
        <v>0</v>
      </c>
      <c r="J46" s="4">
        <v>0</v>
      </c>
      <c r="K46" s="5">
        <v>10.25</v>
      </c>
      <c r="L46" s="5">
        <v>12</v>
      </c>
      <c r="M46" s="5">
        <v>246</v>
      </c>
      <c r="N46" s="5">
        <v>288</v>
      </c>
      <c r="O46" s="6">
        <v>350</v>
      </c>
      <c r="P46" s="7">
        <v>0.70285714285714285</v>
      </c>
      <c r="Q46" s="7">
        <v>0.82285714285714284</v>
      </c>
      <c r="R46" s="7">
        <v>1.2152777777777779</v>
      </c>
      <c r="S46" s="17"/>
    </row>
    <row r="47" spans="1:19" ht="15.6" x14ac:dyDescent="0.3">
      <c r="A47">
        <v>38</v>
      </c>
      <c r="B47" s="70">
        <v>46023</v>
      </c>
      <c r="C47" s="69" t="str">
        <v>PU thân</v>
      </c>
      <c r="D47" s="68">
        <v>5</v>
      </c>
      <c r="E47" s="66">
        <v>46023.291666666664</v>
      </c>
      <c r="F47" s="49">
        <v>46023.791666666664</v>
      </c>
      <c r="G47" s="49">
        <v>7.2916666666666671E-2</v>
      </c>
      <c r="H47" s="4">
        <v>0</v>
      </c>
      <c r="I47" s="4">
        <v>0</v>
      </c>
      <c r="J47" s="4">
        <v>0</v>
      </c>
      <c r="K47" s="5">
        <v>10.25</v>
      </c>
      <c r="L47" s="5">
        <v>12</v>
      </c>
      <c r="M47" s="5">
        <v>51.25</v>
      </c>
      <c r="N47" s="5">
        <v>60</v>
      </c>
      <c r="O47" s="6">
        <v>355</v>
      </c>
      <c r="P47" s="7">
        <v>0.14436619718309859</v>
      </c>
      <c r="Q47" s="7">
        <v>0.16901408450704225</v>
      </c>
      <c r="R47" s="7">
        <v>5.916666666666667</v>
      </c>
      <c r="S47" s="17"/>
    </row>
    <row r="48" spans="1:19" ht="15.6" x14ac:dyDescent="0.3">
      <c r="A48">
        <v>39</v>
      </c>
      <c r="B48" s="71">
        <v>46023</v>
      </c>
      <c r="C48" s="69" t="str">
        <v>SPU</v>
      </c>
      <c r="D48" s="68">
        <v>23</v>
      </c>
      <c r="E48" s="66">
        <v>46023.291666666664</v>
      </c>
      <c r="F48" s="49">
        <v>46023.791666666664</v>
      </c>
      <c r="G48" s="49">
        <v>7.2916666666666671E-2</v>
      </c>
      <c r="H48" s="4">
        <v>0</v>
      </c>
      <c r="I48" s="4">
        <v>0</v>
      </c>
      <c r="J48" s="4">
        <v>0</v>
      </c>
      <c r="K48" s="5">
        <v>10.25</v>
      </c>
      <c r="L48" s="5">
        <v>12</v>
      </c>
      <c r="M48" s="5">
        <v>235.75</v>
      </c>
      <c r="N48" s="5">
        <v>276</v>
      </c>
      <c r="O48" s="6">
        <v>362</v>
      </c>
      <c r="P48" s="7">
        <v>0.65124309392265189</v>
      </c>
      <c r="Q48" s="7">
        <v>0.76243093922651939</v>
      </c>
      <c r="R48" s="7">
        <v>1.3115942028985506</v>
      </c>
      <c r="S48" s="17"/>
    </row>
    <row r="49" spans="1:19" ht="15.6" x14ac:dyDescent="0.3">
      <c r="A49">
        <v>40</v>
      </c>
      <c r="B49" s="71">
        <v>46023</v>
      </c>
      <c r="C49" s="69" t="str">
        <v>HT</v>
      </c>
      <c r="D49" s="68">
        <v>24</v>
      </c>
      <c r="E49" s="66">
        <v>46023.291666666664</v>
      </c>
      <c r="F49" s="49">
        <v>46023.791666666664</v>
      </c>
      <c r="G49" s="49">
        <v>7.2916666666666671E-2</v>
      </c>
      <c r="H49" s="4">
        <v>0</v>
      </c>
      <c r="I49" s="4">
        <v>0</v>
      </c>
      <c r="J49" s="4">
        <v>0</v>
      </c>
      <c r="K49" s="5">
        <v>10.25</v>
      </c>
      <c r="L49" s="5">
        <v>12</v>
      </c>
      <c r="M49" s="5">
        <v>246</v>
      </c>
      <c r="N49" s="5">
        <v>288</v>
      </c>
      <c r="O49" s="6">
        <v>254</v>
      </c>
      <c r="P49" s="7">
        <v>0.96850393700787396</v>
      </c>
      <c r="Q49" s="7">
        <v>1.1338582677165354</v>
      </c>
      <c r="R49" s="7">
        <v>0.88194444444444442</v>
      </c>
      <c r="S49" s="17"/>
    </row>
    <row r="50" spans="1:19" ht="15.6" x14ac:dyDescent="0.3">
      <c r="A50">
        <v>41</v>
      </c>
      <c r="B50" s="70">
        <v>46024</v>
      </c>
      <c r="C50" s="69" t="str">
        <v>TLR</v>
      </c>
      <c r="D50" s="68">
        <v>25</v>
      </c>
      <c r="E50" s="66">
        <v>46024.291666666664</v>
      </c>
      <c r="F50" s="49">
        <v>46024.791666666664</v>
      </c>
      <c r="G50" s="49">
        <v>7.2916666666666671E-2</v>
      </c>
      <c r="H50" s="4">
        <v>0</v>
      </c>
      <c r="I50" s="4">
        <v>0</v>
      </c>
      <c r="J50" s="4">
        <v>0</v>
      </c>
      <c r="K50" s="5">
        <v>10.25</v>
      </c>
      <c r="L50" s="5">
        <v>12</v>
      </c>
      <c r="M50" s="5">
        <v>256.25</v>
      </c>
      <c r="N50" s="5">
        <v>300</v>
      </c>
      <c r="O50" s="6">
        <v>452</v>
      </c>
      <c r="P50" s="7">
        <v>0.56692477876106195</v>
      </c>
      <c r="Q50" s="7">
        <v>0.66371681415929207</v>
      </c>
      <c r="R50" s="7">
        <v>1.5066666666666666</v>
      </c>
      <c r="S50" s="17"/>
    </row>
    <row r="51" spans="1:19" ht="15.6" x14ac:dyDescent="0.3">
      <c r="A51">
        <v>42</v>
      </c>
      <c r="B51" s="70">
        <v>46024</v>
      </c>
      <c r="C51" s="69" t="str">
        <v>PU thân</v>
      </c>
      <c r="D51" s="68">
        <v>5</v>
      </c>
      <c r="E51" s="66">
        <v>46024.291666666664</v>
      </c>
      <c r="F51" s="49">
        <v>46024.791666666664</v>
      </c>
      <c r="G51" s="49">
        <v>7.2916666666666671E-2</v>
      </c>
      <c r="H51" s="4">
        <v>0</v>
      </c>
      <c r="I51" s="4">
        <v>0</v>
      </c>
      <c r="J51" s="4">
        <v>0</v>
      </c>
      <c r="K51" s="5">
        <v>10.25</v>
      </c>
      <c r="L51" s="5">
        <v>12</v>
      </c>
      <c r="M51" s="5">
        <v>51.25</v>
      </c>
      <c r="N51" s="5">
        <v>60</v>
      </c>
      <c r="O51" s="6">
        <v>384</v>
      </c>
      <c r="P51" s="7">
        <v>0.13346354166666666</v>
      </c>
      <c r="Q51" s="7">
        <v>0.15625</v>
      </c>
      <c r="R51" s="7">
        <v>6.4</v>
      </c>
      <c r="S51" s="17"/>
    </row>
    <row r="52" spans="1:19" ht="15.6" x14ac:dyDescent="0.3">
      <c r="A52">
        <v>43</v>
      </c>
      <c r="B52" s="71">
        <v>46024</v>
      </c>
      <c r="C52" s="69" t="str">
        <v>SPU</v>
      </c>
      <c r="D52" s="68">
        <v>22</v>
      </c>
      <c r="E52" s="66">
        <v>46024.291666666664</v>
      </c>
      <c r="F52" s="49">
        <v>46024.791666666664</v>
      </c>
      <c r="G52" s="49">
        <v>7.2916666666666671E-2</v>
      </c>
      <c r="H52" s="4">
        <v>0</v>
      </c>
      <c r="I52" s="4">
        <v>0</v>
      </c>
      <c r="J52" s="4">
        <v>0</v>
      </c>
      <c r="K52" s="5">
        <v>10.25</v>
      </c>
      <c r="L52" s="5">
        <v>12</v>
      </c>
      <c r="M52" s="5">
        <v>225.5</v>
      </c>
      <c r="N52" s="5">
        <v>264</v>
      </c>
      <c r="O52" s="6">
        <v>346</v>
      </c>
      <c r="P52" s="7">
        <v>0.65173410404624277</v>
      </c>
      <c r="Q52" s="7">
        <v>0.76300578034682076</v>
      </c>
      <c r="R52" s="7">
        <v>1.3106060606060608</v>
      </c>
      <c r="S52" s="17"/>
    </row>
    <row r="53" spans="1:19" ht="15.6" x14ac:dyDescent="0.3">
      <c r="A53">
        <v>44</v>
      </c>
      <c r="B53" s="71">
        <v>46024</v>
      </c>
      <c r="C53" s="69" t="str">
        <v>HT</v>
      </c>
      <c r="D53" s="68">
        <v>25</v>
      </c>
      <c r="E53" s="66">
        <v>46024.291666666664</v>
      </c>
      <c r="F53" s="49">
        <v>46024.791666666664</v>
      </c>
      <c r="G53" s="49">
        <v>7.2916666666666671E-2</v>
      </c>
      <c r="H53" s="4">
        <v>0</v>
      </c>
      <c r="I53" s="4">
        <v>0</v>
      </c>
      <c r="J53" s="4">
        <v>0</v>
      </c>
      <c r="K53" s="5">
        <v>10.25</v>
      </c>
      <c r="L53" s="5">
        <v>12</v>
      </c>
      <c r="M53" s="5">
        <v>256.25</v>
      </c>
      <c r="N53" s="5">
        <v>300</v>
      </c>
      <c r="O53" s="6">
        <v>290</v>
      </c>
      <c r="P53" s="7">
        <v>0.88362068965517238</v>
      </c>
      <c r="Q53" s="7">
        <v>1.0344827586206897</v>
      </c>
      <c r="R53" s="7">
        <v>0.96666666666666656</v>
      </c>
      <c r="S53" s="17"/>
    </row>
    <row r="54" spans="1:19" ht="15.6" x14ac:dyDescent="0.3">
      <c r="A54">
        <v>45</v>
      </c>
      <c r="B54" s="70">
        <v>46025</v>
      </c>
      <c r="C54" s="69" t="str">
        <v>PU thân</v>
      </c>
      <c r="D54" s="68">
        <v>5</v>
      </c>
      <c r="E54" s="66">
        <v>46025.291666666664</v>
      </c>
      <c r="F54" s="49">
        <v>46025.791666666664</v>
      </c>
      <c r="G54" s="49">
        <v>7.2916666666666671E-2</v>
      </c>
      <c r="H54" s="4">
        <v>0</v>
      </c>
      <c r="I54" s="4">
        <v>0</v>
      </c>
      <c r="J54" s="4">
        <v>0</v>
      </c>
      <c r="K54" s="5">
        <v>10.25</v>
      </c>
      <c r="L54" s="5">
        <v>12</v>
      </c>
      <c r="M54" s="5">
        <v>51.25</v>
      </c>
      <c r="N54" s="5">
        <v>60</v>
      </c>
      <c r="O54" s="6">
        <v>412</v>
      </c>
      <c r="P54" s="7">
        <v>0.12439320388349515</v>
      </c>
      <c r="Q54" s="7">
        <v>0.14563106796116504</v>
      </c>
      <c r="R54" s="7">
        <v>6.8666666666666671</v>
      </c>
      <c r="S54" s="17"/>
    </row>
    <row r="55" spans="1:19" ht="15.6" x14ac:dyDescent="0.3">
      <c r="A55">
        <v>46</v>
      </c>
      <c r="B55" s="70">
        <v>46025</v>
      </c>
      <c r="C55" s="69" t="str">
        <v>SPU</v>
      </c>
      <c r="D55" s="68">
        <v>23</v>
      </c>
      <c r="E55" s="66">
        <v>46025.291666666664</v>
      </c>
      <c r="F55" s="49">
        <v>46025.875</v>
      </c>
      <c r="G55" s="49">
        <v>0.10416666666666667</v>
      </c>
      <c r="H55" s="4">
        <v>0.12083333333333333</v>
      </c>
      <c r="I55" s="4">
        <v>0</v>
      </c>
      <c r="J55" s="4">
        <v>0</v>
      </c>
      <c r="K55" s="5">
        <v>8.6</v>
      </c>
      <c r="L55" s="5">
        <v>14</v>
      </c>
      <c r="M55" s="5">
        <v>197.79999999999998</v>
      </c>
      <c r="N55" s="5">
        <v>322</v>
      </c>
      <c r="O55" s="6">
        <v>348</v>
      </c>
      <c r="P55" s="7">
        <v>0.56839080459770108</v>
      </c>
      <c r="Q55" s="7">
        <v>0.92528735632183912</v>
      </c>
      <c r="R55" s="7">
        <v>1.0807453416149069</v>
      </c>
      <c r="S55" s="17"/>
    </row>
    <row r="56" spans="1:19" ht="15.6" x14ac:dyDescent="0.3">
      <c r="A56">
        <v>47</v>
      </c>
      <c r="B56" s="71">
        <v>46025</v>
      </c>
      <c r="C56" s="69" t="str">
        <v>HT</v>
      </c>
      <c r="D56" s="68">
        <v>23</v>
      </c>
      <c r="E56" s="66">
        <v>46025.291666666664</v>
      </c>
      <c r="F56" s="49">
        <v>46025.875</v>
      </c>
      <c r="G56" s="49">
        <v>0.10416666666666667</v>
      </c>
      <c r="H56" s="4">
        <v>0</v>
      </c>
      <c r="I56" s="4">
        <v>0</v>
      </c>
      <c r="J56" s="4">
        <v>0</v>
      </c>
      <c r="K56" s="5">
        <v>11.5</v>
      </c>
      <c r="L56" s="5">
        <v>14</v>
      </c>
      <c r="M56" s="5">
        <v>264.5</v>
      </c>
      <c r="N56" s="5">
        <v>322</v>
      </c>
      <c r="O56" s="6">
        <v>340</v>
      </c>
      <c r="P56" s="7">
        <v>0.77794117647058825</v>
      </c>
      <c r="Q56" s="7">
        <v>0.94705882352941173</v>
      </c>
      <c r="R56" s="7">
        <v>1.0559006211180124</v>
      </c>
      <c r="S56" s="17"/>
    </row>
    <row r="57" spans="1:19" ht="15.6" x14ac:dyDescent="0.3">
      <c r="A57">
        <v>48</v>
      </c>
      <c r="B57" s="71">
        <v>46026</v>
      </c>
      <c r="C57" s="69" t="str">
        <v>HT</v>
      </c>
      <c r="D57" s="68">
        <v>21</v>
      </c>
      <c r="E57" s="66">
        <v>46026.291666666664</v>
      </c>
      <c r="F57" s="49">
        <v>46026.791666666664</v>
      </c>
      <c r="G57" s="49">
        <v>7.2916666666666671E-2</v>
      </c>
      <c r="H57" s="4">
        <v>0</v>
      </c>
      <c r="I57" s="4">
        <v>0</v>
      </c>
      <c r="J57" s="4">
        <v>0</v>
      </c>
      <c r="K57" s="5">
        <v>10.25</v>
      </c>
      <c r="L57" s="5">
        <v>12</v>
      </c>
      <c r="M57" s="5">
        <v>215.25</v>
      </c>
      <c r="N57" s="5">
        <v>252</v>
      </c>
      <c r="O57" s="6">
        <v>225</v>
      </c>
      <c r="P57" s="7">
        <v>0.95666666666666667</v>
      </c>
      <c r="Q57" s="7">
        <v>1.1200000000000001</v>
      </c>
      <c r="R57" s="7">
        <v>0.89285714285714279</v>
      </c>
    </row>
    <row r="58" spans="1:19" ht="15.6" x14ac:dyDescent="0.3">
      <c r="A58">
        <v>49</v>
      </c>
      <c r="B58" s="70">
        <v>46027</v>
      </c>
      <c r="C58" s="69" t="str">
        <v>TLR</v>
      </c>
      <c r="D58" s="68">
        <v>21</v>
      </c>
      <c r="E58" s="66">
        <v>46027.291666666664</v>
      </c>
      <c r="F58" s="49">
        <v>46027.791666666664</v>
      </c>
      <c r="G58" s="49">
        <v>7.2916666666666671E-2</v>
      </c>
      <c r="H58" s="4">
        <v>0</v>
      </c>
      <c r="I58" s="4">
        <v>0</v>
      </c>
      <c r="J58" s="4">
        <v>0</v>
      </c>
      <c r="K58" s="5">
        <v>10.25</v>
      </c>
      <c r="L58" s="5">
        <v>12</v>
      </c>
      <c r="M58" s="5">
        <v>215.25</v>
      </c>
      <c r="N58" s="5">
        <v>252</v>
      </c>
      <c r="O58" s="6">
        <v>508</v>
      </c>
      <c r="P58" s="7">
        <v>0.42372047244094491</v>
      </c>
      <c r="Q58" s="7">
        <v>0.49606299212598426</v>
      </c>
      <c r="R58" s="7">
        <v>2.0158730158730158</v>
      </c>
    </row>
    <row r="59" spans="1:19" ht="15.6" x14ac:dyDescent="0.3">
      <c r="A59">
        <v>50</v>
      </c>
      <c r="B59" s="70">
        <v>46027</v>
      </c>
      <c r="C59" s="69" t="str">
        <v>PU thân</v>
      </c>
      <c r="D59" s="68">
        <v>5</v>
      </c>
      <c r="E59" s="66">
        <v>46027.291666666664</v>
      </c>
      <c r="F59" s="49">
        <v>46027.791666666664</v>
      </c>
      <c r="G59" s="49">
        <v>7.2916666666666671E-2</v>
      </c>
      <c r="H59" s="4">
        <v>0</v>
      </c>
      <c r="I59" s="4">
        <v>0</v>
      </c>
      <c r="J59" s="4">
        <v>0</v>
      </c>
      <c r="K59" s="5">
        <v>10.25</v>
      </c>
      <c r="L59" s="5">
        <v>12</v>
      </c>
      <c r="M59" s="5">
        <v>51.25</v>
      </c>
      <c r="N59" s="5">
        <v>60</v>
      </c>
      <c r="O59" s="6">
        <v>407</v>
      </c>
      <c r="P59" s="7">
        <v>0.12592137592137592</v>
      </c>
      <c r="Q59" s="7">
        <v>0.14742014742014742</v>
      </c>
      <c r="R59" s="7">
        <v>6.7833333333333332</v>
      </c>
    </row>
    <row r="60" spans="1:19" ht="15.6" x14ac:dyDescent="0.3">
      <c r="A60">
        <v>51</v>
      </c>
      <c r="B60" s="71">
        <v>46027</v>
      </c>
      <c r="C60" s="69" t="str">
        <v>SPU</v>
      </c>
      <c r="D60" s="68">
        <v>24</v>
      </c>
      <c r="E60" s="66">
        <v>46027.291666666664</v>
      </c>
      <c r="F60" s="49">
        <v>46027.791666666664</v>
      </c>
      <c r="G60" s="49">
        <v>7.2916666666666671E-2</v>
      </c>
      <c r="H60" s="4">
        <v>0</v>
      </c>
      <c r="I60" s="4">
        <v>0</v>
      </c>
      <c r="J60" s="4">
        <v>0</v>
      </c>
      <c r="K60" s="5">
        <v>10.25</v>
      </c>
      <c r="L60" s="5">
        <v>12</v>
      </c>
      <c r="M60" s="5">
        <v>246</v>
      </c>
      <c r="N60" s="5">
        <v>288</v>
      </c>
      <c r="O60" s="6">
        <v>279</v>
      </c>
      <c r="P60" s="7">
        <v>0.88172043010752688</v>
      </c>
      <c r="Q60" s="7">
        <v>1.032258064516129</v>
      </c>
      <c r="R60" s="7">
        <v>0.96875</v>
      </c>
    </row>
    <row r="61" spans="1:19" ht="15.6" x14ac:dyDescent="0.3">
      <c r="A61">
        <v>52</v>
      </c>
      <c r="B61" s="71">
        <v>46027</v>
      </c>
      <c r="C61" s="69" t="str">
        <v>HT</v>
      </c>
      <c r="D61" s="68">
        <v>23</v>
      </c>
      <c r="E61" s="66">
        <v>46027.291666666664</v>
      </c>
      <c r="F61" s="49">
        <v>46027.791666666664</v>
      </c>
      <c r="G61" s="49">
        <v>7.2916666666666671E-2</v>
      </c>
      <c r="H61" s="4">
        <v>0.15625</v>
      </c>
      <c r="I61" s="4">
        <v>0</v>
      </c>
      <c r="J61" s="4">
        <v>0</v>
      </c>
      <c r="K61" s="5">
        <v>6.5</v>
      </c>
      <c r="L61" s="5">
        <v>12</v>
      </c>
      <c r="M61" s="5">
        <v>149.5</v>
      </c>
      <c r="N61" s="5">
        <v>276</v>
      </c>
      <c r="O61" s="6">
        <v>183</v>
      </c>
      <c r="P61" s="7">
        <v>0.81693989071038253</v>
      </c>
      <c r="Q61" s="7">
        <v>1.5081967213114753</v>
      </c>
      <c r="R61" s="7">
        <v>0.66304347826086962</v>
      </c>
    </row>
    <row r="62" spans="1:19" ht="15.6" x14ac:dyDescent="0.3">
      <c r="A62">
        <v>53</v>
      </c>
      <c r="B62" s="70">
        <v>46028</v>
      </c>
      <c r="C62" s="69" t="str">
        <v>TLR</v>
      </c>
      <c r="D62" s="68">
        <v>20</v>
      </c>
      <c r="E62" s="66">
        <v>46028.291666666664</v>
      </c>
      <c r="F62" s="49">
        <v>46028.791666666664</v>
      </c>
      <c r="G62" s="49">
        <v>7.2916666666666671E-2</v>
      </c>
      <c r="H62" s="4">
        <v>0</v>
      </c>
      <c r="I62" s="4">
        <v>0</v>
      </c>
      <c r="J62" s="4">
        <v>0</v>
      </c>
      <c r="K62" s="5">
        <v>10.25</v>
      </c>
      <c r="L62" s="5">
        <v>12</v>
      </c>
      <c r="M62" s="5">
        <v>205</v>
      </c>
      <c r="N62" s="5">
        <v>240</v>
      </c>
      <c r="O62" s="6">
        <v>490</v>
      </c>
      <c r="P62" s="7">
        <v>0.41836734693877553</v>
      </c>
      <c r="Q62" s="7">
        <v>0.48979591836734693</v>
      </c>
      <c r="R62" s="7">
        <v>2.0416666666666665</v>
      </c>
    </row>
    <row r="63" spans="1:19" ht="15.6" x14ac:dyDescent="0.3">
      <c r="A63">
        <v>54</v>
      </c>
      <c r="B63" s="70">
        <v>46028</v>
      </c>
      <c r="C63" s="69" t="str">
        <v>PU thân</v>
      </c>
      <c r="D63" s="68">
        <v>5</v>
      </c>
      <c r="E63" s="66">
        <v>46028.291666666664</v>
      </c>
      <c r="F63" s="49">
        <v>46028.791666666664</v>
      </c>
      <c r="G63" s="49">
        <v>7.2916666666666671E-2</v>
      </c>
      <c r="H63" s="4">
        <v>0</v>
      </c>
      <c r="I63" s="4">
        <v>0</v>
      </c>
      <c r="J63" s="4">
        <v>0</v>
      </c>
      <c r="K63" s="5">
        <v>10.25</v>
      </c>
      <c r="L63" s="5">
        <v>12</v>
      </c>
      <c r="M63" s="5">
        <v>51.25</v>
      </c>
      <c r="N63" s="5">
        <v>60</v>
      </c>
      <c r="O63" s="6">
        <v>461</v>
      </c>
      <c r="P63" s="7">
        <v>0.11117136659436008</v>
      </c>
      <c r="Q63" s="7">
        <v>0.13015184381778741</v>
      </c>
      <c r="R63" s="7">
        <v>7.6833333333333336</v>
      </c>
    </row>
    <row r="64" spans="1:19" ht="15.6" x14ac:dyDescent="0.3">
      <c r="A64">
        <v>55</v>
      </c>
      <c r="B64" s="71">
        <v>46028</v>
      </c>
      <c r="C64" s="69" t="str">
        <v>SPU</v>
      </c>
      <c r="D64" s="68">
        <v>22</v>
      </c>
      <c r="E64" s="66">
        <v>46028.291666666664</v>
      </c>
      <c r="F64" s="49">
        <v>46028.791666666664</v>
      </c>
      <c r="G64" s="49">
        <v>7.2916666666666671E-2</v>
      </c>
      <c r="H64" s="4">
        <v>0</v>
      </c>
      <c r="I64" s="4">
        <v>0</v>
      </c>
      <c r="J64" s="4">
        <v>0</v>
      </c>
      <c r="K64" s="5">
        <v>10.25</v>
      </c>
      <c r="L64" s="5">
        <v>12</v>
      </c>
      <c r="M64" s="5">
        <v>225.5</v>
      </c>
      <c r="N64" s="5">
        <v>264</v>
      </c>
      <c r="O64" s="6">
        <v>500</v>
      </c>
      <c r="P64" s="7">
        <v>0.45100000000000001</v>
      </c>
      <c r="Q64" s="7">
        <v>0.52800000000000002</v>
      </c>
      <c r="R64" s="7">
        <v>1.8939393939393938</v>
      </c>
    </row>
    <row r="65" spans="1:18" ht="15.6" x14ac:dyDescent="0.3">
      <c r="A65">
        <v>56</v>
      </c>
      <c r="B65" s="71">
        <v>46028</v>
      </c>
      <c r="C65" s="69" t="str">
        <v>HT</v>
      </c>
      <c r="D65" s="68">
        <v>23</v>
      </c>
      <c r="E65" s="66">
        <v>46028.291666666664</v>
      </c>
      <c r="F65" s="49">
        <v>46028.875</v>
      </c>
      <c r="G65" s="49">
        <v>0.10416666666666667</v>
      </c>
      <c r="H65" s="4">
        <v>0</v>
      </c>
      <c r="I65" s="4">
        <v>0</v>
      </c>
      <c r="J65" s="4">
        <v>0</v>
      </c>
      <c r="K65" s="5">
        <v>11.5</v>
      </c>
      <c r="L65" s="5">
        <v>14</v>
      </c>
      <c r="M65" s="5">
        <v>264.5</v>
      </c>
      <c r="N65" s="5">
        <v>322</v>
      </c>
      <c r="O65" s="6">
        <v>581</v>
      </c>
      <c r="P65" s="7">
        <v>0.45524956970740105</v>
      </c>
      <c r="Q65" s="7">
        <v>0.55421686746987953</v>
      </c>
      <c r="R65" s="7">
        <v>1.8043478260869565</v>
      </c>
    </row>
    <row r="66" spans="1:18" ht="15.6" x14ac:dyDescent="0.3">
      <c r="A66">
        <v>57</v>
      </c>
      <c r="B66" s="70">
        <v>46029</v>
      </c>
      <c r="C66" s="69" t="str">
        <v>TLR</v>
      </c>
      <c r="D66" s="68">
        <v>17</v>
      </c>
      <c r="E66" s="66">
        <v>46029.291666666664</v>
      </c>
      <c r="F66" s="49">
        <v>46029.791666666664</v>
      </c>
      <c r="G66" s="49">
        <v>7.2916666666666671E-2</v>
      </c>
      <c r="H66" s="4">
        <v>0</v>
      </c>
      <c r="I66" s="4">
        <v>0</v>
      </c>
      <c r="J66" s="4">
        <v>0</v>
      </c>
      <c r="K66" s="5">
        <v>10.25</v>
      </c>
      <c r="L66" s="5">
        <v>12</v>
      </c>
      <c r="M66" s="5">
        <v>174.25</v>
      </c>
      <c r="N66" s="5">
        <v>204</v>
      </c>
      <c r="O66" s="6">
        <v>520</v>
      </c>
      <c r="P66" s="7">
        <v>0.33509615384615382</v>
      </c>
      <c r="Q66" s="7">
        <v>0.3923076923076923</v>
      </c>
      <c r="R66" s="7">
        <v>2.5490196078431371</v>
      </c>
    </row>
    <row r="67" spans="1:18" ht="15.6" x14ac:dyDescent="0.3">
      <c r="A67">
        <v>58</v>
      </c>
      <c r="B67" s="70">
        <v>46029</v>
      </c>
      <c r="C67" s="69" t="str">
        <v>PU thân</v>
      </c>
      <c r="D67" s="68">
        <v>5</v>
      </c>
      <c r="E67" s="66">
        <v>46029.291666666664</v>
      </c>
      <c r="F67" s="49">
        <v>46029.791666666664</v>
      </c>
      <c r="G67" s="49">
        <v>7.2916666666666671E-2</v>
      </c>
      <c r="H67" s="4">
        <v>0</v>
      </c>
      <c r="I67" s="4">
        <v>0</v>
      </c>
      <c r="J67" s="4">
        <v>0</v>
      </c>
      <c r="K67" s="5">
        <v>10.25</v>
      </c>
      <c r="L67" s="5">
        <v>12</v>
      </c>
      <c r="M67" s="5">
        <v>51.25</v>
      </c>
      <c r="N67" s="5">
        <v>60</v>
      </c>
      <c r="O67" s="6">
        <v>468</v>
      </c>
      <c r="P67" s="7">
        <v>0.10950854700854701</v>
      </c>
      <c r="Q67" s="7">
        <v>0.12820512820512819</v>
      </c>
      <c r="R67" s="7">
        <v>7.8000000000000007</v>
      </c>
    </row>
    <row r="68" spans="1:18" ht="15.6" x14ac:dyDescent="0.3">
      <c r="A68">
        <v>59</v>
      </c>
      <c r="B68" s="71">
        <v>46029</v>
      </c>
      <c r="C68" s="69" t="str">
        <v>SPU</v>
      </c>
      <c r="D68" s="68">
        <v>25</v>
      </c>
      <c r="E68" s="66">
        <v>46029.291666666664</v>
      </c>
      <c r="F68" s="49">
        <v>46029.791666666664</v>
      </c>
      <c r="G68" s="49">
        <v>7.2916666666666671E-2</v>
      </c>
      <c r="H68" s="4">
        <v>0</v>
      </c>
      <c r="I68" s="4">
        <v>0</v>
      </c>
      <c r="J68" s="4">
        <v>0</v>
      </c>
      <c r="K68" s="5">
        <v>10.25</v>
      </c>
      <c r="L68" s="5">
        <v>12</v>
      </c>
      <c r="M68" s="5">
        <v>256.25</v>
      </c>
      <c r="N68" s="5">
        <v>300</v>
      </c>
      <c r="O68" s="6">
        <v>500</v>
      </c>
      <c r="P68" s="7">
        <v>0.51249999999999996</v>
      </c>
      <c r="Q68" s="7">
        <v>0.6</v>
      </c>
      <c r="R68" s="7">
        <v>1.6666666666666667</v>
      </c>
    </row>
    <row r="69" spans="1:18" ht="15.6" x14ac:dyDescent="0.3">
      <c r="A69">
        <v>60</v>
      </c>
      <c r="B69" s="71">
        <v>46029</v>
      </c>
      <c r="C69" s="69" t="str">
        <v>HT</v>
      </c>
      <c r="D69" s="68">
        <v>21</v>
      </c>
      <c r="E69" s="66">
        <v>46029.291666666664</v>
      </c>
      <c r="F69" s="49">
        <v>46029.791666666664</v>
      </c>
      <c r="G69" s="49">
        <v>7.2916666666666671E-2</v>
      </c>
      <c r="H69" s="4">
        <v>0</v>
      </c>
      <c r="I69" s="4">
        <v>0</v>
      </c>
      <c r="J69" s="4">
        <v>0</v>
      </c>
      <c r="K69" s="5">
        <v>10.25</v>
      </c>
      <c r="L69" s="5">
        <v>12</v>
      </c>
      <c r="M69" s="5">
        <v>215.25</v>
      </c>
      <c r="N69" s="5">
        <v>252</v>
      </c>
      <c r="O69" s="6">
        <v>401</v>
      </c>
      <c r="P69" s="7">
        <v>0.53678304239401498</v>
      </c>
      <c r="Q69" s="7">
        <v>0.62842892768079806</v>
      </c>
      <c r="R69" s="7">
        <v>1.5912698412698412</v>
      </c>
    </row>
    <row r="70" spans="1:18" ht="15.6" x14ac:dyDescent="0.3">
      <c r="A70">
        <v>61</v>
      </c>
      <c r="B70" s="70">
        <v>46030</v>
      </c>
      <c r="C70" s="69" t="str">
        <v>TLR</v>
      </c>
      <c r="D70" s="68">
        <v>17</v>
      </c>
      <c r="E70" s="66">
        <v>46030.291666666664</v>
      </c>
      <c r="F70" s="49">
        <v>46030.791666666664</v>
      </c>
      <c r="G70" s="49">
        <v>7.2916666666666671E-2</v>
      </c>
      <c r="H70" s="4">
        <v>0</v>
      </c>
      <c r="I70" s="4">
        <v>0</v>
      </c>
      <c r="J70" s="4">
        <v>0</v>
      </c>
      <c r="K70" s="5">
        <v>10.25</v>
      </c>
      <c r="L70" s="5">
        <v>12</v>
      </c>
      <c r="M70" s="5">
        <v>174.25</v>
      </c>
      <c r="N70" s="5">
        <v>204</v>
      </c>
      <c r="O70" s="6">
        <v>423</v>
      </c>
      <c r="P70" s="7">
        <v>0.41193853427895982</v>
      </c>
      <c r="Q70" s="7">
        <v>0.48226950354609927</v>
      </c>
      <c r="R70" s="7">
        <v>2.0735294117647061</v>
      </c>
    </row>
    <row r="71" spans="1:18" ht="15.6" x14ac:dyDescent="0.3">
      <c r="A71">
        <v>62</v>
      </c>
      <c r="B71" s="70">
        <v>46030</v>
      </c>
      <c r="C71" s="69" t="str">
        <v>PU thân</v>
      </c>
      <c r="D71" s="68">
        <v>5</v>
      </c>
      <c r="E71" s="66">
        <v>46030.291666666664</v>
      </c>
      <c r="F71" s="49">
        <v>46030.791666666664</v>
      </c>
      <c r="G71" s="49">
        <v>7.2916666666666671E-2</v>
      </c>
      <c r="H71" s="4">
        <v>0</v>
      </c>
      <c r="I71" s="4">
        <v>0</v>
      </c>
      <c r="J71" s="4">
        <v>0</v>
      </c>
      <c r="K71" s="5">
        <v>10.25</v>
      </c>
      <c r="L71" s="5">
        <v>12</v>
      </c>
      <c r="M71" s="5">
        <v>51.25</v>
      </c>
      <c r="N71" s="5">
        <v>60</v>
      </c>
      <c r="O71" s="6">
        <v>449</v>
      </c>
      <c r="P71" s="7">
        <v>0.11414253897550111</v>
      </c>
      <c r="Q71" s="7">
        <v>0.133630289532294</v>
      </c>
      <c r="R71" s="7">
        <v>7.4833333333333325</v>
      </c>
    </row>
    <row r="72" spans="1:18" ht="15.6" x14ac:dyDescent="0.3">
      <c r="A72">
        <v>63</v>
      </c>
      <c r="B72" s="71">
        <v>46030</v>
      </c>
      <c r="C72" s="69" t="str">
        <v>SPU</v>
      </c>
      <c r="D72" s="68">
        <v>25</v>
      </c>
      <c r="E72" s="66">
        <v>46030.291666666664</v>
      </c>
      <c r="F72" s="49">
        <v>46030.791666666664</v>
      </c>
      <c r="G72" s="49">
        <v>7.2916666666666671E-2</v>
      </c>
      <c r="H72" s="4">
        <v>0</v>
      </c>
      <c r="I72" s="4">
        <v>0</v>
      </c>
      <c r="J72" s="4">
        <v>0</v>
      </c>
      <c r="K72" s="5">
        <v>10.25</v>
      </c>
      <c r="L72" s="5">
        <v>12</v>
      </c>
      <c r="M72" s="5">
        <v>256.25</v>
      </c>
      <c r="N72" s="5">
        <v>300</v>
      </c>
      <c r="O72" s="6">
        <v>511</v>
      </c>
      <c r="P72" s="7">
        <v>0.50146771037181992</v>
      </c>
      <c r="Q72" s="7">
        <v>0.58708414872798431</v>
      </c>
      <c r="R72" s="7">
        <v>1.7033333333333334</v>
      </c>
    </row>
    <row r="73" spans="1:18" ht="15.6" x14ac:dyDescent="0.3">
      <c r="A73">
        <v>64</v>
      </c>
      <c r="B73" s="70">
        <v>46030</v>
      </c>
      <c r="C73" s="69" t="str">
        <v>HT</v>
      </c>
      <c r="D73" s="68">
        <v>21</v>
      </c>
      <c r="E73" s="66">
        <v>46030.291666666664</v>
      </c>
      <c r="F73" s="49">
        <v>46030.791666666664</v>
      </c>
      <c r="G73" s="49">
        <v>7.2916666666666671E-2</v>
      </c>
      <c r="H73" s="4">
        <v>0</v>
      </c>
      <c r="I73" s="4">
        <v>0</v>
      </c>
      <c r="J73" s="4">
        <v>0</v>
      </c>
      <c r="K73" s="5">
        <v>10.25</v>
      </c>
      <c r="L73" s="5">
        <v>12</v>
      </c>
      <c r="M73" s="5">
        <v>215.25</v>
      </c>
      <c r="N73" s="5">
        <v>252</v>
      </c>
      <c r="O73" s="6">
        <v>430</v>
      </c>
      <c r="P73" s="7">
        <v>0.50058139534883717</v>
      </c>
      <c r="Q73" s="7">
        <v>0.586046511627907</v>
      </c>
      <c r="R73" s="7">
        <v>1.7063492063492063</v>
      </c>
    </row>
    <row r="74" spans="1:18" ht="18" customHeight="1" x14ac:dyDescent="0.3">
      <c r="A74">
        <v>65</v>
      </c>
      <c r="B74" s="70">
        <v>46031</v>
      </c>
      <c r="C74" s="69" t="str">
        <v>TLR</v>
      </c>
      <c r="D74" s="68">
        <v>16</v>
      </c>
      <c r="E74" s="66">
        <v>46031.291666666664</v>
      </c>
      <c r="F74" s="49">
        <v>46031.791666666664</v>
      </c>
      <c r="G74" s="49">
        <v>7.2916666666666671E-2</v>
      </c>
      <c r="H74" s="4">
        <v>0</v>
      </c>
      <c r="I74" s="4">
        <v>0</v>
      </c>
      <c r="J74" s="4">
        <v>0</v>
      </c>
      <c r="K74" s="5">
        <v>10.25</v>
      </c>
      <c r="L74" s="5">
        <v>12</v>
      </c>
      <c r="M74" s="5">
        <v>164</v>
      </c>
      <c r="N74" s="5">
        <v>192</v>
      </c>
      <c r="O74" s="6">
        <v>399</v>
      </c>
      <c r="P74" s="7">
        <v>0.41102756892230574</v>
      </c>
      <c r="Q74" s="7">
        <v>0.48120300751879697</v>
      </c>
      <c r="R74" s="7">
        <v>2.078125</v>
      </c>
    </row>
    <row r="75" spans="1:18" ht="15.6" x14ac:dyDescent="0.3">
      <c r="A75">
        <v>66</v>
      </c>
      <c r="B75" s="71">
        <v>46031</v>
      </c>
      <c r="C75" s="69" t="str">
        <v>PU thân</v>
      </c>
      <c r="D75" s="68">
        <v>5</v>
      </c>
      <c r="E75" s="66">
        <v>46031.291666666664</v>
      </c>
      <c r="F75" s="49">
        <v>46031.791666666664</v>
      </c>
      <c r="G75" s="49">
        <v>7.2916666666666671E-2</v>
      </c>
      <c r="H75" s="4">
        <v>0</v>
      </c>
      <c r="I75" s="4">
        <v>0</v>
      </c>
      <c r="J75" s="4">
        <v>0</v>
      </c>
      <c r="K75" s="5">
        <v>10.25</v>
      </c>
      <c r="L75" s="5">
        <v>12</v>
      </c>
      <c r="M75" s="5">
        <v>51.25</v>
      </c>
      <c r="N75" s="5">
        <v>60</v>
      </c>
      <c r="O75" s="6">
        <v>477</v>
      </c>
      <c r="P75" s="7">
        <v>0.10744234800838574</v>
      </c>
      <c r="Q75" s="7">
        <v>0.12578616352201258</v>
      </c>
      <c r="R75" s="7">
        <v>7.95</v>
      </c>
    </row>
    <row r="76" spans="1:18" ht="15.6" x14ac:dyDescent="0.3">
      <c r="A76">
        <v>67</v>
      </c>
      <c r="B76" s="71">
        <v>46031</v>
      </c>
      <c r="C76" s="69" t="str">
        <v>SPU</v>
      </c>
      <c r="D76" s="68">
        <v>26</v>
      </c>
      <c r="E76" s="66">
        <v>46031.291666666664</v>
      </c>
      <c r="F76" s="49">
        <v>46031.791666666664</v>
      </c>
      <c r="G76" s="49">
        <v>7.2916666666666671E-2</v>
      </c>
      <c r="H76" s="4">
        <v>4.7222222222222221E-2</v>
      </c>
      <c r="I76" s="4">
        <v>0</v>
      </c>
      <c r="J76" s="4">
        <v>0</v>
      </c>
      <c r="K76" s="5">
        <v>9.1166666666666671</v>
      </c>
      <c r="L76" s="5">
        <v>12</v>
      </c>
      <c r="M76" s="5">
        <v>237.03333333333336</v>
      </c>
      <c r="N76" s="5">
        <v>312</v>
      </c>
      <c r="O76" s="6">
        <v>339</v>
      </c>
      <c r="P76" s="7">
        <v>0.69921337266470018</v>
      </c>
      <c r="Q76" s="7">
        <v>0.92035398230088494</v>
      </c>
      <c r="R76" s="7">
        <v>1.0865384615384615</v>
      </c>
    </row>
    <row r="77" spans="1:18" ht="15.6" x14ac:dyDescent="0.3">
      <c r="A77">
        <v>68</v>
      </c>
      <c r="B77" s="70">
        <v>46031</v>
      </c>
      <c r="C77" s="69" t="str">
        <v>HT</v>
      </c>
      <c r="D77" s="68">
        <v>21</v>
      </c>
      <c r="E77" s="66">
        <v>46031.291666666664</v>
      </c>
      <c r="F77" s="49">
        <v>46031.791666666664</v>
      </c>
      <c r="G77" s="49">
        <v>7.2916666666666671E-2</v>
      </c>
      <c r="H77" s="4">
        <v>0</v>
      </c>
      <c r="I77" s="4">
        <v>0</v>
      </c>
      <c r="J77" s="4">
        <v>0</v>
      </c>
      <c r="K77" s="5">
        <v>10.25</v>
      </c>
      <c r="L77" s="5">
        <v>12</v>
      </c>
      <c r="M77" s="5">
        <v>215.25</v>
      </c>
      <c r="N77" s="5">
        <v>252</v>
      </c>
      <c r="O77" s="6">
        <v>263</v>
      </c>
      <c r="P77" s="7">
        <v>0.8184410646387833</v>
      </c>
      <c r="Q77" s="7">
        <v>0.95817490494296575</v>
      </c>
      <c r="R77" s="7">
        <v>1.0436507936507937</v>
      </c>
    </row>
    <row r="78" spans="1:18" ht="15.6" x14ac:dyDescent="0.3">
      <c r="A78">
        <v>69</v>
      </c>
      <c r="B78" s="70">
        <v>46032</v>
      </c>
      <c r="C78" s="69" t="str">
        <v>TLR</v>
      </c>
      <c r="D78" s="68">
        <v>21</v>
      </c>
      <c r="E78" s="66">
        <v>46032.291666666664</v>
      </c>
      <c r="F78" s="49">
        <v>46032.791666666664</v>
      </c>
      <c r="G78" s="49">
        <v>7.2916666666666671E-2</v>
      </c>
      <c r="H78" s="4">
        <v>0</v>
      </c>
      <c r="I78" s="4">
        <v>0</v>
      </c>
      <c r="J78" s="4">
        <v>0</v>
      </c>
      <c r="K78" s="5">
        <v>10.25</v>
      </c>
      <c r="L78" s="5">
        <v>12</v>
      </c>
      <c r="M78" s="5">
        <v>215.25</v>
      </c>
      <c r="N78" s="5">
        <v>252</v>
      </c>
      <c r="O78" s="6">
        <v>448</v>
      </c>
      <c r="P78" s="7">
        <v>0.48046875</v>
      </c>
      <c r="Q78" s="7">
        <v>0.5625</v>
      </c>
      <c r="R78" s="7">
        <v>1.7777777777777777</v>
      </c>
    </row>
    <row r="79" spans="1:18" ht="15.6" x14ac:dyDescent="0.3">
      <c r="A79">
        <v>70</v>
      </c>
      <c r="B79" s="71">
        <v>46032</v>
      </c>
      <c r="C79" s="69" t="str">
        <v>PU thân</v>
      </c>
      <c r="D79" s="68">
        <v>5</v>
      </c>
      <c r="E79" s="66">
        <v>46032.291666666664</v>
      </c>
      <c r="F79" s="49">
        <v>46032.791666666664</v>
      </c>
      <c r="G79" s="49">
        <v>7.2916666666666671E-2</v>
      </c>
      <c r="H79" s="4">
        <v>0</v>
      </c>
      <c r="I79" s="4">
        <v>0</v>
      </c>
      <c r="J79" s="4">
        <v>0</v>
      </c>
      <c r="K79" s="5">
        <v>10.25</v>
      </c>
      <c r="L79" s="5">
        <v>12</v>
      </c>
      <c r="M79" s="5">
        <v>51.25</v>
      </c>
      <c r="N79" s="5">
        <v>60</v>
      </c>
      <c r="O79" s="6">
        <v>440</v>
      </c>
      <c r="P79" s="7">
        <v>0.11647727272727272</v>
      </c>
      <c r="Q79" s="7">
        <v>0.13636363636363635</v>
      </c>
      <c r="R79" s="7">
        <v>7.3333333333333339</v>
      </c>
    </row>
    <row r="80" spans="1:18" ht="15.6" x14ac:dyDescent="0.3">
      <c r="A80">
        <v>71</v>
      </c>
      <c r="B80" s="71">
        <v>46032</v>
      </c>
      <c r="C80" s="69" t="str">
        <v>SPU</v>
      </c>
      <c r="D80" s="68">
        <v>22</v>
      </c>
      <c r="E80" s="66">
        <v>46032.291666666664</v>
      </c>
      <c r="F80" s="49">
        <v>46032.791666666664</v>
      </c>
      <c r="G80" s="49">
        <v>7.2916666666666671E-2</v>
      </c>
      <c r="H80" s="4">
        <v>0.10138888888888889</v>
      </c>
      <c r="I80" s="4">
        <v>0</v>
      </c>
      <c r="J80" s="4">
        <v>0</v>
      </c>
      <c r="K80" s="5">
        <v>7.8166666666666664</v>
      </c>
      <c r="L80" s="5">
        <v>12</v>
      </c>
      <c r="M80" s="5">
        <v>171.96666666666667</v>
      </c>
      <c r="N80" s="5">
        <v>264</v>
      </c>
      <c r="O80" s="6">
        <v>339</v>
      </c>
      <c r="P80" s="7">
        <v>0.50727630285152414</v>
      </c>
      <c r="Q80" s="7">
        <v>0.77876106194690264</v>
      </c>
      <c r="R80" s="7">
        <v>1.2840909090909092</v>
      </c>
    </row>
    <row r="81" spans="1:18" ht="15.6" x14ac:dyDescent="0.3">
      <c r="A81">
        <v>72</v>
      </c>
      <c r="B81" s="71">
        <v>46032</v>
      </c>
      <c r="C81" s="69" t="str">
        <v>HT</v>
      </c>
      <c r="D81" s="68">
        <v>22</v>
      </c>
      <c r="E81" s="66">
        <v>46032.291666666664</v>
      </c>
      <c r="F81" s="49">
        <v>46032.791666666664</v>
      </c>
      <c r="G81" s="49">
        <v>7.2916666666666671E-2</v>
      </c>
      <c r="H81" s="4">
        <v>9.7222222222222224E-2</v>
      </c>
      <c r="I81" s="4">
        <v>0</v>
      </c>
      <c r="J81" s="4">
        <v>0</v>
      </c>
      <c r="K81" s="5">
        <v>7.916666666666667</v>
      </c>
      <c r="L81" s="5">
        <v>12</v>
      </c>
      <c r="M81" s="5">
        <v>174.16666666666669</v>
      </c>
      <c r="N81" s="5">
        <v>264</v>
      </c>
      <c r="O81" s="6">
        <v>240</v>
      </c>
      <c r="P81" s="7">
        <v>0.72569444444444453</v>
      </c>
      <c r="Q81" s="7">
        <v>1.1000000000000001</v>
      </c>
      <c r="R81" s="7">
        <v>0.90909090909090906</v>
      </c>
    </row>
    <row r="82" spans="1:18" ht="15.6" x14ac:dyDescent="0.3">
      <c r="A82">
        <v>73</v>
      </c>
      <c r="B82" s="71">
        <v>46033</v>
      </c>
      <c r="C82" s="69" t="str">
        <v>SPU</v>
      </c>
      <c r="D82" s="68">
        <v>20</v>
      </c>
      <c r="E82" s="66">
        <v>46033.541666666664</v>
      </c>
      <c r="F82" s="49">
        <v>46033.666666666664</v>
      </c>
      <c r="G82" s="49">
        <v>6.9444444444444441E-3</v>
      </c>
      <c r="H82" s="4">
        <v>0</v>
      </c>
      <c r="I82" s="4">
        <v>0</v>
      </c>
      <c r="J82" s="4">
        <v>0</v>
      </c>
      <c r="K82" s="5">
        <v>2.8333333333333335</v>
      </c>
      <c r="L82" s="5">
        <v>3</v>
      </c>
      <c r="M82" s="5">
        <v>56.666666666666671</v>
      </c>
      <c r="N82" s="5">
        <v>60</v>
      </c>
      <c r="O82" s="6">
        <v>132</v>
      </c>
      <c r="P82" s="7">
        <v>0.42929292929292934</v>
      </c>
      <c r="Q82" s="7">
        <v>0.45454545454545453</v>
      </c>
      <c r="R82" s="7">
        <v>2.2000000000000002</v>
      </c>
    </row>
    <row r="83" spans="1:18" ht="15.6" x14ac:dyDescent="0.3">
      <c r="A83">
        <v>74</v>
      </c>
      <c r="B83" s="71">
        <v>46034</v>
      </c>
      <c r="C83" s="69" t="str">
        <v>TLR</v>
      </c>
      <c r="D83" s="68">
        <v>19</v>
      </c>
      <c r="E83" s="66">
        <v>46034.291666666664</v>
      </c>
      <c r="F83" s="49">
        <v>46034.416666666664</v>
      </c>
      <c r="G83" s="49">
        <v>6.9444444444444441E-3</v>
      </c>
      <c r="H83" s="4">
        <v>0</v>
      </c>
      <c r="I83" s="4">
        <v>0</v>
      </c>
      <c r="J83" s="4">
        <v>0</v>
      </c>
      <c r="K83" s="5">
        <v>2.8333333333333335</v>
      </c>
      <c r="L83" s="5">
        <v>3</v>
      </c>
      <c r="M83" s="5">
        <v>53.833333333333336</v>
      </c>
      <c r="N83" s="5">
        <v>57</v>
      </c>
      <c r="O83" s="6">
        <v>85</v>
      </c>
      <c r="P83" s="7">
        <v>0.63333333333333341</v>
      </c>
      <c r="Q83" s="7">
        <v>0.6705882352941176</v>
      </c>
      <c r="R83" s="7">
        <v>1.4912280701754388</v>
      </c>
    </row>
    <row r="84" spans="1:18" ht="15.6" x14ac:dyDescent="0.3">
      <c r="A84">
        <v>75</v>
      </c>
      <c r="B84" s="71">
        <v>46034</v>
      </c>
      <c r="C84" s="69" t="str">
        <v>PU thân</v>
      </c>
      <c r="D84" s="68">
        <v>5</v>
      </c>
      <c r="E84" s="66">
        <v>46034.291666666664</v>
      </c>
      <c r="F84" s="49">
        <v>46034.416666666664</v>
      </c>
      <c r="G84" s="49">
        <v>6.9444444444444441E-3</v>
      </c>
      <c r="H84" s="4">
        <v>0</v>
      </c>
      <c r="I84" s="4">
        <v>0</v>
      </c>
      <c r="J84" s="4">
        <v>0</v>
      </c>
      <c r="K84" s="5">
        <v>2.8333333333333335</v>
      </c>
      <c r="L84" s="5">
        <v>3</v>
      </c>
      <c r="M84" s="5">
        <v>14.166666666666668</v>
      </c>
      <c r="N84" s="5">
        <v>15</v>
      </c>
      <c r="O84" s="6">
        <v>95</v>
      </c>
      <c r="P84" s="7">
        <v>0.14912280701754388</v>
      </c>
      <c r="Q84" s="7">
        <v>0.15789473684210525</v>
      </c>
      <c r="R84" s="7">
        <v>6.3333333333333339</v>
      </c>
    </row>
    <row r="85" spans="1:18" ht="15.6" x14ac:dyDescent="0.3">
      <c r="A85">
        <v>76</v>
      </c>
      <c r="B85" s="72">
        <v>46034</v>
      </c>
      <c r="C85" s="69" t="str">
        <v>SPU</v>
      </c>
      <c r="D85" s="68">
        <v>24</v>
      </c>
      <c r="E85" s="66">
        <v>46034.291666666664</v>
      </c>
      <c r="F85" s="49">
        <v>46034.791666666664</v>
      </c>
      <c r="G85" s="49">
        <v>7.2916666666666671E-2</v>
      </c>
      <c r="H85" s="4">
        <v>0</v>
      </c>
      <c r="I85" s="4">
        <v>0</v>
      </c>
      <c r="J85" s="4">
        <v>0</v>
      </c>
      <c r="K85" s="5">
        <v>10.25</v>
      </c>
      <c r="L85" s="5">
        <v>12</v>
      </c>
      <c r="M85" s="5">
        <v>246</v>
      </c>
      <c r="N85" s="5">
        <v>288</v>
      </c>
      <c r="O85" s="6">
        <v>431</v>
      </c>
      <c r="P85" s="7">
        <v>0.57076566125290018</v>
      </c>
      <c r="Q85" s="7">
        <v>0.6682134570765661</v>
      </c>
      <c r="R85" s="7">
        <v>1.4965277777777779</v>
      </c>
    </row>
    <row r="86" spans="1:18" ht="15.6" x14ac:dyDescent="0.3">
      <c r="A86">
        <v>77</v>
      </c>
      <c r="B86" s="72">
        <v>46034</v>
      </c>
      <c r="C86" s="69" t="str">
        <v>HT</v>
      </c>
      <c r="D86" s="68">
        <v>20</v>
      </c>
      <c r="E86" s="66">
        <v>46034.291666666664</v>
      </c>
      <c r="F86" s="49">
        <v>46034.875</v>
      </c>
      <c r="G86" s="49">
        <v>0.10416666666666667</v>
      </c>
      <c r="H86" s="4">
        <v>0</v>
      </c>
      <c r="I86" s="4">
        <v>0</v>
      </c>
      <c r="J86" s="4">
        <v>0</v>
      </c>
      <c r="K86" s="5">
        <v>11.5</v>
      </c>
      <c r="L86" s="5">
        <v>14</v>
      </c>
      <c r="M86" s="5">
        <v>230</v>
      </c>
      <c r="N86" s="5">
        <v>280</v>
      </c>
      <c r="O86" s="6">
        <v>350</v>
      </c>
      <c r="P86" s="7">
        <v>0.65714285714285714</v>
      </c>
      <c r="Q86" s="7">
        <v>0.8</v>
      </c>
      <c r="R86" s="7">
        <v>1.25</v>
      </c>
    </row>
    <row r="87" spans="1:18" ht="15.6" x14ac:dyDescent="0.3">
      <c r="A87">
        <v>78</v>
      </c>
      <c r="B87" s="72">
        <v>46035</v>
      </c>
      <c r="C87" s="69" t="str">
        <v>TLR</v>
      </c>
      <c r="D87" s="68">
        <v>20</v>
      </c>
      <c r="E87" s="66">
        <v>46035.291666666664</v>
      </c>
      <c r="F87" s="49">
        <v>46035.791666666664</v>
      </c>
      <c r="G87" s="49">
        <v>7.2916666666666671E-2</v>
      </c>
      <c r="H87" s="4">
        <v>0</v>
      </c>
      <c r="I87" s="4">
        <v>0</v>
      </c>
      <c r="J87" s="4">
        <v>0</v>
      </c>
      <c r="K87" s="5">
        <v>10.25</v>
      </c>
      <c r="L87" s="5">
        <v>12</v>
      </c>
      <c r="M87" s="5">
        <v>205</v>
      </c>
      <c r="N87" s="5">
        <v>240</v>
      </c>
      <c r="O87" s="6">
        <v>500</v>
      </c>
      <c r="P87" s="7">
        <v>0.41</v>
      </c>
      <c r="Q87" s="7">
        <v>0.48</v>
      </c>
      <c r="R87" s="7">
        <v>2.0833333333333335</v>
      </c>
    </row>
    <row r="88" spans="1:18" ht="15.6" x14ac:dyDescent="0.3">
      <c r="A88">
        <v>79</v>
      </c>
      <c r="B88" s="72">
        <v>46035</v>
      </c>
      <c r="C88" s="69" t="str">
        <v>PU thân</v>
      </c>
      <c r="D88" s="68">
        <v>5</v>
      </c>
      <c r="E88" s="66">
        <v>46035.291666666664</v>
      </c>
      <c r="F88" s="49">
        <v>46035.791666666664</v>
      </c>
      <c r="G88" s="49">
        <v>7.2916666666666671E-2</v>
      </c>
      <c r="H88" s="4">
        <v>0</v>
      </c>
      <c r="I88" s="4">
        <v>0</v>
      </c>
      <c r="J88" s="4">
        <v>0</v>
      </c>
      <c r="K88" s="5">
        <v>10.25</v>
      </c>
      <c r="L88" s="5">
        <v>12</v>
      </c>
      <c r="M88" s="5">
        <v>51.25</v>
      </c>
      <c r="N88" s="5">
        <v>60</v>
      </c>
      <c r="O88" s="6">
        <v>456</v>
      </c>
      <c r="P88" s="7">
        <v>0.11239035087719298</v>
      </c>
      <c r="Q88" s="7">
        <v>0.13157894736842105</v>
      </c>
      <c r="R88" s="7">
        <v>7.6000000000000005</v>
      </c>
    </row>
    <row r="89" spans="1:18" ht="15.6" x14ac:dyDescent="0.3">
      <c r="A89">
        <v>80</v>
      </c>
      <c r="B89" s="71">
        <v>46035</v>
      </c>
      <c r="C89" s="69" t="str">
        <v>SPU</v>
      </c>
      <c r="D89" s="68">
        <v>22</v>
      </c>
      <c r="E89" s="66">
        <v>46035.291666666664</v>
      </c>
      <c r="F89" s="49">
        <v>46035.791666666664</v>
      </c>
      <c r="G89" s="49">
        <v>7.2916666666666671E-2</v>
      </c>
      <c r="H89" s="4">
        <v>4.7222222222222221E-2</v>
      </c>
      <c r="I89" s="4">
        <v>0</v>
      </c>
      <c r="J89" s="4">
        <v>0</v>
      </c>
      <c r="K89" s="5">
        <v>9.1166666666666671</v>
      </c>
      <c r="L89" s="5">
        <v>12</v>
      </c>
      <c r="M89" s="5">
        <v>200.56666666666666</v>
      </c>
      <c r="N89" s="5">
        <v>264</v>
      </c>
      <c r="O89" s="6">
        <v>385</v>
      </c>
      <c r="P89" s="7">
        <v>0.52095238095238094</v>
      </c>
      <c r="Q89" s="7">
        <v>0.68571428571428572</v>
      </c>
      <c r="R89" s="7">
        <v>1.4583333333333333</v>
      </c>
    </row>
    <row r="90" spans="1:18" ht="15.6" x14ac:dyDescent="0.3">
      <c r="A90">
        <v>81</v>
      </c>
      <c r="B90" s="71">
        <v>46035</v>
      </c>
      <c r="C90" s="69" t="str">
        <v>HT</v>
      </c>
      <c r="D90" s="68">
        <v>20</v>
      </c>
      <c r="E90" s="66">
        <v>46035.291666666664</v>
      </c>
      <c r="F90" s="49">
        <v>46035.875</v>
      </c>
      <c r="G90" s="49">
        <v>7.2916666666666671E-2</v>
      </c>
      <c r="H90" s="4">
        <v>0</v>
      </c>
      <c r="I90" s="4">
        <v>0</v>
      </c>
      <c r="J90" s="4">
        <v>0</v>
      </c>
      <c r="K90" s="5">
        <v>12.25</v>
      </c>
      <c r="L90" s="5">
        <v>14</v>
      </c>
      <c r="M90" s="5">
        <v>245</v>
      </c>
      <c r="N90" s="5">
        <v>280</v>
      </c>
      <c r="O90" s="6">
        <v>328</v>
      </c>
      <c r="P90" s="7">
        <v>0.74695121951219512</v>
      </c>
      <c r="Q90" s="7">
        <v>0.85365853658536583</v>
      </c>
      <c r="R90" s="7">
        <v>1.1714285714285715</v>
      </c>
    </row>
    <row r="91" spans="1:18" ht="15.6" x14ac:dyDescent="0.3">
      <c r="A91">
        <v>82</v>
      </c>
      <c r="B91" s="71">
        <v>46036</v>
      </c>
      <c r="C91" s="69" t="str">
        <v>TLR</v>
      </c>
      <c r="D91" s="68">
        <v>21</v>
      </c>
      <c r="E91" s="66">
        <v>46036.291666666664</v>
      </c>
      <c r="F91" s="49">
        <v>46036.791666666664</v>
      </c>
      <c r="G91" s="49">
        <v>7.2916666666666671E-2</v>
      </c>
      <c r="H91" s="4">
        <v>0</v>
      </c>
      <c r="I91" s="4">
        <v>0</v>
      </c>
      <c r="J91" s="4">
        <v>0</v>
      </c>
      <c r="K91" s="5">
        <v>10.25</v>
      </c>
      <c r="L91" s="5">
        <v>12</v>
      </c>
      <c r="M91" s="5">
        <v>215.25</v>
      </c>
      <c r="N91" s="5">
        <v>252</v>
      </c>
      <c r="O91" s="6">
        <v>501</v>
      </c>
      <c r="P91" s="7">
        <v>0.42964071856287422</v>
      </c>
      <c r="Q91" s="7">
        <v>0.50299401197604787</v>
      </c>
      <c r="R91" s="7">
        <v>1.9880952380952381</v>
      </c>
    </row>
    <row r="92" spans="1:18" ht="15.6" x14ac:dyDescent="0.3">
      <c r="A92">
        <v>83</v>
      </c>
      <c r="B92" s="71">
        <v>46036</v>
      </c>
      <c r="C92" s="69" t="str">
        <v>PU thân</v>
      </c>
      <c r="D92" s="68">
        <v>5</v>
      </c>
      <c r="E92" s="66">
        <v>46036.291666666664</v>
      </c>
      <c r="F92" s="49">
        <v>46036.791666666664</v>
      </c>
      <c r="G92" s="49">
        <v>7.2916666666666671E-2</v>
      </c>
      <c r="H92" s="4">
        <v>0</v>
      </c>
      <c r="I92" s="4">
        <v>0</v>
      </c>
      <c r="J92" s="4">
        <v>0</v>
      </c>
      <c r="K92" s="5">
        <v>10.25</v>
      </c>
      <c r="L92" s="5">
        <v>12</v>
      </c>
      <c r="M92" s="5">
        <v>51.25</v>
      </c>
      <c r="N92" s="5">
        <v>60</v>
      </c>
      <c r="O92" s="6">
        <v>442</v>
      </c>
      <c r="P92" s="7">
        <v>0.1159502262443439</v>
      </c>
      <c r="Q92" s="7">
        <v>0.13574660633484162</v>
      </c>
      <c r="R92" s="7">
        <v>7.3666666666666671</v>
      </c>
    </row>
    <row r="93" spans="1:18" ht="15.6" x14ac:dyDescent="0.3">
      <c r="A93">
        <v>84</v>
      </c>
      <c r="B93" s="72">
        <v>46036</v>
      </c>
      <c r="C93" s="69" t="str">
        <v>SPU</v>
      </c>
      <c r="D93" s="68">
        <v>24</v>
      </c>
      <c r="E93" s="66">
        <v>46036.291666666664</v>
      </c>
      <c r="F93" s="49">
        <v>46036.791666666664</v>
      </c>
      <c r="G93" s="49">
        <v>7.2916666666666671E-2</v>
      </c>
      <c r="H93" s="4">
        <v>8.5416666666666669E-2</v>
      </c>
      <c r="I93" s="4">
        <v>0</v>
      </c>
      <c r="J93" s="4">
        <v>0</v>
      </c>
      <c r="K93" s="5">
        <v>8.1999999999999993</v>
      </c>
      <c r="L93" s="5">
        <v>12</v>
      </c>
      <c r="M93" s="5">
        <v>196.79999999999998</v>
      </c>
      <c r="N93" s="5">
        <v>288</v>
      </c>
      <c r="O93" s="6">
        <v>373</v>
      </c>
      <c r="P93" s="7">
        <v>0.52761394101876669</v>
      </c>
      <c r="Q93" s="7">
        <v>0.77211796246648789</v>
      </c>
      <c r="R93" s="7">
        <v>1.2951388888888891</v>
      </c>
    </row>
    <row r="94" spans="1:18" ht="15.6" x14ac:dyDescent="0.3">
      <c r="A94">
        <v>85</v>
      </c>
      <c r="B94" s="72">
        <v>46036</v>
      </c>
      <c r="C94" s="69" t="str">
        <v>HT</v>
      </c>
      <c r="D94" s="68">
        <v>24</v>
      </c>
      <c r="E94" s="66">
        <v>46036.291666666664</v>
      </c>
      <c r="F94" s="49">
        <v>46036.875</v>
      </c>
      <c r="G94" s="49">
        <v>7.2916666666666671E-2</v>
      </c>
      <c r="H94" s="4">
        <v>0</v>
      </c>
      <c r="I94" s="4">
        <v>0</v>
      </c>
      <c r="J94" s="4">
        <v>0</v>
      </c>
      <c r="K94" s="5">
        <v>12.25</v>
      </c>
      <c r="L94" s="5">
        <v>14</v>
      </c>
      <c r="M94" s="5">
        <v>294</v>
      </c>
      <c r="N94" s="5">
        <v>336</v>
      </c>
      <c r="O94" s="6">
        <v>352</v>
      </c>
      <c r="P94" s="7">
        <v>0.83522727272727271</v>
      </c>
      <c r="Q94" s="7">
        <v>0.95454545454545459</v>
      </c>
      <c r="R94" s="7">
        <v>1.0476190476190477</v>
      </c>
    </row>
    <row r="95" spans="1:18" ht="15.6" x14ac:dyDescent="0.3">
      <c r="A95">
        <v>86</v>
      </c>
      <c r="B95" s="72">
        <v>46037</v>
      </c>
      <c r="C95" s="69" t="str">
        <v>TLR</v>
      </c>
      <c r="D95" s="68">
        <v>20</v>
      </c>
      <c r="E95" s="66">
        <v>46037.291666666664</v>
      </c>
      <c r="F95" s="49">
        <v>46037.791666666664</v>
      </c>
      <c r="G95" s="49">
        <v>7.2916666666666671E-2</v>
      </c>
      <c r="H95" s="4">
        <v>0</v>
      </c>
      <c r="I95" s="4">
        <v>0</v>
      </c>
      <c r="J95" s="4">
        <v>0</v>
      </c>
      <c r="K95" s="5">
        <v>10.25</v>
      </c>
      <c r="L95" s="5">
        <v>12</v>
      </c>
      <c r="M95" s="5">
        <v>205</v>
      </c>
      <c r="N95" s="5">
        <v>240</v>
      </c>
      <c r="O95" s="6">
        <v>450</v>
      </c>
      <c r="P95" s="7">
        <v>0.45555555555555555</v>
      </c>
      <c r="Q95" s="7">
        <v>0.53333333333333333</v>
      </c>
      <c r="R95" s="7">
        <v>1.875</v>
      </c>
    </row>
    <row r="96" spans="1:18" ht="15.6" x14ac:dyDescent="0.3">
      <c r="A96">
        <v>87</v>
      </c>
      <c r="B96" s="72">
        <v>46037</v>
      </c>
      <c r="C96" s="69" t="str">
        <v>PU thân</v>
      </c>
      <c r="D96" s="68">
        <v>5</v>
      </c>
      <c r="E96" s="66">
        <v>46037.291666666664</v>
      </c>
      <c r="F96" s="49">
        <v>46037.791666666664</v>
      </c>
      <c r="G96" s="49">
        <v>7.2916666666666671E-2</v>
      </c>
      <c r="H96" s="4">
        <v>0</v>
      </c>
      <c r="I96" s="4">
        <v>0</v>
      </c>
      <c r="J96" s="4">
        <v>0</v>
      </c>
      <c r="K96" s="5">
        <v>10.25</v>
      </c>
      <c r="L96" s="5">
        <v>12</v>
      </c>
      <c r="M96" s="5">
        <v>51.25</v>
      </c>
      <c r="N96" s="5">
        <v>60</v>
      </c>
      <c r="O96" s="6">
        <v>462</v>
      </c>
      <c r="P96" s="7">
        <v>0.11093073593073594</v>
      </c>
      <c r="Q96" s="7">
        <v>0.12987012987012986</v>
      </c>
      <c r="R96" s="7">
        <v>7.7000000000000011</v>
      </c>
    </row>
    <row r="97" spans="1:18" ht="15.6" x14ac:dyDescent="0.3">
      <c r="A97">
        <v>88</v>
      </c>
      <c r="B97" s="71">
        <v>46037</v>
      </c>
      <c r="C97" s="69" t="str">
        <v>SPU</v>
      </c>
      <c r="D97" s="68">
        <v>24</v>
      </c>
      <c r="E97" s="66">
        <v>46037.291666666664</v>
      </c>
      <c r="F97" s="49">
        <v>46037.791666666664</v>
      </c>
      <c r="G97" s="49">
        <v>7.2916666666666671E-2</v>
      </c>
      <c r="H97" s="4">
        <v>5.6944444444444443E-2</v>
      </c>
      <c r="I97" s="4">
        <v>0</v>
      </c>
      <c r="J97" s="4">
        <v>0</v>
      </c>
      <c r="K97" s="5">
        <v>8.8833333333333329</v>
      </c>
      <c r="L97" s="5">
        <v>12</v>
      </c>
      <c r="M97" s="5">
        <v>213.2</v>
      </c>
      <c r="N97" s="5">
        <v>288</v>
      </c>
      <c r="O97" s="6">
        <v>338</v>
      </c>
      <c r="P97" s="7">
        <v>0.63076923076923075</v>
      </c>
      <c r="Q97" s="7">
        <v>0.85207100591715978</v>
      </c>
      <c r="R97" s="7">
        <v>1.1736111111111112</v>
      </c>
    </row>
    <row r="98" spans="1:18" ht="15.6" x14ac:dyDescent="0.3">
      <c r="A98">
        <v>89</v>
      </c>
      <c r="B98" s="71">
        <v>46037</v>
      </c>
      <c r="C98" s="69" t="str">
        <v>HT</v>
      </c>
      <c r="D98" s="68">
        <v>22</v>
      </c>
      <c r="E98" s="66">
        <v>46037.291666666664</v>
      </c>
      <c r="F98" s="49">
        <v>46037.875</v>
      </c>
      <c r="G98" s="49">
        <v>7.2916666666666671E-2</v>
      </c>
      <c r="H98" s="4">
        <v>0</v>
      </c>
      <c r="I98" s="4">
        <v>0</v>
      </c>
      <c r="J98" s="4">
        <v>0</v>
      </c>
      <c r="K98" s="5">
        <v>12.25</v>
      </c>
      <c r="L98" s="5">
        <v>14</v>
      </c>
      <c r="M98" s="5">
        <v>269.5</v>
      </c>
      <c r="N98" s="5">
        <v>308</v>
      </c>
      <c r="O98" s="6">
        <v>372</v>
      </c>
      <c r="P98" s="7">
        <v>0.72446236559139787</v>
      </c>
      <c r="Q98" s="7">
        <v>0.82795698924731187</v>
      </c>
      <c r="R98" s="7">
        <v>1.2077922077922076</v>
      </c>
    </row>
    <row r="99" spans="1:18" ht="15.6" x14ac:dyDescent="0.3">
      <c r="A99">
        <v>90</v>
      </c>
      <c r="B99" s="71">
        <v>46038</v>
      </c>
      <c r="C99" s="69" t="str">
        <v>TLR</v>
      </c>
      <c r="D99" s="68">
        <v>19</v>
      </c>
      <c r="E99" s="66">
        <v>46038.291666666664</v>
      </c>
      <c r="F99" s="49">
        <v>46038.791666666664</v>
      </c>
      <c r="G99" s="49">
        <v>7.2916666666666671E-2</v>
      </c>
      <c r="H99" s="4">
        <v>0</v>
      </c>
      <c r="I99" s="4">
        <v>0</v>
      </c>
      <c r="J99" s="4">
        <v>0</v>
      </c>
      <c r="K99" s="5">
        <v>10.25</v>
      </c>
      <c r="L99" s="5">
        <v>12</v>
      </c>
      <c r="M99" s="5">
        <v>194.75</v>
      </c>
      <c r="N99" s="5">
        <v>228</v>
      </c>
      <c r="O99" s="6">
        <v>402</v>
      </c>
      <c r="P99" s="7">
        <v>0.48445273631840796</v>
      </c>
      <c r="Q99" s="7">
        <v>0.56716417910447758</v>
      </c>
      <c r="R99" s="7">
        <v>1.7631578947368423</v>
      </c>
    </row>
    <row r="100" spans="1:18" ht="15.6" x14ac:dyDescent="0.3">
      <c r="A100">
        <v>91</v>
      </c>
      <c r="B100" s="71">
        <v>46038</v>
      </c>
      <c r="C100" s="69" t="str">
        <v>PU thân</v>
      </c>
      <c r="D100" s="68">
        <v>5</v>
      </c>
      <c r="E100" s="66">
        <v>46038.291666666664</v>
      </c>
      <c r="F100" s="49">
        <v>46038.791666666664</v>
      </c>
      <c r="G100" s="49">
        <v>7.2916666666666671E-2</v>
      </c>
      <c r="H100" s="4">
        <v>0</v>
      </c>
      <c r="I100" s="4">
        <v>0</v>
      </c>
      <c r="J100" s="4">
        <v>0</v>
      </c>
      <c r="K100" s="5">
        <v>10.25</v>
      </c>
      <c r="L100" s="5">
        <v>12</v>
      </c>
      <c r="M100" s="5">
        <v>51.25</v>
      </c>
      <c r="N100" s="5">
        <v>60</v>
      </c>
      <c r="O100" s="6">
        <v>421</v>
      </c>
      <c r="P100" s="7">
        <v>0.12173396674584323</v>
      </c>
      <c r="Q100" s="7">
        <v>0.14251781472684086</v>
      </c>
      <c r="R100" s="7">
        <v>7.0166666666666666</v>
      </c>
    </row>
    <row r="101" spans="1:18" ht="15.6" x14ac:dyDescent="0.3">
      <c r="A101">
        <v>92</v>
      </c>
      <c r="B101" s="72">
        <v>46038</v>
      </c>
      <c r="C101" s="69" t="str">
        <v>SPU</v>
      </c>
      <c r="D101" s="68">
        <v>24</v>
      </c>
      <c r="E101" s="66">
        <v>46038.291666666664</v>
      </c>
      <c r="F101" s="49">
        <v>46038.791666666664</v>
      </c>
      <c r="G101" s="49">
        <v>7.2916666666666671E-2</v>
      </c>
      <c r="H101" s="4">
        <v>0.10416666666666667</v>
      </c>
      <c r="I101" s="4">
        <v>0</v>
      </c>
      <c r="J101" s="4">
        <v>0</v>
      </c>
      <c r="K101" s="5">
        <v>7.75</v>
      </c>
      <c r="L101" s="5">
        <v>12</v>
      </c>
      <c r="M101" s="5">
        <v>186</v>
      </c>
      <c r="N101" s="5">
        <v>288</v>
      </c>
      <c r="O101" s="6">
        <v>342</v>
      </c>
      <c r="P101" s="7">
        <v>0.54385964912280704</v>
      </c>
      <c r="Q101" s="7">
        <v>0.84210526315789469</v>
      </c>
      <c r="R101" s="7">
        <v>1.1875</v>
      </c>
    </row>
    <row r="102" spans="1:18" ht="15.6" x14ac:dyDescent="0.3">
      <c r="A102">
        <v>93</v>
      </c>
      <c r="B102" s="72">
        <v>46038</v>
      </c>
      <c r="C102" s="69" t="str">
        <v>HT</v>
      </c>
      <c r="D102" s="68">
        <v>23</v>
      </c>
      <c r="E102" s="66">
        <v>46038.291666666664</v>
      </c>
      <c r="F102" s="49">
        <v>46038.875</v>
      </c>
      <c r="G102" s="49">
        <v>7.2916666666666671E-2</v>
      </c>
      <c r="H102" s="4">
        <v>0.14583333333333334</v>
      </c>
      <c r="I102" s="4">
        <v>0</v>
      </c>
      <c r="J102" s="4">
        <v>0</v>
      </c>
      <c r="K102" s="5">
        <v>8.75</v>
      </c>
      <c r="L102" s="5">
        <v>14</v>
      </c>
      <c r="M102" s="5">
        <v>201.25</v>
      </c>
      <c r="N102" s="5">
        <v>322</v>
      </c>
      <c r="O102" s="6">
        <v>297</v>
      </c>
      <c r="P102" s="7">
        <v>0.67760942760942766</v>
      </c>
      <c r="Q102" s="7">
        <v>1.0841750841750841</v>
      </c>
      <c r="R102" s="7">
        <v>0.92236024844720499</v>
      </c>
    </row>
    <row r="103" spans="1:18" ht="15.6" x14ac:dyDescent="0.3">
      <c r="A103">
        <v>94</v>
      </c>
      <c r="B103" s="72">
        <v>46039</v>
      </c>
      <c r="C103" s="69" t="str">
        <v>TLR</v>
      </c>
      <c r="D103" s="68">
        <v>19</v>
      </c>
      <c r="E103" s="66">
        <v>46039.291666666664</v>
      </c>
      <c r="F103" s="49">
        <v>46039.791666666664</v>
      </c>
      <c r="G103" s="49">
        <v>7.2916666666666671E-2</v>
      </c>
      <c r="H103" s="4">
        <v>0</v>
      </c>
      <c r="I103" s="4">
        <v>0</v>
      </c>
      <c r="J103" s="4">
        <v>0</v>
      </c>
      <c r="K103" s="5">
        <v>10.25</v>
      </c>
      <c r="L103" s="5">
        <v>12</v>
      </c>
      <c r="M103" s="5">
        <v>194.75</v>
      </c>
      <c r="N103" s="5">
        <v>228</v>
      </c>
      <c r="O103" s="6">
        <v>355</v>
      </c>
      <c r="P103" s="7">
        <v>0.54859154929577469</v>
      </c>
      <c r="Q103" s="7">
        <v>0.6422535211267606</v>
      </c>
      <c r="R103" s="7">
        <v>1.557017543859649</v>
      </c>
    </row>
    <row r="104" spans="1:18" ht="15.6" x14ac:dyDescent="0.3">
      <c r="A104">
        <v>95</v>
      </c>
      <c r="B104" s="72">
        <v>46039</v>
      </c>
      <c r="C104" s="69" t="str">
        <v>PU thân</v>
      </c>
      <c r="D104" s="68">
        <v>5</v>
      </c>
      <c r="E104" s="66">
        <v>46039.291666666664</v>
      </c>
      <c r="F104" s="49">
        <v>46039.791666666664</v>
      </c>
      <c r="G104" s="49">
        <v>7.2916666666666671E-2</v>
      </c>
      <c r="H104" s="4">
        <v>0</v>
      </c>
      <c r="I104" s="4">
        <v>0</v>
      </c>
      <c r="J104" s="4">
        <v>0</v>
      </c>
      <c r="K104" s="5">
        <v>10.25</v>
      </c>
      <c r="L104" s="5">
        <v>12</v>
      </c>
      <c r="M104" s="5">
        <v>51.25</v>
      </c>
      <c r="N104" s="5">
        <v>60</v>
      </c>
      <c r="O104" s="6">
        <v>414</v>
      </c>
      <c r="P104" s="7">
        <v>0.12379227053140096</v>
      </c>
      <c r="Q104" s="7">
        <v>0.14492753623188406</v>
      </c>
      <c r="R104" s="7">
        <v>6.8999999999999995</v>
      </c>
    </row>
    <row r="105" spans="1:18" ht="15.6" x14ac:dyDescent="0.3">
      <c r="A105">
        <v>96</v>
      </c>
      <c r="B105" s="71">
        <v>46039</v>
      </c>
      <c r="C105" s="69" t="str">
        <v>SPU</v>
      </c>
      <c r="D105" s="68">
        <v>23</v>
      </c>
      <c r="E105" s="66">
        <v>46039.291666666664</v>
      </c>
      <c r="F105" s="49">
        <v>46039.791666666664</v>
      </c>
      <c r="G105" s="49">
        <v>7.2916666666666671E-2</v>
      </c>
      <c r="H105" s="4">
        <v>3.125E-2</v>
      </c>
      <c r="I105" s="4">
        <v>0</v>
      </c>
      <c r="J105" s="4">
        <v>0</v>
      </c>
      <c r="K105" s="5">
        <v>9.5</v>
      </c>
      <c r="L105" s="5">
        <v>12</v>
      </c>
      <c r="M105" s="5">
        <v>218.5</v>
      </c>
      <c r="N105" s="5">
        <v>276</v>
      </c>
      <c r="O105" s="6">
        <v>394</v>
      </c>
      <c r="P105" s="7">
        <v>0.55456852791878175</v>
      </c>
      <c r="Q105" s="7">
        <v>0.70050761421319796</v>
      </c>
      <c r="R105" s="7">
        <v>1.4275362318840581</v>
      </c>
    </row>
    <row r="106" spans="1:18" ht="15.6" x14ac:dyDescent="0.3">
      <c r="A106">
        <v>97</v>
      </c>
      <c r="B106" s="71">
        <v>46039</v>
      </c>
      <c r="C106" s="69" t="str">
        <v>HT</v>
      </c>
      <c r="D106" s="68">
        <v>20</v>
      </c>
      <c r="E106" s="66">
        <v>46039.291666666664</v>
      </c>
      <c r="F106" s="49">
        <v>46039.875</v>
      </c>
      <c r="G106" s="49">
        <v>7.2916666666666671E-2</v>
      </c>
      <c r="H106" s="4">
        <v>0.19791666666666666</v>
      </c>
      <c r="I106" s="4">
        <v>0</v>
      </c>
      <c r="J106" s="4">
        <v>0</v>
      </c>
      <c r="K106" s="5">
        <v>7.5</v>
      </c>
      <c r="L106" s="5">
        <v>14</v>
      </c>
      <c r="M106" s="5">
        <v>150</v>
      </c>
      <c r="N106" s="5">
        <v>280</v>
      </c>
      <c r="O106" s="6">
        <v>331</v>
      </c>
      <c r="P106" s="7">
        <v>0.45317220543806647</v>
      </c>
      <c r="Q106" s="7">
        <v>0.84592145015105735</v>
      </c>
      <c r="R106" s="7">
        <v>1.1821428571428572</v>
      </c>
    </row>
    <row r="107" spans="1:18" ht="15.6" x14ac:dyDescent="0.3">
      <c r="A107">
        <v>98</v>
      </c>
      <c r="B107" s="71">
        <v>46040</v>
      </c>
      <c r="C107" s="69" t="str">
        <v>HT</v>
      </c>
      <c r="D107" s="68">
        <v>24</v>
      </c>
      <c r="E107" s="66">
        <v>46040.291666666664</v>
      </c>
      <c r="F107" s="49">
        <v>46040.708333333336</v>
      </c>
      <c r="G107" s="49">
        <v>6.25E-2</v>
      </c>
      <c r="H107" s="4">
        <v>0</v>
      </c>
      <c r="I107" s="4">
        <v>0</v>
      </c>
      <c r="J107" s="4">
        <v>0</v>
      </c>
      <c r="K107" s="5">
        <v>8.5</v>
      </c>
      <c r="L107" s="5">
        <v>10</v>
      </c>
      <c r="M107" s="5">
        <v>204</v>
      </c>
      <c r="N107" s="5">
        <v>240</v>
      </c>
      <c r="O107" s="6">
        <v>370</v>
      </c>
      <c r="P107" s="7">
        <v>0.55135135135135138</v>
      </c>
      <c r="Q107" s="7">
        <v>0.64864864864864868</v>
      </c>
      <c r="R107" s="7">
        <v>1.5416666666666665</v>
      </c>
    </row>
    <row r="108" spans="1:18" ht="15.6" x14ac:dyDescent="0.3">
      <c r="A108">
        <v>99</v>
      </c>
      <c r="B108" s="71">
        <v>46041</v>
      </c>
      <c r="C108" s="69" t="str">
        <v>TLR</v>
      </c>
      <c r="D108" s="68">
        <v>16</v>
      </c>
      <c r="E108" s="66">
        <v>46041.291666666664</v>
      </c>
      <c r="F108" s="49">
        <v>46041.791666666664</v>
      </c>
      <c r="G108" s="49">
        <v>7.2916666666666671E-2</v>
      </c>
      <c r="H108" s="4">
        <v>0</v>
      </c>
      <c r="I108" s="4">
        <v>0</v>
      </c>
      <c r="J108" s="4">
        <v>0</v>
      </c>
      <c r="K108" s="5">
        <v>10.25</v>
      </c>
      <c r="L108" s="5">
        <v>12</v>
      </c>
      <c r="M108" s="5">
        <v>164</v>
      </c>
      <c r="N108" s="5">
        <v>192</v>
      </c>
      <c r="O108" s="6">
        <v>387</v>
      </c>
      <c r="P108" s="7">
        <v>0.42377260981912146</v>
      </c>
      <c r="Q108" s="7">
        <v>0.49612403100775193</v>
      </c>
      <c r="R108" s="7">
        <v>2.015625</v>
      </c>
    </row>
    <row r="109" spans="1:18" ht="15.6" x14ac:dyDescent="0.3">
      <c r="A109">
        <v>100</v>
      </c>
      <c r="B109" s="72">
        <v>46041</v>
      </c>
      <c r="C109" s="69" t="str">
        <v>PU thân</v>
      </c>
      <c r="D109" s="68">
        <v>5</v>
      </c>
      <c r="E109" s="66">
        <v>46041.291666666664</v>
      </c>
      <c r="F109" s="49">
        <v>46041.791666666664</v>
      </c>
      <c r="G109" s="49">
        <v>7.2916666666666671E-2</v>
      </c>
      <c r="H109" s="4">
        <v>0</v>
      </c>
      <c r="I109" s="4">
        <v>0</v>
      </c>
      <c r="J109" s="4">
        <v>0</v>
      </c>
      <c r="K109" s="5">
        <v>10.25</v>
      </c>
      <c r="L109" s="5">
        <v>12</v>
      </c>
      <c r="M109" s="5">
        <v>51.25</v>
      </c>
      <c r="N109" s="5">
        <v>60</v>
      </c>
      <c r="O109" s="6">
        <v>357</v>
      </c>
      <c r="P109" s="7">
        <v>0.14355742296918766</v>
      </c>
      <c r="Q109" s="7">
        <v>0.16806722689075632</v>
      </c>
      <c r="R109" s="7">
        <v>5.9499999999999993</v>
      </c>
    </row>
    <row r="110" spans="1:18" ht="15.6" x14ac:dyDescent="0.3">
      <c r="A110">
        <v>101</v>
      </c>
      <c r="B110" s="72">
        <v>46041</v>
      </c>
      <c r="C110" s="69" t="str">
        <v>SPU</v>
      </c>
      <c r="D110" s="68">
        <v>24</v>
      </c>
      <c r="E110" s="66">
        <v>46041.291666666664</v>
      </c>
      <c r="F110" s="49">
        <v>46041.791666666664</v>
      </c>
      <c r="G110" s="49">
        <v>7.2916666666666671E-2</v>
      </c>
      <c r="H110" s="4">
        <v>7.1527777777777773E-2</v>
      </c>
      <c r="I110" s="4">
        <v>0</v>
      </c>
      <c r="J110" s="4">
        <v>0</v>
      </c>
      <c r="K110" s="5">
        <v>8.5333333333333332</v>
      </c>
      <c r="L110" s="5">
        <v>12</v>
      </c>
      <c r="M110" s="5">
        <v>204.8</v>
      </c>
      <c r="N110" s="5">
        <v>288</v>
      </c>
      <c r="O110" s="6">
        <v>378</v>
      </c>
      <c r="P110" s="7">
        <v>0.54179894179894184</v>
      </c>
      <c r="Q110" s="7">
        <v>0.76190476190476186</v>
      </c>
      <c r="R110" s="7">
        <v>1.3125</v>
      </c>
    </row>
    <row r="111" spans="1:18" ht="15.6" x14ac:dyDescent="0.3">
      <c r="A111">
        <v>102</v>
      </c>
      <c r="B111" s="72">
        <v>46041</v>
      </c>
      <c r="C111" s="69" t="str">
        <v>HT</v>
      </c>
      <c r="D111" s="68">
        <v>22</v>
      </c>
      <c r="E111" s="66">
        <v>46041.291666666664</v>
      </c>
      <c r="F111" s="49">
        <v>46041.791666666664</v>
      </c>
      <c r="G111" s="49">
        <v>7.2916666666666671E-2</v>
      </c>
      <c r="H111" s="4">
        <v>0</v>
      </c>
      <c r="I111" s="4">
        <v>0</v>
      </c>
      <c r="J111" s="4">
        <v>0</v>
      </c>
      <c r="K111" s="5">
        <v>10.25</v>
      </c>
      <c r="L111" s="5">
        <v>12</v>
      </c>
      <c r="M111" s="5">
        <v>225.5</v>
      </c>
      <c r="N111" s="5">
        <v>264</v>
      </c>
      <c r="O111" s="6">
        <v>384</v>
      </c>
      <c r="P111" s="7">
        <v>0.58723958333333337</v>
      </c>
      <c r="Q111" s="7">
        <v>0.6875</v>
      </c>
      <c r="R111" s="7">
        <v>1.4545454545454546</v>
      </c>
    </row>
    <row r="112" spans="1:18" ht="15.6" x14ac:dyDescent="0.3">
      <c r="A112">
        <v>103</v>
      </c>
      <c r="B112" s="72">
        <v>46042</v>
      </c>
      <c r="C112" s="69" t="str">
        <v>TLR</v>
      </c>
      <c r="D112" s="68">
        <v>19</v>
      </c>
      <c r="E112" s="66">
        <v>46042.291666666664</v>
      </c>
      <c r="F112" s="49">
        <v>46042.791666666664</v>
      </c>
      <c r="G112" s="49">
        <v>7.2916666666666671E-2</v>
      </c>
      <c r="H112" s="4">
        <v>0</v>
      </c>
      <c r="I112" s="4">
        <v>0</v>
      </c>
      <c r="J112" s="4">
        <v>0</v>
      </c>
      <c r="K112" s="5">
        <v>10.25</v>
      </c>
      <c r="L112" s="5">
        <v>12</v>
      </c>
      <c r="M112" s="5">
        <v>194.75</v>
      </c>
      <c r="N112" s="5">
        <v>228</v>
      </c>
      <c r="O112" s="6">
        <v>490</v>
      </c>
      <c r="P112" s="7">
        <v>0.39744897959183673</v>
      </c>
      <c r="Q112" s="7">
        <v>0.46530612244897956</v>
      </c>
      <c r="R112" s="7">
        <v>2.1491228070175441</v>
      </c>
    </row>
    <row r="113" spans="1:18" ht="15.6" x14ac:dyDescent="0.3">
      <c r="A113">
        <v>104</v>
      </c>
      <c r="B113" s="71">
        <v>46042</v>
      </c>
      <c r="C113" s="69" t="str">
        <v>PU thân</v>
      </c>
      <c r="D113" s="68">
        <v>5</v>
      </c>
      <c r="E113" s="66">
        <v>46042.291666666664</v>
      </c>
      <c r="F113" s="49">
        <v>46042.791666666664</v>
      </c>
      <c r="G113" s="49">
        <v>7.2916666666666671E-2</v>
      </c>
      <c r="H113" s="4">
        <v>0</v>
      </c>
      <c r="I113" s="4">
        <v>0</v>
      </c>
      <c r="J113" s="4">
        <v>0</v>
      </c>
      <c r="K113" s="5">
        <v>10.25</v>
      </c>
      <c r="L113" s="5">
        <v>12</v>
      </c>
      <c r="M113" s="5">
        <v>51.25</v>
      </c>
      <c r="N113" s="5">
        <v>60</v>
      </c>
      <c r="O113" s="6">
        <v>428</v>
      </c>
      <c r="P113" s="7">
        <v>0.11974299065420561</v>
      </c>
      <c r="Q113" s="7">
        <v>0.14018691588785046</v>
      </c>
      <c r="R113" s="7">
        <v>7.1333333333333337</v>
      </c>
    </row>
    <row r="114" spans="1:18" ht="15.6" x14ac:dyDescent="0.3">
      <c r="A114">
        <v>105</v>
      </c>
      <c r="B114" s="71">
        <v>46042</v>
      </c>
      <c r="C114" s="69" t="str">
        <v>SPU</v>
      </c>
      <c r="D114" s="68">
        <v>23</v>
      </c>
      <c r="E114" s="66">
        <v>46042.291666666664</v>
      </c>
      <c r="F114" s="49">
        <v>46042.791666666664</v>
      </c>
      <c r="G114" s="49">
        <v>7.2916666666666671E-2</v>
      </c>
      <c r="H114" s="4">
        <v>2.7777777777777776E-2</v>
      </c>
      <c r="I114" s="4">
        <v>0</v>
      </c>
      <c r="J114" s="4">
        <v>0</v>
      </c>
      <c r="K114" s="5">
        <v>9.5833333333333339</v>
      </c>
      <c r="L114" s="5">
        <v>12</v>
      </c>
      <c r="M114" s="5">
        <v>220.41666666666669</v>
      </c>
      <c r="N114" s="5">
        <v>276</v>
      </c>
      <c r="O114" s="6">
        <v>420</v>
      </c>
      <c r="P114" s="7">
        <v>0.52480158730158732</v>
      </c>
      <c r="Q114" s="7">
        <v>0.65714285714285714</v>
      </c>
      <c r="R114" s="7">
        <v>1.5217391304347827</v>
      </c>
    </row>
    <row r="115" spans="1:18" ht="15.6" x14ac:dyDescent="0.3">
      <c r="A115">
        <v>106</v>
      </c>
      <c r="B115" s="71">
        <v>46042</v>
      </c>
      <c r="C115" s="69" t="str">
        <v>HT</v>
      </c>
      <c r="D115" s="68">
        <v>24</v>
      </c>
      <c r="E115" s="66">
        <v>46042.291666666664</v>
      </c>
      <c r="F115" s="49">
        <v>46042.875</v>
      </c>
      <c r="G115" s="49">
        <v>7.2916666666666671E-2</v>
      </c>
      <c r="H115" s="4">
        <v>0</v>
      </c>
      <c r="I115" s="4">
        <v>0</v>
      </c>
      <c r="J115" s="4">
        <v>0</v>
      </c>
      <c r="K115" s="5">
        <v>12.25</v>
      </c>
      <c r="L115" s="5">
        <v>14</v>
      </c>
      <c r="M115" s="5">
        <v>294</v>
      </c>
      <c r="N115" s="5">
        <v>336</v>
      </c>
      <c r="O115" s="6">
        <v>446</v>
      </c>
      <c r="P115" s="7">
        <v>0.65919282511210764</v>
      </c>
      <c r="Q115" s="7">
        <v>0.75336322869955152</v>
      </c>
      <c r="R115" s="7">
        <v>1.3273809523809526</v>
      </c>
    </row>
    <row r="116" spans="1:18" ht="15.6" x14ac:dyDescent="0.3">
      <c r="A116">
        <v>107</v>
      </c>
      <c r="B116" s="71">
        <v>46043</v>
      </c>
      <c r="C116" s="69" t="str">
        <v>TLR</v>
      </c>
      <c r="D116" s="68">
        <v>19</v>
      </c>
      <c r="E116" s="66">
        <v>46043.291666666664</v>
      </c>
      <c r="F116" s="49">
        <v>46043.791666666664</v>
      </c>
      <c r="G116" s="49">
        <v>7.2916666666666671E-2</v>
      </c>
      <c r="H116" s="4">
        <v>0</v>
      </c>
      <c r="I116" s="4">
        <v>0</v>
      </c>
      <c r="J116" s="4">
        <v>0</v>
      </c>
      <c r="K116" s="5">
        <v>10.25</v>
      </c>
      <c r="L116" s="5">
        <v>12</v>
      </c>
      <c r="M116" s="5">
        <v>194.75</v>
      </c>
      <c r="N116" s="5">
        <v>228</v>
      </c>
      <c r="O116" s="6">
        <v>433</v>
      </c>
      <c r="P116" s="7">
        <v>0.44976905311778292</v>
      </c>
      <c r="Q116" s="7">
        <v>0.52655889145496537</v>
      </c>
      <c r="R116" s="7">
        <v>1.8991228070175439</v>
      </c>
    </row>
    <row r="117" spans="1:18" ht="15.6" x14ac:dyDescent="0.3">
      <c r="A117">
        <v>108</v>
      </c>
      <c r="B117" s="72">
        <v>46043</v>
      </c>
      <c r="C117" s="69" t="str">
        <v>PU thân</v>
      </c>
      <c r="D117" s="68">
        <v>5</v>
      </c>
      <c r="E117" s="66">
        <v>46043.291666666664</v>
      </c>
      <c r="F117" s="49">
        <v>46043.791666666664</v>
      </c>
      <c r="G117" s="49">
        <v>7.2916666666666671E-2</v>
      </c>
      <c r="H117" s="4">
        <v>0</v>
      </c>
      <c r="I117" s="4">
        <v>0</v>
      </c>
      <c r="J117" s="4">
        <v>0</v>
      </c>
      <c r="K117" s="5">
        <v>10.25</v>
      </c>
      <c r="L117" s="5">
        <v>12</v>
      </c>
      <c r="M117" s="5">
        <v>51.25</v>
      </c>
      <c r="N117" s="5">
        <v>60</v>
      </c>
      <c r="O117" s="6">
        <v>440</v>
      </c>
      <c r="P117" s="7">
        <v>0.11647727272727272</v>
      </c>
      <c r="Q117" s="7">
        <v>0.13636363636363635</v>
      </c>
      <c r="R117" s="7">
        <v>7.3333333333333339</v>
      </c>
    </row>
    <row r="118" spans="1:18" ht="15.6" x14ac:dyDescent="0.3">
      <c r="A118">
        <v>109</v>
      </c>
      <c r="B118" s="72">
        <v>46043</v>
      </c>
      <c r="C118" s="69" t="str">
        <v>SPU</v>
      </c>
      <c r="D118" s="68">
        <v>25</v>
      </c>
      <c r="E118" s="66">
        <v>46043.291666666664</v>
      </c>
      <c r="F118" s="49">
        <v>46043.791666666664</v>
      </c>
      <c r="G118" s="49">
        <v>7.2916666666666671E-2</v>
      </c>
      <c r="H118" s="4">
        <v>0.12569444444444444</v>
      </c>
      <c r="I118" s="4">
        <v>0</v>
      </c>
      <c r="J118" s="4">
        <v>0</v>
      </c>
      <c r="K118" s="5">
        <v>7.2333333333333334</v>
      </c>
      <c r="L118" s="5">
        <v>12</v>
      </c>
      <c r="M118" s="5">
        <v>180.83333333333334</v>
      </c>
      <c r="N118" s="5">
        <v>300</v>
      </c>
      <c r="O118" s="6">
        <v>450</v>
      </c>
      <c r="P118" s="7">
        <v>0.40185185185185185</v>
      </c>
      <c r="Q118" s="7">
        <v>0.66666666666666663</v>
      </c>
      <c r="R118" s="7">
        <v>1.5</v>
      </c>
    </row>
    <row r="119" spans="1:18" ht="15.6" x14ac:dyDescent="0.3">
      <c r="A119">
        <v>110</v>
      </c>
      <c r="B119" s="72">
        <v>46043</v>
      </c>
      <c r="C119" s="69" t="str">
        <v>HT</v>
      </c>
      <c r="D119" s="68">
        <v>24</v>
      </c>
      <c r="E119" s="66">
        <v>46043.291666666664</v>
      </c>
      <c r="F119" s="49">
        <v>46043.791666666664</v>
      </c>
      <c r="G119" s="49">
        <v>7.2916666666666671E-2</v>
      </c>
      <c r="H119" s="4">
        <v>0</v>
      </c>
      <c r="I119" s="4">
        <v>0</v>
      </c>
      <c r="J119" s="4">
        <v>0</v>
      </c>
      <c r="K119" s="5">
        <v>10.25</v>
      </c>
      <c r="L119" s="5">
        <v>12</v>
      </c>
      <c r="M119" s="5">
        <v>246</v>
      </c>
      <c r="N119" s="5">
        <v>288</v>
      </c>
      <c r="O119" s="6">
        <v>500</v>
      </c>
      <c r="P119" s="7">
        <v>0.49199999999999999</v>
      </c>
      <c r="Q119" s="7">
        <v>0.57599999999999996</v>
      </c>
      <c r="R119" s="7">
        <v>1.7361111111111112</v>
      </c>
    </row>
    <row r="120" spans="1:18" ht="15.6" x14ac:dyDescent="0.3">
      <c r="A120">
        <v>111</v>
      </c>
      <c r="B120" s="72">
        <v>46044</v>
      </c>
      <c r="C120" s="69" t="str">
        <v>TLR</v>
      </c>
      <c r="D120" s="68">
        <v>16</v>
      </c>
      <c r="E120" s="66">
        <v>46044.291666666664</v>
      </c>
      <c r="F120" s="49">
        <v>46044.791666666664</v>
      </c>
      <c r="G120" s="49">
        <v>7.2916666666666671E-2</v>
      </c>
      <c r="H120" s="4">
        <v>0</v>
      </c>
      <c r="I120" s="4">
        <v>0</v>
      </c>
      <c r="J120" s="4">
        <v>0</v>
      </c>
      <c r="K120" s="5">
        <v>10.25</v>
      </c>
      <c r="L120" s="5">
        <v>12</v>
      </c>
      <c r="M120" s="5">
        <v>164</v>
      </c>
      <c r="N120" s="5">
        <v>192</v>
      </c>
      <c r="O120" s="6">
        <v>381</v>
      </c>
      <c r="P120" s="7">
        <v>0.43044619422572178</v>
      </c>
      <c r="Q120" s="7">
        <v>0.50393700787401574</v>
      </c>
      <c r="R120" s="7">
        <v>1.984375</v>
      </c>
    </row>
    <row r="121" spans="1:18" ht="15.6" x14ac:dyDescent="0.3">
      <c r="A121">
        <v>112</v>
      </c>
      <c r="B121" s="71">
        <v>46044</v>
      </c>
      <c r="C121" s="69" t="str">
        <v>PU thân</v>
      </c>
      <c r="D121" s="68">
        <v>5</v>
      </c>
      <c r="E121" s="66">
        <v>46044.291666666664</v>
      </c>
      <c r="F121" s="49">
        <v>46044.791666666664</v>
      </c>
      <c r="G121" s="49">
        <v>7.2916666666666671E-2</v>
      </c>
      <c r="H121" s="4">
        <v>0</v>
      </c>
      <c r="I121" s="4">
        <v>0</v>
      </c>
      <c r="J121" s="4">
        <v>0</v>
      </c>
      <c r="K121" s="5">
        <v>10.25</v>
      </c>
      <c r="L121" s="5">
        <v>12</v>
      </c>
      <c r="M121" s="5">
        <v>51.25</v>
      </c>
      <c r="N121" s="5">
        <v>60</v>
      </c>
      <c r="O121" s="6">
        <v>440</v>
      </c>
      <c r="P121" s="7">
        <v>0.11647727272727272</v>
      </c>
      <c r="Q121" s="7">
        <v>0.13636363636363635</v>
      </c>
      <c r="R121" s="7">
        <v>7.3333333333333339</v>
      </c>
    </row>
    <row r="122" spans="1:18" ht="15.6" x14ac:dyDescent="0.3">
      <c r="A122">
        <v>113</v>
      </c>
      <c r="B122" s="71">
        <v>46044</v>
      </c>
      <c r="C122" s="69" t="str">
        <v>SPU</v>
      </c>
      <c r="D122" s="68">
        <v>25</v>
      </c>
      <c r="E122" s="66">
        <v>46044.291666666664</v>
      </c>
      <c r="F122" s="49">
        <v>46044.791666666664</v>
      </c>
      <c r="G122" s="49">
        <v>7.2916666666666671E-2</v>
      </c>
      <c r="H122" s="4">
        <v>6.5277777777777782E-2</v>
      </c>
      <c r="I122" s="4">
        <v>0</v>
      </c>
      <c r="J122" s="4">
        <v>0</v>
      </c>
      <c r="K122" s="5">
        <v>8.6833333333333336</v>
      </c>
      <c r="L122" s="5">
        <v>12</v>
      </c>
      <c r="M122" s="5">
        <v>217.08333333333334</v>
      </c>
      <c r="N122" s="5">
        <v>300</v>
      </c>
      <c r="O122" s="6">
        <v>375</v>
      </c>
      <c r="P122" s="7">
        <v>0.5788888888888889</v>
      </c>
      <c r="Q122" s="7">
        <v>0.8</v>
      </c>
      <c r="R122" s="7">
        <v>1.25</v>
      </c>
    </row>
    <row r="123" spans="1:18" ht="15.6" x14ac:dyDescent="0.3">
      <c r="A123">
        <v>114</v>
      </c>
      <c r="B123" s="71">
        <v>46044</v>
      </c>
      <c r="C123" s="69" t="str">
        <v>HT</v>
      </c>
      <c r="D123" s="68">
        <v>23</v>
      </c>
      <c r="E123" s="66">
        <v>46044.291666666664</v>
      </c>
      <c r="F123" s="49">
        <v>46044.791666666664</v>
      </c>
      <c r="G123" s="49">
        <v>7.2916666666666671E-2</v>
      </c>
      <c r="H123" s="4">
        <v>0</v>
      </c>
      <c r="I123" s="4">
        <v>0</v>
      </c>
      <c r="J123" s="4">
        <v>0</v>
      </c>
      <c r="K123" s="5">
        <v>10.25</v>
      </c>
      <c r="L123" s="5">
        <v>12</v>
      </c>
      <c r="M123" s="5">
        <v>235.75</v>
      </c>
      <c r="N123" s="5">
        <v>276</v>
      </c>
      <c r="O123" s="6">
        <v>374</v>
      </c>
      <c r="P123" s="7">
        <v>0.63034759358288772</v>
      </c>
      <c r="Q123" s="7">
        <v>0.73796791443850263</v>
      </c>
      <c r="R123" s="7">
        <v>1.355072463768116</v>
      </c>
    </row>
    <row r="124" spans="1:18" ht="15.6" x14ac:dyDescent="0.3">
      <c r="A124">
        <v>115</v>
      </c>
      <c r="B124" s="71">
        <v>46045</v>
      </c>
      <c r="C124" s="69" t="str">
        <v>TLR</v>
      </c>
      <c r="D124" s="68">
        <v>17</v>
      </c>
      <c r="E124" s="66">
        <v>46045.291666666664</v>
      </c>
      <c r="F124" s="49">
        <v>46045.791666666664</v>
      </c>
      <c r="G124" s="49">
        <v>7.2916666666666671E-2</v>
      </c>
      <c r="H124" s="4">
        <v>0</v>
      </c>
      <c r="I124" s="4">
        <v>0</v>
      </c>
      <c r="J124" s="4">
        <v>0</v>
      </c>
      <c r="K124" s="5">
        <v>10.25</v>
      </c>
      <c r="L124" s="5">
        <v>12</v>
      </c>
      <c r="M124" s="5">
        <v>174.25</v>
      </c>
      <c r="N124" s="5">
        <v>204</v>
      </c>
      <c r="O124" s="6">
        <v>399</v>
      </c>
      <c r="P124" s="7">
        <v>0.43671679197994989</v>
      </c>
      <c r="Q124" s="7">
        <v>0.51127819548872178</v>
      </c>
      <c r="R124" s="7">
        <v>1.9558823529411766</v>
      </c>
    </row>
    <row r="125" spans="1:18" ht="15.6" x14ac:dyDescent="0.3">
      <c r="A125">
        <v>116</v>
      </c>
      <c r="B125" s="72">
        <v>46045</v>
      </c>
      <c r="C125" s="69" t="str">
        <v>PU thân</v>
      </c>
      <c r="D125" s="68">
        <v>5</v>
      </c>
      <c r="E125" s="66">
        <v>46045.291666666664</v>
      </c>
      <c r="F125" s="49">
        <v>46045.791666666664</v>
      </c>
      <c r="G125" s="49">
        <v>7.2916666666666671E-2</v>
      </c>
      <c r="H125" s="4">
        <v>0</v>
      </c>
      <c r="I125" s="4">
        <v>0</v>
      </c>
      <c r="J125" s="4">
        <v>0</v>
      </c>
      <c r="K125" s="5">
        <v>10.25</v>
      </c>
      <c r="L125" s="5">
        <v>12</v>
      </c>
      <c r="M125" s="5">
        <v>51.25</v>
      </c>
      <c r="N125" s="5">
        <v>60</v>
      </c>
      <c r="O125" s="6">
        <v>412</v>
      </c>
      <c r="P125" s="7">
        <v>0.12439320388349515</v>
      </c>
      <c r="Q125" s="7">
        <v>0.14563106796116504</v>
      </c>
      <c r="R125" s="7">
        <v>6.8666666666666671</v>
      </c>
    </row>
    <row r="126" spans="1:18" ht="15.6" x14ac:dyDescent="0.3">
      <c r="A126">
        <v>117</v>
      </c>
      <c r="B126" s="72">
        <v>46045</v>
      </c>
      <c r="C126" s="69" t="str">
        <v>SPU</v>
      </c>
      <c r="D126" s="68">
        <v>24</v>
      </c>
      <c r="E126" s="66">
        <v>46045.291666666664</v>
      </c>
      <c r="F126" s="49">
        <v>46045.791666666664</v>
      </c>
      <c r="G126" s="49">
        <v>7.2916666666666671E-2</v>
      </c>
      <c r="H126" s="4">
        <v>9.4444444444444442E-2</v>
      </c>
      <c r="I126" s="4">
        <v>0</v>
      </c>
      <c r="J126" s="4">
        <v>0</v>
      </c>
      <c r="K126" s="5">
        <v>7.9833333333333334</v>
      </c>
      <c r="L126" s="5">
        <v>12</v>
      </c>
      <c r="M126" s="5">
        <v>191.6</v>
      </c>
      <c r="N126" s="5">
        <v>288</v>
      </c>
      <c r="O126" s="6">
        <v>400</v>
      </c>
      <c r="P126" s="7">
        <v>0.47899999999999998</v>
      </c>
      <c r="Q126" s="7">
        <v>0.72</v>
      </c>
      <c r="R126" s="7">
        <v>1.3888888888888888</v>
      </c>
    </row>
    <row r="127" spans="1:18" ht="15.6" x14ac:dyDescent="0.3">
      <c r="A127">
        <v>118</v>
      </c>
      <c r="B127" s="72">
        <v>46045</v>
      </c>
      <c r="C127" s="69" t="str">
        <v>HT</v>
      </c>
      <c r="D127" s="68">
        <v>19</v>
      </c>
      <c r="E127" s="66">
        <v>46045.291666666664</v>
      </c>
      <c r="F127" s="49">
        <v>46045.791666666664</v>
      </c>
      <c r="G127" s="49">
        <v>7.2916666666666671E-2</v>
      </c>
      <c r="H127" s="4">
        <v>0</v>
      </c>
      <c r="I127" s="4">
        <v>0</v>
      </c>
      <c r="J127" s="4">
        <v>0</v>
      </c>
      <c r="K127" s="5">
        <v>10.25</v>
      </c>
      <c r="L127" s="5">
        <v>12</v>
      </c>
      <c r="M127" s="5">
        <v>194.75</v>
      </c>
      <c r="N127" s="5">
        <v>228</v>
      </c>
      <c r="O127" s="6">
        <v>398</v>
      </c>
      <c r="P127" s="7">
        <v>0.48932160804020103</v>
      </c>
      <c r="Q127" s="7">
        <v>0.57286432160804024</v>
      </c>
      <c r="R127" s="7">
        <v>1.7456140350877192</v>
      </c>
    </row>
    <row r="128" spans="1:18" ht="15.6" x14ac:dyDescent="0.3">
      <c r="A128">
        <v>119</v>
      </c>
      <c r="B128" s="72">
        <v>46046</v>
      </c>
      <c r="C128" s="69" t="str">
        <v>TLR</v>
      </c>
      <c r="D128" s="68">
        <v>20</v>
      </c>
      <c r="E128" s="66">
        <v>46046.291666666664</v>
      </c>
      <c r="F128" s="49">
        <v>46046.791666666664</v>
      </c>
      <c r="G128" s="49">
        <v>7.2916666666666671E-2</v>
      </c>
      <c r="H128" s="4">
        <v>0</v>
      </c>
      <c r="I128" s="4">
        <v>0</v>
      </c>
      <c r="J128" s="4">
        <v>0</v>
      </c>
      <c r="K128" s="5">
        <v>10.25</v>
      </c>
      <c r="L128" s="5">
        <v>12</v>
      </c>
      <c r="M128" s="5">
        <v>205</v>
      </c>
      <c r="N128" s="5">
        <v>240</v>
      </c>
      <c r="O128" s="6">
        <v>424</v>
      </c>
      <c r="P128" s="7">
        <v>0.48349056603773582</v>
      </c>
      <c r="Q128" s="7">
        <v>0.56603773584905659</v>
      </c>
      <c r="R128" s="7">
        <v>1.7666666666666666</v>
      </c>
    </row>
    <row r="129" spans="1:18" ht="15.6" x14ac:dyDescent="0.3">
      <c r="A129">
        <v>120</v>
      </c>
      <c r="B129" s="71">
        <v>46046</v>
      </c>
      <c r="C129" s="69" t="str">
        <v>PU thân</v>
      </c>
      <c r="D129" s="68">
        <v>5</v>
      </c>
      <c r="E129" s="66">
        <v>46046.291666666664</v>
      </c>
      <c r="F129" s="49">
        <v>46046.791666666664</v>
      </c>
      <c r="G129" s="49">
        <v>7.2916666666666671E-2</v>
      </c>
      <c r="H129" s="4">
        <v>0</v>
      </c>
      <c r="I129" s="4">
        <v>0</v>
      </c>
      <c r="J129" s="4">
        <v>0</v>
      </c>
      <c r="K129" s="5">
        <v>10.25</v>
      </c>
      <c r="L129" s="5">
        <v>12</v>
      </c>
      <c r="M129" s="5">
        <v>51.25</v>
      </c>
      <c r="N129" s="5">
        <v>60</v>
      </c>
      <c r="O129" s="6">
        <v>417</v>
      </c>
      <c r="P129" s="7">
        <v>0.12290167865707434</v>
      </c>
      <c r="Q129" s="7">
        <v>0.14388489208633093</v>
      </c>
      <c r="R129" s="7">
        <v>6.95</v>
      </c>
    </row>
    <row r="130" spans="1:18" ht="15.6" x14ac:dyDescent="0.3">
      <c r="A130">
        <v>121</v>
      </c>
      <c r="B130" s="71">
        <v>46046</v>
      </c>
      <c r="C130" s="69" t="str">
        <v>SPU</v>
      </c>
      <c r="D130" s="68">
        <v>23</v>
      </c>
      <c r="E130" s="66">
        <v>46046.291666666664</v>
      </c>
      <c r="F130" s="49">
        <v>46046.791666666664</v>
      </c>
      <c r="G130" s="49">
        <v>7.2916666666666671E-2</v>
      </c>
      <c r="H130" s="4">
        <v>2.361111111111111E-2</v>
      </c>
      <c r="I130" s="4">
        <v>0</v>
      </c>
      <c r="J130" s="4">
        <v>0</v>
      </c>
      <c r="K130" s="5">
        <v>9.6833333333333336</v>
      </c>
      <c r="L130" s="5">
        <v>12</v>
      </c>
      <c r="M130" s="5">
        <v>222.71666666666667</v>
      </c>
      <c r="N130" s="5">
        <v>276</v>
      </c>
      <c r="O130" s="6">
        <v>406</v>
      </c>
      <c r="P130" s="7">
        <v>0.54856321839080457</v>
      </c>
      <c r="Q130" s="7">
        <v>0.67980295566502458</v>
      </c>
      <c r="R130" s="7">
        <v>1.4710144927536233</v>
      </c>
    </row>
    <row r="131" spans="1:18" ht="15.6" x14ac:dyDescent="0.3">
      <c r="A131">
        <v>122</v>
      </c>
      <c r="B131" s="71">
        <v>46046</v>
      </c>
      <c r="C131" s="69" t="str">
        <v>HT</v>
      </c>
      <c r="D131" s="68">
        <v>20</v>
      </c>
      <c r="E131" s="66">
        <v>46046.291666666664</v>
      </c>
      <c r="F131" s="49">
        <v>46046.791666666664</v>
      </c>
      <c r="G131" s="49">
        <v>7.2916666666666671E-2</v>
      </c>
      <c r="H131" s="4">
        <v>0</v>
      </c>
      <c r="I131" s="4">
        <v>0</v>
      </c>
      <c r="J131" s="4">
        <v>0</v>
      </c>
      <c r="K131" s="5">
        <v>10.25</v>
      </c>
      <c r="L131" s="5">
        <v>12</v>
      </c>
      <c r="M131" s="5">
        <v>205</v>
      </c>
      <c r="N131" s="5">
        <v>240</v>
      </c>
      <c r="O131" s="6">
        <v>452</v>
      </c>
      <c r="P131" s="7">
        <v>0.45353982300884954</v>
      </c>
      <c r="Q131" s="7">
        <v>0.53097345132743368</v>
      </c>
      <c r="R131" s="7">
        <v>1.8833333333333331</v>
      </c>
    </row>
    <row r="132" spans="1:18" ht="15.6" x14ac:dyDescent="0.3">
      <c r="A132">
        <v>123</v>
      </c>
      <c r="B132" s="71">
        <v>46048</v>
      </c>
      <c r="C132" s="69" t="str">
        <v>TLR</v>
      </c>
      <c r="D132" s="68">
        <v>17</v>
      </c>
      <c r="E132" s="66">
        <v>46048.291666666664</v>
      </c>
      <c r="F132" s="49">
        <v>46048.791666666664</v>
      </c>
      <c r="G132" s="49">
        <v>7.2916666666666671E-2</v>
      </c>
      <c r="H132" s="4">
        <v>0</v>
      </c>
      <c r="I132" s="4">
        <v>0</v>
      </c>
      <c r="J132" s="4">
        <v>0</v>
      </c>
      <c r="K132" s="5">
        <v>10.25</v>
      </c>
      <c r="L132" s="5">
        <v>12</v>
      </c>
      <c r="M132" s="5">
        <v>174.25</v>
      </c>
      <c r="N132" s="5">
        <v>204</v>
      </c>
      <c r="O132" s="6">
        <v>406</v>
      </c>
      <c r="P132" s="7">
        <v>0.42918719211822659</v>
      </c>
      <c r="Q132" s="7">
        <v>0.50246305418719217</v>
      </c>
      <c r="R132" s="7">
        <v>1.9901960784313724</v>
      </c>
    </row>
    <row r="133" spans="1:18" ht="15.6" x14ac:dyDescent="0.3">
      <c r="A133">
        <v>124</v>
      </c>
      <c r="B133" s="72">
        <v>46048</v>
      </c>
      <c r="C133" s="69" t="str">
        <v>PU thân</v>
      </c>
      <c r="D133" s="68">
        <v>5</v>
      </c>
      <c r="E133" s="66">
        <v>46048.291666666664</v>
      </c>
      <c r="F133" s="49">
        <v>46048.791666666664</v>
      </c>
      <c r="G133" s="49">
        <v>7.2916666666666671E-2</v>
      </c>
      <c r="H133" s="4">
        <v>0.1111111111111111</v>
      </c>
      <c r="I133" s="4">
        <v>0</v>
      </c>
      <c r="J133" s="4">
        <v>0</v>
      </c>
      <c r="K133" s="5">
        <v>7.5833333333333339</v>
      </c>
      <c r="L133" s="5">
        <v>12</v>
      </c>
      <c r="M133" s="5">
        <v>37.916666666666671</v>
      </c>
      <c r="N133" s="5">
        <v>60</v>
      </c>
      <c r="O133" s="6">
        <v>423</v>
      </c>
      <c r="P133" s="7">
        <v>8.9637509850275812E-2</v>
      </c>
      <c r="Q133" s="7">
        <v>0.14184397163120568</v>
      </c>
      <c r="R133" s="7">
        <v>7.05</v>
      </c>
    </row>
    <row r="134" spans="1:18" ht="15.6" x14ac:dyDescent="0.3">
      <c r="A134">
        <v>125</v>
      </c>
      <c r="B134" s="72">
        <v>46048</v>
      </c>
      <c r="C134" s="69" t="str">
        <v>SPU</v>
      </c>
      <c r="D134" s="68">
        <v>22</v>
      </c>
      <c r="E134" s="66">
        <v>46048.291666666664</v>
      </c>
      <c r="F134" s="49">
        <v>46048.791666666664</v>
      </c>
      <c r="G134" s="49">
        <v>7.2916666666666671E-2</v>
      </c>
      <c r="H134" s="4">
        <v>4.1666666666666664E-2</v>
      </c>
      <c r="I134" s="4">
        <v>0</v>
      </c>
      <c r="J134" s="4">
        <v>0</v>
      </c>
      <c r="K134" s="5">
        <v>9.25</v>
      </c>
      <c r="L134" s="5">
        <v>12</v>
      </c>
      <c r="M134" s="5">
        <v>203.5</v>
      </c>
      <c r="N134" s="5">
        <v>264</v>
      </c>
      <c r="O134" s="6">
        <v>404</v>
      </c>
      <c r="P134" s="7">
        <v>0.50371287128712872</v>
      </c>
      <c r="Q134" s="7">
        <v>0.65346534653465349</v>
      </c>
      <c r="R134" s="7">
        <v>1.5303030303030303</v>
      </c>
    </row>
    <row r="135" spans="1:18" ht="15.6" x14ac:dyDescent="0.3">
      <c r="A135">
        <v>126</v>
      </c>
      <c r="B135" s="72">
        <v>46048</v>
      </c>
      <c r="C135" s="69" t="str">
        <v>HT</v>
      </c>
      <c r="D135" s="68">
        <v>19</v>
      </c>
      <c r="E135" s="66">
        <v>46048.291666666664</v>
      </c>
      <c r="F135" s="49">
        <v>46048.791666666664</v>
      </c>
      <c r="G135" s="49">
        <v>7.2916666666666671E-2</v>
      </c>
      <c r="H135" s="4">
        <v>0</v>
      </c>
      <c r="I135" s="4">
        <v>0</v>
      </c>
      <c r="J135" s="4">
        <v>0</v>
      </c>
      <c r="K135" s="5">
        <v>10.25</v>
      </c>
      <c r="L135" s="5">
        <v>12</v>
      </c>
      <c r="M135" s="5">
        <v>194.75</v>
      </c>
      <c r="N135" s="5">
        <v>228</v>
      </c>
      <c r="O135" s="6">
        <v>304</v>
      </c>
      <c r="P135" s="7">
        <v>0.640625</v>
      </c>
      <c r="Q135" s="7">
        <v>0.75</v>
      </c>
      <c r="R135" s="7">
        <v>1.3333333333333333</v>
      </c>
    </row>
    <row r="136" spans="1:18" ht="15.6" x14ac:dyDescent="0.3">
      <c r="A136">
        <v>127</v>
      </c>
      <c r="B136" s="72">
        <v>46049</v>
      </c>
      <c r="C136" s="69" t="str">
        <v>TLR</v>
      </c>
      <c r="D136" s="68">
        <v>19</v>
      </c>
      <c r="E136" s="66">
        <v>46049.291666666664</v>
      </c>
      <c r="F136" s="49">
        <v>46049.791666666664</v>
      </c>
      <c r="G136" s="49">
        <v>7.2916666666666671E-2</v>
      </c>
      <c r="H136" s="4">
        <v>0</v>
      </c>
      <c r="I136" s="4">
        <v>0</v>
      </c>
      <c r="J136" s="4">
        <v>0</v>
      </c>
      <c r="K136" s="5">
        <v>10.25</v>
      </c>
      <c r="L136" s="5">
        <v>12</v>
      </c>
      <c r="M136" s="5">
        <v>194.75</v>
      </c>
      <c r="N136" s="5">
        <v>228</v>
      </c>
      <c r="O136" s="6">
        <v>500</v>
      </c>
      <c r="P136" s="7">
        <v>0.38950000000000001</v>
      </c>
      <c r="Q136" s="7">
        <v>0.45600000000000002</v>
      </c>
      <c r="R136" s="7">
        <v>2.1929824561403506</v>
      </c>
    </row>
    <row r="137" spans="1:18" ht="15.6" x14ac:dyDescent="0.3">
      <c r="A137">
        <v>128</v>
      </c>
      <c r="B137" s="71">
        <v>46049</v>
      </c>
      <c r="C137" s="69" t="str">
        <v>PU thân</v>
      </c>
      <c r="D137" s="68">
        <v>5</v>
      </c>
      <c r="E137" s="66">
        <v>46049.291666666664</v>
      </c>
      <c r="F137" s="49">
        <v>46049.791666666664</v>
      </c>
      <c r="G137" s="49">
        <v>7.2916666666666671E-2</v>
      </c>
      <c r="H137" s="4">
        <v>0</v>
      </c>
      <c r="I137" s="4">
        <v>0</v>
      </c>
      <c r="J137" s="4">
        <v>0</v>
      </c>
      <c r="K137" s="5">
        <v>10.25</v>
      </c>
      <c r="L137" s="5">
        <v>12</v>
      </c>
      <c r="M137" s="5">
        <v>51.25</v>
      </c>
      <c r="N137" s="5">
        <v>60</v>
      </c>
      <c r="O137" s="6">
        <v>438</v>
      </c>
      <c r="P137" s="7">
        <v>0.11700913242009132</v>
      </c>
      <c r="Q137" s="7">
        <v>0.13698630136986301</v>
      </c>
      <c r="R137" s="7">
        <v>7.3000000000000007</v>
      </c>
    </row>
    <row r="138" spans="1:18" ht="15.6" x14ac:dyDescent="0.3">
      <c r="A138">
        <v>129</v>
      </c>
      <c r="B138" s="71">
        <v>46049</v>
      </c>
      <c r="C138" s="69" t="str">
        <v>SPU</v>
      </c>
      <c r="D138" s="68">
        <v>22</v>
      </c>
      <c r="E138" s="66">
        <v>46049.291666666664</v>
      </c>
      <c r="F138" s="49">
        <v>46049.791666666664</v>
      </c>
      <c r="G138" s="49">
        <v>7.2916666666666671E-2</v>
      </c>
      <c r="H138" s="4">
        <v>0</v>
      </c>
      <c r="I138" s="4">
        <v>0</v>
      </c>
      <c r="J138" s="4">
        <v>0</v>
      </c>
      <c r="K138" s="5">
        <v>10.25</v>
      </c>
      <c r="L138" s="5">
        <v>12</v>
      </c>
      <c r="M138" s="5">
        <v>225.5</v>
      </c>
      <c r="N138" s="5">
        <v>264</v>
      </c>
      <c r="O138" s="6">
        <v>498</v>
      </c>
      <c r="P138" s="7">
        <v>0.4528112449799197</v>
      </c>
      <c r="Q138" s="7">
        <v>0.53012048192771088</v>
      </c>
      <c r="R138" s="7">
        <v>1.8863636363636362</v>
      </c>
    </row>
    <row r="139" spans="1:18" ht="15.6" x14ac:dyDescent="0.3">
      <c r="A139">
        <v>130</v>
      </c>
      <c r="B139" s="71">
        <v>46049</v>
      </c>
      <c r="C139" s="69" t="str">
        <v>HT</v>
      </c>
      <c r="D139" s="68">
        <v>19</v>
      </c>
      <c r="E139" s="66">
        <v>46049.291666666664</v>
      </c>
      <c r="F139" s="49">
        <v>46049.791666666664</v>
      </c>
      <c r="G139" s="49">
        <v>7.2916666666666671E-2</v>
      </c>
      <c r="H139" s="4">
        <v>3.125E-2</v>
      </c>
      <c r="I139" s="4">
        <v>0</v>
      </c>
      <c r="J139" s="4">
        <v>0</v>
      </c>
      <c r="K139" s="5">
        <v>9.5</v>
      </c>
      <c r="L139" s="5">
        <v>12</v>
      </c>
      <c r="M139" s="5">
        <v>180.5</v>
      </c>
      <c r="N139" s="5">
        <v>228</v>
      </c>
      <c r="O139" s="6">
        <v>572</v>
      </c>
      <c r="P139" s="7">
        <v>0.31555944055944057</v>
      </c>
      <c r="Q139" s="7">
        <v>0.39860139860139859</v>
      </c>
      <c r="R139" s="7">
        <v>2.5087719298245617</v>
      </c>
    </row>
    <row r="140" spans="1:18" ht="15.6" x14ac:dyDescent="0.3">
      <c r="A140">
        <v>131</v>
      </c>
      <c r="B140" s="71">
        <v>46050</v>
      </c>
      <c r="C140" s="69" t="str">
        <v>TLR</v>
      </c>
      <c r="D140" s="68">
        <v>20</v>
      </c>
      <c r="E140" s="66">
        <v>46050.291666666664</v>
      </c>
      <c r="F140" s="49">
        <v>46050.791666666664</v>
      </c>
      <c r="G140" s="49">
        <v>7.2916666666666671E-2</v>
      </c>
      <c r="H140" s="4">
        <v>0</v>
      </c>
      <c r="I140" s="4">
        <v>0</v>
      </c>
      <c r="J140" s="4">
        <v>0</v>
      </c>
      <c r="K140" s="5">
        <v>10.25</v>
      </c>
      <c r="L140" s="5">
        <v>12</v>
      </c>
      <c r="M140" s="5">
        <v>205</v>
      </c>
      <c r="N140" s="5">
        <v>240</v>
      </c>
      <c r="O140" s="6">
        <v>500</v>
      </c>
      <c r="P140" s="7">
        <v>0.41</v>
      </c>
      <c r="Q140" s="7">
        <v>0.48</v>
      </c>
      <c r="R140" s="7">
        <v>2.0833333333333335</v>
      </c>
    </row>
    <row r="141" spans="1:18" ht="15.6" x14ac:dyDescent="0.3">
      <c r="A141">
        <v>132</v>
      </c>
      <c r="B141" s="72">
        <v>46050</v>
      </c>
      <c r="C141" s="69" t="str">
        <v>PU thân</v>
      </c>
      <c r="D141" s="68">
        <v>5</v>
      </c>
      <c r="E141" s="66">
        <v>46050.291666666664</v>
      </c>
      <c r="F141" s="49">
        <v>46050.791666666664</v>
      </c>
      <c r="G141" s="49">
        <v>7.2916666666666671E-2</v>
      </c>
      <c r="H141" s="4">
        <v>0</v>
      </c>
      <c r="I141" s="4">
        <v>0</v>
      </c>
      <c r="J141" s="4">
        <v>0</v>
      </c>
      <c r="K141" s="5">
        <v>10.25</v>
      </c>
      <c r="L141" s="5">
        <v>12</v>
      </c>
      <c r="M141" s="5">
        <v>51.25</v>
      </c>
      <c r="N141" s="5">
        <v>60</v>
      </c>
      <c r="O141" s="6">
        <v>508</v>
      </c>
      <c r="P141" s="7">
        <v>0.10088582677165354</v>
      </c>
      <c r="Q141" s="7">
        <v>0.11811023622047244</v>
      </c>
      <c r="R141" s="7">
        <v>8.4666666666666668</v>
      </c>
    </row>
    <row r="142" spans="1:18" ht="15.6" x14ac:dyDescent="0.3">
      <c r="A142">
        <v>133</v>
      </c>
      <c r="B142" s="72">
        <v>46050</v>
      </c>
      <c r="C142" s="69" t="str">
        <v>SPU</v>
      </c>
      <c r="D142" s="68">
        <v>21</v>
      </c>
      <c r="E142" s="66">
        <v>46050.291666666664</v>
      </c>
      <c r="F142" s="49">
        <v>46050.791666666664</v>
      </c>
      <c r="G142" s="49">
        <v>7.2916666666666671E-2</v>
      </c>
      <c r="H142" s="4">
        <v>4.1666666666666664E-2</v>
      </c>
      <c r="I142" s="4">
        <v>0</v>
      </c>
      <c r="J142" s="4">
        <v>0</v>
      </c>
      <c r="K142" s="5">
        <v>9.25</v>
      </c>
      <c r="L142" s="5">
        <v>12</v>
      </c>
      <c r="M142" s="5">
        <v>194.25</v>
      </c>
      <c r="N142" s="5">
        <v>252</v>
      </c>
      <c r="O142" s="6">
        <v>480</v>
      </c>
      <c r="P142" s="7">
        <v>0.40468749999999998</v>
      </c>
      <c r="Q142" s="7">
        <v>0.52500000000000002</v>
      </c>
      <c r="R142" s="7">
        <v>1.9047619047619047</v>
      </c>
    </row>
    <row r="143" spans="1:18" ht="15.6" x14ac:dyDescent="0.3">
      <c r="A143">
        <v>134</v>
      </c>
      <c r="B143" s="72">
        <v>46050</v>
      </c>
      <c r="C143" s="69" t="str">
        <v>HT</v>
      </c>
      <c r="D143" s="68">
        <v>19</v>
      </c>
      <c r="E143" s="66">
        <v>46050.291666666664</v>
      </c>
      <c r="F143" s="49">
        <v>46050.791666666664</v>
      </c>
      <c r="G143" s="49">
        <v>7.2916666666666671E-2</v>
      </c>
      <c r="H143" s="4">
        <v>0</v>
      </c>
      <c r="I143" s="4">
        <v>0</v>
      </c>
      <c r="J143" s="4">
        <v>0</v>
      </c>
      <c r="K143" s="5">
        <v>10.25</v>
      </c>
      <c r="L143" s="5">
        <v>12</v>
      </c>
      <c r="M143" s="5">
        <v>194.75</v>
      </c>
      <c r="N143" s="5">
        <v>228</v>
      </c>
      <c r="O143" s="6">
        <v>538</v>
      </c>
      <c r="P143" s="7">
        <v>0.36198884758364314</v>
      </c>
      <c r="Q143" s="7">
        <v>0.42379182156133827</v>
      </c>
      <c r="R143" s="7">
        <v>2.3596491228070176</v>
      </c>
    </row>
    <row r="144" spans="1:18" ht="15.6" x14ac:dyDescent="0.3">
      <c r="A144">
        <v>135</v>
      </c>
      <c r="B144" s="72">
        <v>46051</v>
      </c>
      <c r="C144" s="69" t="str">
        <v>TLR</v>
      </c>
      <c r="D144" s="68">
        <v>19</v>
      </c>
      <c r="E144" s="66">
        <v>46051.291666666664</v>
      </c>
      <c r="F144" s="49">
        <v>46051.791666666664</v>
      </c>
      <c r="G144" s="49">
        <v>7.2916666666666671E-2</v>
      </c>
      <c r="H144" s="4">
        <v>0</v>
      </c>
      <c r="I144" s="4">
        <v>0</v>
      </c>
      <c r="J144" s="4">
        <v>0</v>
      </c>
      <c r="K144" s="5">
        <v>10.25</v>
      </c>
      <c r="L144" s="5">
        <v>12</v>
      </c>
      <c r="M144" s="5">
        <v>194.75</v>
      </c>
      <c r="N144" s="5">
        <v>228</v>
      </c>
      <c r="O144" s="6">
        <v>503</v>
      </c>
      <c r="P144" s="7">
        <v>0.38717693836978129</v>
      </c>
      <c r="Q144" s="7">
        <v>0.45328031809145131</v>
      </c>
      <c r="R144" s="7">
        <v>2.2061403508771931</v>
      </c>
    </row>
    <row r="145" spans="1:18" ht="15.6" x14ac:dyDescent="0.3">
      <c r="A145">
        <v>136</v>
      </c>
      <c r="B145" s="71">
        <v>46051</v>
      </c>
      <c r="C145" s="69" t="str">
        <v>PU thân</v>
      </c>
      <c r="D145" s="68">
        <v>5</v>
      </c>
      <c r="E145" s="66">
        <v>46051.291666666664</v>
      </c>
      <c r="F145" s="49">
        <v>46051.791666666664</v>
      </c>
      <c r="G145" s="49">
        <v>7.2916666666666671E-2</v>
      </c>
      <c r="H145" s="4">
        <v>0</v>
      </c>
      <c r="I145" s="4">
        <v>0</v>
      </c>
      <c r="J145" s="4">
        <v>0</v>
      </c>
      <c r="K145" s="5">
        <v>10.25</v>
      </c>
      <c r="L145" s="5">
        <v>12</v>
      </c>
      <c r="M145" s="5">
        <v>51.25</v>
      </c>
      <c r="N145" s="5">
        <v>60</v>
      </c>
      <c r="O145" s="6">
        <v>471</v>
      </c>
      <c r="P145" s="7">
        <v>0.10881104033970276</v>
      </c>
      <c r="Q145" s="7">
        <v>0.12738853503184713</v>
      </c>
      <c r="R145" s="7">
        <v>7.85</v>
      </c>
    </row>
    <row r="146" spans="1:18" ht="15.6" x14ac:dyDescent="0.3">
      <c r="A146">
        <v>137</v>
      </c>
      <c r="B146" s="71">
        <v>46051</v>
      </c>
      <c r="C146" s="69" t="str">
        <v>SPU</v>
      </c>
      <c r="D146" s="68">
        <v>22</v>
      </c>
      <c r="E146" s="66">
        <v>46051.291666666664</v>
      </c>
      <c r="F146" s="49">
        <v>46051.791666666664</v>
      </c>
      <c r="G146" s="49">
        <v>7.2916666666666671E-2</v>
      </c>
      <c r="H146" s="4">
        <v>5.0694444444444445E-2</v>
      </c>
      <c r="I146" s="4">
        <v>0</v>
      </c>
      <c r="J146" s="4">
        <v>0</v>
      </c>
      <c r="K146" s="5">
        <v>9.0333333333333332</v>
      </c>
      <c r="L146" s="5">
        <v>12</v>
      </c>
      <c r="M146" s="5">
        <v>198.73333333333332</v>
      </c>
      <c r="N146" s="5">
        <v>264</v>
      </c>
      <c r="O146" s="6">
        <v>487</v>
      </c>
      <c r="P146" s="7">
        <v>0.40807665982203967</v>
      </c>
      <c r="Q146" s="7">
        <v>0.5420944558521561</v>
      </c>
      <c r="R146" s="7">
        <v>1.8446969696969695</v>
      </c>
    </row>
    <row r="147" spans="1:18" ht="15.6" x14ac:dyDescent="0.3">
      <c r="A147">
        <v>138</v>
      </c>
      <c r="B147" s="71">
        <v>46051</v>
      </c>
      <c r="C147" s="69" t="str">
        <v>HT</v>
      </c>
      <c r="D147" s="68">
        <v>19</v>
      </c>
      <c r="E147" s="66">
        <v>46051.291666666664</v>
      </c>
      <c r="F147" s="49">
        <v>46051.791666666664</v>
      </c>
      <c r="G147" s="49">
        <v>7.2916666666666671E-2</v>
      </c>
      <c r="H147" s="4">
        <v>0.1875</v>
      </c>
      <c r="I147" s="4">
        <v>0</v>
      </c>
      <c r="J147" s="4">
        <v>0</v>
      </c>
      <c r="K147" s="5">
        <v>5.75</v>
      </c>
      <c r="L147" s="5">
        <v>12</v>
      </c>
      <c r="M147" s="5">
        <v>109.25</v>
      </c>
      <c r="N147" s="5">
        <v>228</v>
      </c>
      <c r="O147" s="6">
        <v>438</v>
      </c>
      <c r="P147" s="7">
        <v>0.24942922374429224</v>
      </c>
      <c r="Q147" s="7">
        <v>0.52054794520547942</v>
      </c>
      <c r="R147" s="7">
        <v>1.9210526315789476</v>
      </c>
    </row>
    <row r="148" spans="1:18" ht="15.6" x14ac:dyDescent="0.3">
      <c r="A148">
        <v>139</v>
      </c>
      <c r="B148" s="71">
        <v>46052</v>
      </c>
      <c r="C148" s="69" t="str">
        <v>TLR</v>
      </c>
      <c r="D148" s="68">
        <v>17</v>
      </c>
      <c r="E148" s="66">
        <v>46052.291666666664</v>
      </c>
      <c r="F148" s="49">
        <v>46052.791666666664</v>
      </c>
      <c r="G148" s="49">
        <v>7.2916666666666671E-2</v>
      </c>
      <c r="H148" s="4">
        <v>0</v>
      </c>
      <c r="I148" s="4">
        <v>0</v>
      </c>
      <c r="J148" s="4">
        <v>0</v>
      </c>
      <c r="K148" s="5">
        <v>10.25</v>
      </c>
      <c r="L148" s="5">
        <v>12</v>
      </c>
      <c r="M148" s="5">
        <v>174.25</v>
      </c>
      <c r="N148" s="5">
        <v>204</v>
      </c>
      <c r="O148" s="6">
        <v>420</v>
      </c>
      <c r="P148" s="7">
        <v>0.41488095238095241</v>
      </c>
      <c r="Q148" s="7">
        <v>0.48571428571428571</v>
      </c>
      <c r="R148" s="7">
        <v>2.0588235294117649</v>
      </c>
    </row>
    <row r="149" spans="1:18" ht="15.6" x14ac:dyDescent="0.3">
      <c r="A149">
        <v>140</v>
      </c>
      <c r="B149" s="72">
        <v>46052</v>
      </c>
      <c r="C149" s="69" t="str">
        <v>PU thân</v>
      </c>
      <c r="D149" s="68">
        <v>5</v>
      </c>
      <c r="E149" s="66">
        <v>46052.291666666664</v>
      </c>
      <c r="F149" s="49">
        <v>46052.791666666664</v>
      </c>
      <c r="G149" s="49">
        <v>7.2916666666666671E-2</v>
      </c>
      <c r="H149" s="4">
        <v>0</v>
      </c>
      <c r="I149" s="4">
        <v>0</v>
      </c>
      <c r="J149" s="4">
        <v>0</v>
      </c>
      <c r="K149" s="5">
        <v>10.25</v>
      </c>
      <c r="L149" s="5">
        <v>12</v>
      </c>
      <c r="M149" s="5">
        <v>51.25</v>
      </c>
      <c r="N149" s="5">
        <v>60</v>
      </c>
      <c r="O149" s="6">
        <v>482</v>
      </c>
      <c r="P149" s="7">
        <v>0.10632780082987552</v>
      </c>
      <c r="Q149" s="7">
        <v>0.12448132780082988</v>
      </c>
      <c r="R149" s="7">
        <v>8.0333333333333332</v>
      </c>
    </row>
    <row r="150" spans="1:18" ht="15.6" x14ac:dyDescent="0.3">
      <c r="A150">
        <v>141</v>
      </c>
      <c r="B150" s="72">
        <v>46052</v>
      </c>
      <c r="C150" s="69" t="str">
        <v>SPU</v>
      </c>
      <c r="D150" s="68">
        <v>21</v>
      </c>
      <c r="E150" s="66">
        <v>46052.291666666664</v>
      </c>
      <c r="F150" s="49">
        <v>46052.791666666664</v>
      </c>
      <c r="G150" s="49">
        <v>7.2916666666666671E-2</v>
      </c>
      <c r="H150" s="4">
        <v>0</v>
      </c>
      <c r="I150" s="4">
        <v>0</v>
      </c>
      <c r="J150" s="4">
        <v>0</v>
      </c>
      <c r="K150" s="5">
        <v>10.25</v>
      </c>
      <c r="L150" s="5">
        <v>12</v>
      </c>
      <c r="M150" s="5">
        <v>215.25</v>
      </c>
      <c r="N150" s="5">
        <v>252</v>
      </c>
      <c r="O150" s="6">
        <v>443</v>
      </c>
      <c r="P150" s="7">
        <v>0.48589164785553046</v>
      </c>
      <c r="Q150" s="7">
        <v>0.56884875846501126</v>
      </c>
      <c r="R150" s="7">
        <v>1.7579365079365079</v>
      </c>
    </row>
    <row r="151" spans="1:18" ht="15.6" x14ac:dyDescent="0.3">
      <c r="A151">
        <v>142</v>
      </c>
      <c r="B151" s="72">
        <v>46052</v>
      </c>
      <c r="C151" s="69" t="str">
        <v>HT</v>
      </c>
      <c r="D151" s="68">
        <v>19</v>
      </c>
      <c r="E151" s="66">
        <v>46052.291666666664</v>
      </c>
      <c r="F151" s="49">
        <v>46052.708333333336</v>
      </c>
      <c r="G151" s="49">
        <v>6.25E-2</v>
      </c>
      <c r="H151" s="4">
        <v>0</v>
      </c>
      <c r="I151" s="4">
        <v>0</v>
      </c>
      <c r="J151" s="4">
        <v>0</v>
      </c>
      <c r="K151" s="5">
        <v>8.5</v>
      </c>
      <c r="L151" s="5">
        <v>10</v>
      </c>
      <c r="M151" s="5">
        <v>161.5</v>
      </c>
      <c r="N151" s="5">
        <v>190</v>
      </c>
      <c r="O151" s="6">
        <v>517</v>
      </c>
      <c r="P151" s="7">
        <v>0.31237911025145065</v>
      </c>
      <c r="Q151" s="7">
        <v>0.36750483558994196</v>
      </c>
      <c r="R151" s="7">
        <v>2.7210526315789476</v>
      </c>
    </row>
    <row r="152" spans="1:18" ht="15.6" x14ac:dyDescent="0.3">
      <c r="A152">
        <v>143</v>
      </c>
      <c r="B152" s="72">
        <v>46053</v>
      </c>
      <c r="C152" s="69" t="str">
        <v>TLR</v>
      </c>
      <c r="D152" s="68">
        <v>19</v>
      </c>
      <c r="E152" s="66">
        <v>46053.291666666664</v>
      </c>
      <c r="F152" s="49">
        <v>46053.791666666664</v>
      </c>
      <c r="G152" s="49">
        <v>7.2916666666666671E-2</v>
      </c>
      <c r="H152" s="4">
        <v>0</v>
      </c>
      <c r="I152" s="4">
        <v>0</v>
      </c>
      <c r="J152" s="4">
        <v>0</v>
      </c>
      <c r="K152" s="5">
        <v>10.25</v>
      </c>
      <c r="L152" s="5">
        <v>12</v>
      </c>
      <c r="M152" s="5">
        <v>194.75</v>
      </c>
      <c r="N152" s="5">
        <v>228</v>
      </c>
      <c r="O152" s="6">
        <v>370</v>
      </c>
      <c r="P152" s="7">
        <v>0.52635135135135136</v>
      </c>
      <c r="Q152" s="7">
        <v>0.61621621621621625</v>
      </c>
      <c r="R152" s="7">
        <v>1.6228070175438596</v>
      </c>
    </row>
    <row r="153" spans="1:18" ht="15.6" x14ac:dyDescent="0.3">
      <c r="A153">
        <v>144</v>
      </c>
      <c r="B153" s="71">
        <v>46053</v>
      </c>
      <c r="C153" s="69" t="str">
        <v>PU thân</v>
      </c>
      <c r="D153" s="68">
        <v>5</v>
      </c>
      <c r="E153" s="66">
        <v>46053.291666666664</v>
      </c>
      <c r="F153" s="49">
        <v>46053.791666666664</v>
      </c>
      <c r="G153" s="49">
        <v>7.2916666666666671E-2</v>
      </c>
      <c r="H153" s="4">
        <v>0</v>
      </c>
      <c r="I153" s="4">
        <v>0</v>
      </c>
      <c r="J153" s="4">
        <v>0</v>
      </c>
      <c r="K153" s="5">
        <v>10.25</v>
      </c>
      <c r="L153" s="5">
        <v>12</v>
      </c>
      <c r="M153" s="5">
        <v>51.25</v>
      </c>
      <c r="N153" s="5">
        <v>60</v>
      </c>
      <c r="O153" s="6">
        <v>380</v>
      </c>
      <c r="P153" s="7">
        <v>0.13486842105263158</v>
      </c>
      <c r="Q153" s="7">
        <v>0.15789473684210525</v>
      </c>
      <c r="R153" s="7">
        <v>6.3333333333333339</v>
      </c>
    </row>
    <row r="154" spans="1:18" ht="15.6" x14ac:dyDescent="0.3">
      <c r="A154">
        <v>145</v>
      </c>
      <c r="B154" s="71">
        <v>46053</v>
      </c>
      <c r="C154" s="69" t="str">
        <v>SPU</v>
      </c>
      <c r="D154" s="68">
        <v>20</v>
      </c>
      <c r="E154" s="66">
        <v>46053.291666666664</v>
      </c>
      <c r="F154" s="49">
        <v>46053.791666666664</v>
      </c>
      <c r="G154" s="49">
        <v>7.2916666666666671E-2</v>
      </c>
      <c r="H154" s="4">
        <v>0</v>
      </c>
      <c r="I154" s="4">
        <v>0</v>
      </c>
      <c r="J154" s="4">
        <v>0</v>
      </c>
      <c r="K154" s="5">
        <v>10.25</v>
      </c>
      <c r="L154" s="5">
        <v>12</v>
      </c>
      <c r="M154" s="5">
        <v>205</v>
      </c>
      <c r="N154" s="5">
        <v>240</v>
      </c>
      <c r="O154" s="6">
        <v>494</v>
      </c>
      <c r="P154" s="7">
        <v>0.41497975708502022</v>
      </c>
      <c r="Q154" s="7">
        <v>0.48582995951417002</v>
      </c>
      <c r="R154" s="7">
        <v>2.0583333333333336</v>
      </c>
    </row>
    <row r="155" spans="1:18" ht="15.6" x14ac:dyDescent="0.3">
      <c r="A155">
        <v>146</v>
      </c>
      <c r="B155" s="71">
        <v>46053</v>
      </c>
      <c r="C155" s="69" t="str">
        <v>HT</v>
      </c>
      <c r="D155" s="68">
        <v>17</v>
      </c>
      <c r="E155" s="66">
        <v>46053.291666666664</v>
      </c>
      <c r="F155" s="49">
        <v>46053.791666666664</v>
      </c>
      <c r="G155" s="49">
        <v>7.2916666666666671E-2</v>
      </c>
      <c r="H155" s="4">
        <v>0.1875</v>
      </c>
      <c r="I155" s="4">
        <v>0</v>
      </c>
      <c r="J155" s="4">
        <v>0</v>
      </c>
      <c r="K155" s="5">
        <v>5.75</v>
      </c>
      <c r="L155" s="5">
        <v>12</v>
      </c>
      <c r="M155" s="5">
        <v>97.75</v>
      </c>
      <c r="N155" s="5">
        <v>204</v>
      </c>
      <c r="O155" s="6">
        <v>377</v>
      </c>
      <c r="P155" s="7">
        <v>0.25928381962864722</v>
      </c>
      <c r="Q155" s="7">
        <v>0.54111405835543769</v>
      </c>
      <c r="R155" s="7">
        <v>1.8480392156862744</v>
      </c>
    </row>
    <row r="156" spans="1:18" ht="15.6" x14ac:dyDescent="0.3">
      <c r="A156">
        <v>147</v>
      </c>
      <c r="B156" s="71">
        <v>46054</v>
      </c>
      <c r="C156" s="69" t="str">
        <v>SPU</v>
      </c>
      <c r="D156" s="68">
        <v>7</v>
      </c>
      <c r="E156" s="66">
        <v>46054.291666666664</v>
      </c>
      <c r="F156" s="49">
        <v>46054.666666666664</v>
      </c>
      <c r="G156" s="49">
        <v>6.25E-2</v>
      </c>
      <c r="H156" s="4">
        <v>0</v>
      </c>
      <c r="I156" s="4">
        <v>0</v>
      </c>
      <c r="J156" s="4">
        <v>0</v>
      </c>
      <c r="K156" s="5">
        <v>7.5</v>
      </c>
      <c r="L156" s="5">
        <v>9</v>
      </c>
      <c r="M156" s="5">
        <v>52.5</v>
      </c>
      <c r="N156" s="5">
        <v>63</v>
      </c>
      <c r="O156" s="6">
        <v>154</v>
      </c>
      <c r="P156" s="7">
        <v>0.34090909090909088</v>
      </c>
      <c r="Q156" s="7">
        <v>0.40909090909090912</v>
      </c>
      <c r="R156" s="7">
        <v>2.4444444444444442</v>
      </c>
    </row>
    <row r="157" spans="1:18" ht="15.6" x14ac:dyDescent="0.3">
      <c r="A157">
        <v>148</v>
      </c>
      <c r="B157" s="72">
        <v>46054</v>
      </c>
      <c r="C157" s="69" t="str">
        <v>HT</v>
      </c>
      <c r="D157" s="68">
        <v>14</v>
      </c>
      <c r="E157" s="66">
        <v>46054.291666666664</v>
      </c>
      <c r="F157" s="49">
        <v>46054.708333333336</v>
      </c>
      <c r="G157" s="49">
        <v>6.25E-2</v>
      </c>
      <c r="H157" s="4">
        <v>0</v>
      </c>
      <c r="I157" s="4">
        <v>0</v>
      </c>
      <c r="J157" s="4">
        <v>0</v>
      </c>
      <c r="K157" s="5">
        <v>8.5</v>
      </c>
      <c r="L157" s="5">
        <v>10</v>
      </c>
      <c r="M157" s="5">
        <v>119</v>
      </c>
      <c r="N157" s="5">
        <v>140</v>
      </c>
      <c r="O157" s="6">
        <v>325</v>
      </c>
      <c r="P157" s="7">
        <v>0.36615384615384616</v>
      </c>
      <c r="Q157" s="7">
        <v>0.43076923076923079</v>
      </c>
      <c r="R157" s="7">
        <v>2.3214285714285712</v>
      </c>
    </row>
    <row r="158" spans="1:18" ht="15.6" x14ac:dyDescent="0.3">
      <c r="A158">
        <v>149</v>
      </c>
      <c r="B158" s="72">
        <v>46055</v>
      </c>
      <c r="C158" s="69" t="str">
        <v>TLR</v>
      </c>
      <c r="D158" s="68">
        <v>17</v>
      </c>
      <c r="E158" s="66">
        <v>46055.291666666664</v>
      </c>
      <c r="F158" s="49">
        <v>46055.791666666664</v>
      </c>
      <c r="G158" s="49">
        <v>7.2916666666666671E-2</v>
      </c>
      <c r="H158" s="4">
        <v>0</v>
      </c>
      <c r="I158" s="4">
        <v>0</v>
      </c>
      <c r="J158" s="4">
        <v>0</v>
      </c>
      <c r="K158" s="5">
        <v>10.25</v>
      </c>
      <c r="L158" s="5">
        <v>12</v>
      </c>
      <c r="M158" s="5">
        <v>174.25</v>
      </c>
      <c r="N158" s="5">
        <v>204</v>
      </c>
      <c r="O158" s="6">
        <v>410</v>
      </c>
      <c r="P158" s="7">
        <v>0.42499999999999999</v>
      </c>
      <c r="Q158" s="7">
        <v>0.4975609756097561</v>
      </c>
      <c r="R158" s="7">
        <v>2.0098039215686274</v>
      </c>
    </row>
    <row r="159" spans="1:18" ht="15.6" x14ac:dyDescent="0.3">
      <c r="A159">
        <v>150</v>
      </c>
      <c r="B159" s="72">
        <v>46055</v>
      </c>
      <c r="C159" s="69" t="str">
        <v>PU thân</v>
      </c>
      <c r="D159" s="68">
        <v>5</v>
      </c>
      <c r="E159" s="66">
        <v>46055.291666666664</v>
      </c>
      <c r="F159" s="49">
        <v>46055.791666666664</v>
      </c>
      <c r="G159" s="49">
        <v>7.2916666666666671E-2</v>
      </c>
      <c r="H159" s="4">
        <v>0</v>
      </c>
      <c r="I159" s="4">
        <v>0</v>
      </c>
      <c r="J159" s="4">
        <v>0</v>
      </c>
      <c r="K159" s="5">
        <v>10.25</v>
      </c>
      <c r="L159" s="5">
        <v>12</v>
      </c>
      <c r="M159" s="5">
        <v>51.25</v>
      </c>
      <c r="N159" s="5">
        <v>60</v>
      </c>
      <c r="O159" s="6">
        <v>419</v>
      </c>
      <c r="P159" s="7">
        <v>0.12231503579952267</v>
      </c>
      <c r="Q159" s="7">
        <v>0.14319809069212411</v>
      </c>
      <c r="R159" s="7">
        <v>6.9833333333333334</v>
      </c>
    </row>
    <row r="160" spans="1:18" ht="15.6" x14ac:dyDescent="0.3">
      <c r="A160">
        <v>151</v>
      </c>
      <c r="B160" s="72">
        <v>46055</v>
      </c>
      <c r="C160" s="69" t="str">
        <v>SPU</v>
      </c>
      <c r="D160" s="68">
        <v>17</v>
      </c>
      <c r="E160" s="66">
        <v>46055.291666666664</v>
      </c>
      <c r="F160" s="49">
        <v>46055.791666666664</v>
      </c>
      <c r="G160" s="49">
        <v>7.2916666666666671E-2</v>
      </c>
      <c r="H160" s="4">
        <v>0</v>
      </c>
      <c r="I160" s="4">
        <v>0</v>
      </c>
      <c r="J160" s="4">
        <v>0</v>
      </c>
      <c r="K160" s="5">
        <v>10.25</v>
      </c>
      <c r="L160" s="5">
        <v>12</v>
      </c>
      <c r="M160" s="5">
        <v>174.25</v>
      </c>
      <c r="N160" s="5">
        <v>204</v>
      </c>
      <c r="O160" s="6">
        <v>333</v>
      </c>
      <c r="P160" s="7">
        <v>0.52327327327327322</v>
      </c>
      <c r="Q160" s="7">
        <v>0.61261261261261257</v>
      </c>
      <c r="R160" s="7">
        <v>1.6323529411764708</v>
      </c>
    </row>
    <row r="161" spans="1:18" ht="15.6" x14ac:dyDescent="0.3">
      <c r="A161">
        <v>152</v>
      </c>
      <c r="B161" s="71">
        <v>46055</v>
      </c>
      <c r="C161" s="69" t="str">
        <v>HT</v>
      </c>
      <c r="D161" s="68">
        <v>15</v>
      </c>
      <c r="E161" s="66">
        <v>46055.291666666664</v>
      </c>
      <c r="F161" s="49">
        <v>46055.791666666664</v>
      </c>
      <c r="G161" s="49">
        <v>7.2916666666666671E-2</v>
      </c>
      <c r="H161" s="4">
        <v>0</v>
      </c>
      <c r="I161" s="4">
        <v>0</v>
      </c>
      <c r="J161" s="4">
        <v>0</v>
      </c>
      <c r="K161" s="5">
        <v>10.25</v>
      </c>
      <c r="L161" s="5">
        <v>12</v>
      </c>
      <c r="M161" s="5">
        <v>153.75</v>
      </c>
      <c r="N161" s="5">
        <v>180</v>
      </c>
      <c r="O161" s="6">
        <v>302</v>
      </c>
      <c r="P161" s="7">
        <v>0.50910596026490063</v>
      </c>
      <c r="Q161" s="7">
        <v>0.59602649006622521</v>
      </c>
      <c r="R161" s="7">
        <v>1.6777777777777776</v>
      </c>
    </row>
    <row r="162" spans="1:18" ht="15.6" x14ac:dyDescent="0.3">
      <c r="A162">
        <v>153</v>
      </c>
      <c r="B162" s="71">
        <v>46056</v>
      </c>
      <c r="C162" s="69" t="str">
        <v>TLR</v>
      </c>
      <c r="D162" s="68">
        <v>18</v>
      </c>
      <c r="E162" s="66">
        <v>46056.291666666664</v>
      </c>
      <c r="F162" s="49">
        <v>46056.791666666664</v>
      </c>
      <c r="G162" s="49">
        <v>7.2916666666666671E-2</v>
      </c>
      <c r="H162" s="4">
        <v>0</v>
      </c>
      <c r="I162" s="4">
        <v>0</v>
      </c>
      <c r="J162" s="4">
        <v>0</v>
      </c>
      <c r="K162" s="5">
        <v>10.25</v>
      </c>
      <c r="L162" s="5">
        <v>12</v>
      </c>
      <c r="M162" s="5">
        <v>184.5</v>
      </c>
      <c r="N162" s="5">
        <v>216</v>
      </c>
      <c r="O162" s="6">
        <v>459</v>
      </c>
      <c r="P162" s="7">
        <v>0.40196078431372551</v>
      </c>
      <c r="Q162" s="7">
        <v>0.47058823529411764</v>
      </c>
      <c r="R162" s="7">
        <v>2.125</v>
      </c>
    </row>
    <row r="163" spans="1:18" ht="15.6" x14ac:dyDescent="0.3">
      <c r="A163">
        <v>154</v>
      </c>
      <c r="B163" s="71">
        <v>46056</v>
      </c>
      <c r="C163" s="69" t="str">
        <v>PU thân</v>
      </c>
      <c r="D163" s="68">
        <v>5</v>
      </c>
      <c r="E163" s="66">
        <v>46056.291666666664</v>
      </c>
      <c r="F163" s="49">
        <v>46056.791666666664</v>
      </c>
      <c r="G163" s="49">
        <v>7.2916666666666671E-2</v>
      </c>
      <c r="H163" s="4">
        <v>0</v>
      </c>
      <c r="I163" s="4">
        <v>0</v>
      </c>
      <c r="J163" s="4">
        <v>0</v>
      </c>
      <c r="K163" s="5">
        <v>10.25</v>
      </c>
      <c r="L163" s="5">
        <v>12</v>
      </c>
      <c r="M163" s="5">
        <v>51.25</v>
      </c>
      <c r="N163" s="5">
        <v>60</v>
      </c>
      <c r="O163" s="6">
        <v>401</v>
      </c>
      <c r="P163" s="7">
        <v>0.12780548628428928</v>
      </c>
      <c r="Q163" s="7">
        <v>0.14962593516209477</v>
      </c>
      <c r="R163" s="7">
        <v>6.6833333333333327</v>
      </c>
    </row>
    <row r="164" spans="1:18" ht="15.6" x14ac:dyDescent="0.3">
      <c r="A164">
        <v>155</v>
      </c>
      <c r="B164" s="71">
        <v>46056</v>
      </c>
      <c r="C164" s="69" t="str">
        <v>SPU</v>
      </c>
      <c r="D164" s="68">
        <v>19</v>
      </c>
      <c r="E164" s="66">
        <v>46056.291666666664</v>
      </c>
      <c r="F164" s="49">
        <v>46056.791666666664</v>
      </c>
      <c r="G164" s="49">
        <v>7.2916666666666671E-2</v>
      </c>
      <c r="H164" s="4">
        <v>0</v>
      </c>
      <c r="I164" s="4">
        <v>0</v>
      </c>
      <c r="J164" s="4">
        <v>0</v>
      </c>
      <c r="K164" s="5">
        <v>10.25</v>
      </c>
      <c r="L164" s="5">
        <v>12</v>
      </c>
      <c r="M164" s="5">
        <v>194.75</v>
      </c>
      <c r="N164" s="5">
        <v>228</v>
      </c>
      <c r="O164" s="6">
        <v>390</v>
      </c>
      <c r="P164" s="7">
        <v>0.49935897435897436</v>
      </c>
      <c r="Q164" s="7">
        <v>0.58461538461538465</v>
      </c>
      <c r="R164" s="7">
        <v>1.7105263157894737</v>
      </c>
    </row>
    <row r="165" spans="1:18" ht="15.6" x14ac:dyDescent="0.3">
      <c r="A165">
        <v>156</v>
      </c>
      <c r="B165" s="72">
        <v>46056</v>
      </c>
      <c r="C165" s="69" t="str">
        <v>HT</v>
      </c>
      <c r="D165" s="68">
        <v>16</v>
      </c>
      <c r="E165" s="66">
        <v>46056.291666666664</v>
      </c>
      <c r="F165" s="49">
        <v>46056.791666666664</v>
      </c>
      <c r="G165" s="49">
        <v>7.2916666666666671E-2</v>
      </c>
      <c r="H165" s="4">
        <v>0.26944444444444443</v>
      </c>
      <c r="I165" s="4">
        <v>0</v>
      </c>
      <c r="J165" s="4">
        <v>0</v>
      </c>
      <c r="K165" s="5">
        <v>3.7833333333333332</v>
      </c>
      <c r="L165" s="5">
        <v>12</v>
      </c>
      <c r="M165" s="5">
        <v>60.533333333333331</v>
      </c>
      <c r="N165" s="5">
        <v>192</v>
      </c>
      <c r="O165" s="6">
        <v>75</v>
      </c>
      <c r="P165" s="7">
        <v>0.80711111111111111</v>
      </c>
      <c r="Q165" s="7">
        <v>2.56</v>
      </c>
      <c r="R165" s="7">
        <v>0.390625</v>
      </c>
    </row>
    <row r="166" spans="1:18" ht="15.6" x14ac:dyDescent="0.3">
      <c r="A166">
        <v>157</v>
      </c>
      <c r="B166" s="72">
        <v>46057</v>
      </c>
      <c r="C166" s="69" t="str">
        <v>TLR</v>
      </c>
      <c r="D166" s="68">
        <v>15</v>
      </c>
      <c r="E166" s="66">
        <v>46057.291666666664</v>
      </c>
      <c r="F166" s="49">
        <v>46057.791666666664</v>
      </c>
      <c r="G166" s="49">
        <v>7.2916666666666671E-2</v>
      </c>
      <c r="H166" s="4">
        <v>0</v>
      </c>
      <c r="I166" s="4">
        <v>0</v>
      </c>
      <c r="J166" s="4">
        <v>0</v>
      </c>
      <c r="K166" s="5">
        <v>10.25</v>
      </c>
      <c r="L166" s="5">
        <v>12</v>
      </c>
      <c r="M166" s="5">
        <v>153.75</v>
      </c>
      <c r="N166" s="5">
        <v>180</v>
      </c>
      <c r="O166" s="6">
        <v>380</v>
      </c>
      <c r="P166" s="7">
        <v>0.40460526315789475</v>
      </c>
      <c r="Q166" s="7">
        <v>0.47368421052631576</v>
      </c>
      <c r="R166" s="7">
        <v>2.1111111111111112</v>
      </c>
    </row>
    <row r="167" spans="1:18" ht="15.6" x14ac:dyDescent="0.3">
      <c r="A167">
        <v>158</v>
      </c>
      <c r="B167" s="72">
        <v>46057</v>
      </c>
      <c r="C167" s="69" t="str">
        <v>PU thân</v>
      </c>
      <c r="D167" s="68">
        <v>4</v>
      </c>
      <c r="E167" s="66">
        <v>46057.291666666664</v>
      </c>
      <c r="F167" s="49">
        <v>46057.791666666664</v>
      </c>
      <c r="G167" s="49">
        <v>7.2916666666666671E-2</v>
      </c>
      <c r="H167" s="4">
        <v>0</v>
      </c>
      <c r="I167" s="4">
        <v>0</v>
      </c>
      <c r="J167" s="4">
        <v>0</v>
      </c>
      <c r="K167" s="5">
        <v>10.25</v>
      </c>
      <c r="L167" s="5">
        <v>12</v>
      </c>
      <c r="M167" s="5">
        <v>41</v>
      </c>
      <c r="N167" s="5">
        <v>48</v>
      </c>
      <c r="O167" s="6">
        <v>381</v>
      </c>
      <c r="P167" s="7">
        <v>0.10761154855643044</v>
      </c>
      <c r="Q167" s="7">
        <v>0.12598425196850394</v>
      </c>
      <c r="R167" s="7">
        <v>7.9375</v>
      </c>
    </row>
    <row r="168" spans="1:18" ht="15.6" x14ac:dyDescent="0.3">
      <c r="A168">
        <v>159</v>
      </c>
      <c r="B168" s="72">
        <v>46057</v>
      </c>
      <c r="C168" s="69" t="str">
        <v>SPU</v>
      </c>
      <c r="D168" s="68">
        <v>20</v>
      </c>
      <c r="E168" s="66">
        <v>46057.291666666664</v>
      </c>
      <c r="F168" s="49">
        <v>46057.791666666664</v>
      </c>
      <c r="G168" s="49">
        <v>7.2916666666666671E-2</v>
      </c>
      <c r="H168" s="4">
        <v>5.347222222222222E-2</v>
      </c>
      <c r="I168" s="4">
        <v>0</v>
      </c>
      <c r="J168" s="4">
        <v>0</v>
      </c>
      <c r="K168" s="5">
        <v>8.9666666666666668</v>
      </c>
      <c r="L168" s="5">
        <v>12</v>
      </c>
      <c r="M168" s="5">
        <v>179.33333333333334</v>
      </c>
      <c r="N168" s="5">
        <v>240</v>
      </c>
      <c r="O168" s="6">
        <v>423</v>
      </c>
      <c r="P168" s="7">
        <v>0.4239558707643814</v>
      </c>
      <c r="Q168" s="7">
        <v>0.56737588652482274</v>
      </c>
      <c r="R168" s="7">
        <v>1.7625</v>
      </c>
    </row>
    <row r="169" spans="1:18" ht="15.6" x14ac:dyDescent="0.3">
      <c r="A169">
        <v>160</v>
      </c>
      <c r="B169" s="71">
        <v>46057</v>
      </c>
      <c r="C169" s="69" t="str">
        <v>HT</v>
      </c>
      <c r="D169" s="68">
        <v>15</v>
      </c>
      <c r="E169" s="66">
        <v>46057.291666666664</v>
      </c>
      <c r="F169" s="49">
        <v>46057.875</v>
      </c>
      <c r="G169" s="49">
        <v>7.2916666666666671E-2</v>
      </c>
      <c r="H169" s="4">
        <v>0</v>
      </c>
      <c r="I169" s="4">
        <v>0</v>
      </c>
      <c r="J169" s="4">
        <v>0</v>
      </c>
      <c r="K169" s="5">
        <v>12.25</v>
      </c>
      <c r="L169" s="5">
        <v>14</v>
      </c>
      <c r="M169" s="5">
        <v>183.75</v>
      </c>
      <c r="N169" s="5">
        <v>210</v>
      </c>
      <c r="O169" s="6">
        <v>486</v>
      </c>
      <c r="P169" s="7">
        <v>0.37808641975308643</v>
      </c>
      <c r="Q169" s="7">
        <v>0.43209876543209874</v>
      </c>
      <c r="R169" s="7">
        <v>2.3142857142857145</v>
      </c>
    </row>
    <row r="170" spans="1:18" ht="15.6" x14ac:dyDescent="0.3">
      <c r="A170">
        <v>161</v>
      </c>
      <c r="B170" s="71">
        <v>46058</v>
      </c>
      <c r="C170" s="69" t="str">
        <v>TLR</v>
      </c>
      <c r="D170" s="68">
        <v>18</v>
      </c>
      <c r="E170" s="66">
        <v>46058.291666666664</v>
      </c>
      <c r="F170" s="49">
        <v>46058.791666666664</v>
      </c>
      <c r="G170" s="49">
        <v>7.2916666666666671E-2</v>
      </c>
      <c r="H170" s="4">
        <v>0</v>
      </c>
      <c r="I170" s="4">
        <v>0</v>
      </c>
      <c r="J170" s="4">
        <v>0</v>
      </c>
      <c r="K170" s="5">
        <v>10.25</v>
      </c>
      <c r="L170" s="5">
        <v>12</v>
      </c>
      <c r="M170" s="5">
        <v>184.5</v>
      </c>
      <c r="N170" s="5">
        <v>216</v>
      </c>
      <c r="O170" s="6">
        <v>395</v>
      </c>
      <c r="P170" s="7">
        <v>0.4670886075949367</v>
      </c>
      <c r="Q170" s="7">
        <v>0.54683544303797471</v>
      </c>
      <c r="R170" s="7">
        <v>1.8287037037037037</v>
      </c>
    </row>
    <row r="171" spans="1:18" ht="15.6" x14ac:dyDescent="0.3">
      <c r="A171">
        <v>162</v>
      </c>
      <c r="B171" s="71">
        <v>46058</v>
      </c>
      <c r="C171" s="69" t="str">
        <v>PU thân</v>
      </c>
      <c r="D171" s="68">
        <v>5</v>
      </c>
      <c r="E171" s="66">
        <v>46058.291666666664</v>
      </c>
      <c r="F171" s="49">
        <v>46058.791666666664</v>
      </c>
      <c r="G171" s="49">
        <v>7.2916666666666671E-2</v>
      </c>
      <c r="H171" s="4">
        <v>0</v>
      </c>
      <c r="I171" s="4">
        <v>0</v>
      </c>
      <c r="J171" s="4">
        <v>0</v>
      </c>
      <c r="K171" s="5">
        <v>10.25</v>
      </c>
      <c r="L171" s="5">
        <v>12</v>
      </c>
      <c r="M171" s="5">
        <v>51.25</v>
      </c>
      <c r="N171" s="5">
        <v>60</v>
      </c>
      <c r="O171" s="6">
        <v>442</v>
      </c>
      <c r="P171" s="7">
        <v>0.1159502262443439</v>
      </c>
      <c r="Q171" s="7">
        <v>0.13574660633484162</v>
      </c>
      <c r="R171" s="7">
        <v>7.3666666666666671</v>
      </c>
    </row>
    <row r="172" spans="1:18" ht="15.6" x14ac:dyDescent="0.3">
      <c r="A172">
        <v>163</v>
      </c>
      <c r="B172" s="71">
        <v>46058</v>
      </c>
      <c r="C172" s="69" t="str">
        <v>SPU</v>
      </c>
      <c r="D172" s="68">
        <v>20</v>
      </c>
      <c r="E172" s="66">
        <v>46058.291666666664</v>
      </c>
      <c r="F172" s="49">
        <v>46058.791666666664</v>
      </c>
      <c r="G172" s="49">
        <v>7.2916666666666671E-2</v>
      </c>
      <c r="H172" s="4">
        <v>0</v>
      </c>
      <c r="I172" s="4">
        <v>0</v>
      </c>
      <c r="J172" s="4">
        <v>0</v>
      </c>
      <c r="K172" s="5">
        <v>10.25</v>
      </c>
      <c r="L172" s="5">
        <v>12</v>
      </c>
      <c r="M172" s="5">
        <v>205</v>
      </c>
      <c r="N172" s="5">
        <v>240</v>
      </c>
      <c r="O172" s="6">
        <v>406</v>
      </c>
      <c r="P172" s="7">
        <v>0.50492610837438423</v>
      </c>
      <c r="Q172" s="7">
        <v>0.59113300492610843</v>
      </c>
      <c r="R172" s="7">
        <v>1.6916666666666664</v>
      </c>
    </row>
    <row r="173" spans="1:18" ht="15.6" x14ac:dyDescent="0.3">
      <c r="A173">
        <v>164</v>
      </c>
      <c r="B173" s="72">
        <v>46058</v>
      </c>
      <c r="C173" s="69" t="str">
        <v>HT</v>
      </c>
      <c r="D173" s="68">
        <v>0</v>
      </c>
      <c r="E173" s="66">
        <v>46058.291666666664</v>
      </c>
      <c r="F173" s="49">
        <v>46058.875</v>
      </c>
      <c r="G173" s="49">
        <v>7.2916666666666671E-2</v>
      </c>
      <c r="H173" s="4">
        <v>0</v>
      </c>
      <c r="I173" s="4">
        <v>0</v>
      </c>
      <c r="J173" s="4">
        <v>0</v>
      </c>
      <c r="K173" s="5">
        <v>12.25</v>
      </c>
      <c r="L173" s="5">
        <v>14</v>
      </c>
      <c r="M173" s="5">
        <v>0</v>
      </c>
      <c r="N173" s="5">
        <v>0</v>
      </c>
      <c r="O173" s="6">
        <v>417</v>
      </c>
      <c r="P173" s="7">
        <v>0</v>
      </c>
      <c r="Q173" s="7">
        <v>0</v>
      </c>
      <c r="R173" s="7" t="e">
        <v>#NUM!</v>
      </c>
    </row>
    <row r="174" spans="1:18" ht="15.6" x14ac:dyDescent="0.3">
      <c r="A174">
        <v>165</v>
      </c>
      <c r="B174" s="72">
        <v>46023</v>
      </c>
      <c r="C174" s="69" t="str">
        <v>TLR</v>
      </c>
      <c r="D174" s="68">
        <v>91</v>
      </c>
      <c r="E174" s="66">
        <v>46023.291666666664</v>
      </c>
      <c r="F174" s="49">
        <v>46024.291666666664</v>
      </c>
      <c r="G174" s="49">
        <v>0.14583333333333334</v>
      </c>
      <c r="H174" s="4">
        <v>0</v>
      </c>
      <c r="I174" s="4">
        <v>0</v>
      </c>
      <c r="J174" s="4">
        <v>0</v>
      </c>
      <c r="K174" s="5">
        <v>20.5</v>
      </c>
      <c r="L174" s="5">
        <v>24</v>
      </c>
      <c r="M174" s="5">
        <v>1865.5</v>
      </c>
      <c r="N174" s="5">
        <v>2184</v>
      </c>
      <c r="O174" s="6">
        <v>1202</v>
      </c>
      <c r="P174" s="7">
        <v>1.5519966722129783</v>
      </c>
      <c r="Q174" s="7">
        <v>1.8169717138103161</v>
      </c>
      <c r="R174" s="7">
        <v>0.55036630036630041</v>
      </c>
    </row>
    <row r="175" spans="1:18" ht="15.6" x14ac:dyDescent="0.3">
      <c r="A175">
        <v>166</v>
      </c>
      <c r="B175" s="72">
        <v>46023</v>
      </c>
      <c r="C175" s="69" t="str">
        <v>PU thân</v>
      </c>
      <c r="D175" s="68">
        <v>12</v>
      </c>
      <c r="E175" s="66">
        <v>46023.291666666664</v>
      </c>
      <c r="F175" s="49">
        <v>46024.291666666664</v>
      </c>
      <c r="G175" s="49">
        <v>0.14583333333333334</v>
      </c>
      <c r="H175" s="4">
        <v>0.14583333333333334</v>
      </c>
      <c r="I175" s="4">
        <v>0</v>
      </c>
      <c r="J175" s="4">
        <v>0.16666666666666666</v>
      </c>
      <c r="K175" s="5">
        <v>17</v>
      </c>
      <c r="L175" s="5">
        <v>24</v>
      </c>
      <c r="M175" s="5">
        <v>204</v>
      </c>
      <c r="N175" s="5">
        <v>288</v>
      </c>
      <c r="O175" s="6">
        <v>1109</v>
      </c>
      <c r="P175" s="7">
        <v>0.18394950405770966</v>
      </c>
      <c r="Q175" s="7">
        <v>0.25969341749323716</v>
      </c>
      <c r="R175" s="7">
        <v>3.8506944444444442</v>
      </c>
    </row>
    <row r="176" spans="1:18" ht="15.6" x14ac:dyDescent="0.3">
      <c r="A176">
        <v>167</v>
      </c>
      <c r="B176" s="72">
        <v>46023</v>
      </c>
      <c r="C176" s="69" t="str">
        <v>SPU</v>
      </c>
      <c r="D176" s="68">
        <v>74</v>
      </c>
      <c r="E176" s="66">
        <v>46023.291666666664</v>
      </c>
      <c r="F176" s="49">
        <v>46024.291666666664</v>
      </c>
      <c r="G176" s="49">
        <v>0.14583333333333334</v>
      </c>
      <c r="H176" s="4">
        <v>3.125E-2</v>
      </c>
      <c r="I176" s="4">
        <v>0</v>
      </c>
      <c r="J176" s="4">
        <v>0</v>
      </c>
      <c r="K176" s="5">
        <v>19.75</v>
      </c>
      <c r="L176" s="5">
        <v>24</v>
      </c>
      <c r="M176" s="5">
        <v>1461.5</v>
      </c>
      <c r="N176" s="5">
        <v>1776</v>
      </c>
      <c r="O176" s="6">
        <v>1055</v>
      </c>
      <c r="P176" s="7">
        <v>1.385308056872038</v>
      </c>
      <c r="Q176" s="7">
        <v>1.6834123222748816</v>
      </c>
      <c r="R176" s="7">
        <v>0.59403153153153154</v>
      </c>
    </row>
    <row r="177" spans="1:18" ht="15.6" x14ac:dyDescent="0.3">
      <c r="A177">
        <v>168</v>
      </c>
      <c r="B177" s="71">
        <v>46023</v>
      </c>
      <c r="C177" s="69" t="str">
        <v>HT</v>
      </c>
      <c r="D177" s="68">
        <v>67</v>
      </c>
      <c r="E177" s="66">
        <v>46023.291666666664</v>
      </c>
      <c r="F177" s="49">
        <v>46024.291666666664</v>
      </c>
      <c r="G177" s="49">
        <v>0.14583333333333334</v>
      </c>
      <c r="H177" s="4">
        <v>0</v>
      </c>
      <c r="I177" s="4">
        <v>0</v>
      </c>
      <c r="J177" s="4">
        <v>0</v>
      </c>
      <c r="K177" s="5">
        <v>20.5</v>
      </c>
      <c r="L177" s="5">
        <v>24</v>
      </c>
      <c r="M177" s="5">
        <v>1373.5</v>
      </c>
      <c r="N177" s="5">
        <v>1608</v>
      </c>
      <c r="O177" s="6">
        <v>947</v>
      </c>
      <c r="P177" s="7">
        <v>1.4503695881731784</v>
      </c>
      <c r="Q177" s="7">
        <v>1.6979936642027456</v>
      </c>
      <c r="R177" s="7">
        <v>0.58893034825870649</v>
      </c>
    </row>
    <row r="178" spans="1:18" ht="15.6" x14ac:dyDescent="0.3">
      <c r="A178">
        <v>169</v>
      </c>
      <c r="B178" s="71">
        <v>46024</v>
      </c>
      <c r="C178" s="69" t="str">
        <v>TLR</v>
      </c>
      <c r="D178" s="68">
        <v>57</v>
      </c>
      <c r="E178" s="66">
        <v>46024.291666666664</v>
      </c>
      <c r="F178" s="49">
        <v>46024.791666666664</v>
      </c>
      <c r="G178" s="49">
        <v>7.2916666666666671E-2</v>
      </c>
      <c r="H178" s="4">
        <v>0</v>
      </c>
      <c r="I178" s="4">
        <v>0</v>
      </c>
      <c r="J178" s="4">
        <v>2.0833333333333332E-2</v>
      </c>
      <c r="K178" s="5">
        <v>10.25</v>
      </c>
      <c r="L178" s="5">
        <v>12</v>
      </c>
      <c r="M178" s="5">
        <v>584.25</v>
      </c>
      <c r="N178" s="5">
        <v>684</v>
      </c>
      <c r="O178" s="6">
        <v>1033</v>
      </c>
      <c r="P178" s="7">
        <v>0.56558567279767669</v>
      </c>
      <c r="Q178" s="7">
        <v>0.66214908034849951</v>
      </c>
      <c r="R178" s="7">
        <v>1.510233918128655</v>
      </c>
    </row>
    <row r="179" spans="1:18" ht="15.6" x14ac:dyDescent="0.3">
      <c r="A179">
        <v>170</v>
      </c>
      <c r="B179" s="71">
        <v>46024</v>
      </c>
      <c r="C179" s="69" t="str">
        <v>PU thân</v>
      </c>
      <c r="D179" s="68">
        <v>12</v>
      </c>
      <c r="E179" s="66">
        <v>46024.291666666664</v>
      </c>
      <c r="F179" s="49">
        <v>46025.291666666664</v>
      </c>
      <c r="G179" s="49">
        <v>0.14583333333333334</v>
      </c>
      <c r="H179" s="4">
        <v>0.1388888888888889</v>
      </c>
      <c r="I179" s="4">
        <v>0</v>
      </c>
      <c r="J179" s="4">
        <v>0.34027777777777779</v>
      </c>
      <c r="K179" s="5">
        <v>17.166666666666668</v>
      </c>
      <c r="L179" s="5">
        <v>24</v>
      </c>
      <c r="M179" s="5">
        <v>206</v>
      </c>
      <c r="N179" s="5">
        <v>288</v>
      </c>
      <c r="O179" s="6">
        <v>881</v>
      </c>
      <c r="P179" s="7">
        <v>0.23382519863791146</v>
      </c>
      <c r="Q179" s="7">
        <v>0.32690124858115777</v>
      </c>
      <c r="R179" s="7">
        <v>3.0590277777777777</v>
      </c>
    </row>
    <row r="180" spans="1:18" ht="15.6" x14ac:dyDescent="0.3">
      <c r="A180">
        <v>171</v>
      </c>
      <c r="B180" s="71">
        <v>46024</v>
      </c>
      <c r="C180" s="69" t="str">
        <v>SPU</v>
      </c>
      <c r="D180" s="68">
        <v>74</v>
      </c>
      <c r="E180" s="66">
        <v>46024.291666666664</v>
      </c>
      <c r="F180" s="49">
        <v>46025.291666666664</v>
      </c>
      <c r="G180" s="49">
        <v>0.14583333333333334</v>
      </c>
      <c r="H180" s="4">
        <v>0.11458333333333333</v>
      </c>
      <c r="I180" s="4">
        <v>0</v>
      </c>
      <c r="J180" s="4">
        <v>0</v>
      </c>
      <c r="K180" s="5">
        <v>17.75</v>
      </c>
      <c r="L180" s="5">
        <v>24</v>
      </c>
      <c r="M180" s="5">
        <v>1313.5</v>
      </c>
      <c r="N180" s="5">
        <v>1776</v>
      </c>
      <c r="O180" s="6">
        <v>1033</v>
      </c>
      <c r="P180" s="7">
        <v>1.2715392061955471</v>
      </c>
      <c r="Q180" s="7">
        <v>1.7192642787996129</v>
      </c>
      <c r="R180" s="7">
        <v>0.58164414414414412</v>
      </c>
    </row>
    <row r="181" spans="1:18" ht="15.6" x14ac:dyDescent="0.3">
      <c r="A181">
        <v>172</v>
      </c>
      <c r="B181" s="72">
        <v>46024</v>
      </c>
      <c r="C181" s="69" t="str">
        <v>HT</v>
      </c>
      <c r="D181" s="68">
        <v>72</v>
      </c>
      <c r="E181" s="66">
        <v>46024.291666666664</v>
      </c>
      <c r="F181" s="49">
        <v>46025.291666666664</v>
      </c>
      <c r="G181" s="49">
        <v>0.14583333333333334</v>
      </c>
      <c r="H181" s="4">
        <v>0.12152777777777778</v>
      </c>
      <c r="I181" s="4">
        <v>0</v>
      </c>
      <c r="J181" s="4">
        <v>0</v>
      </c>
      <c r="K181" s="5">
        <v>17.583333333333332</v>
      </c>
      <c r="L181" s="5">
        <v>24</v>
      </c>
      <c r="M181" s="5">
        <v>1266</v>
      </c>
      <c r="N181" s="5">
        <v>1728</v>
      </c>
      <c r="O181" s="6">
        <v>1002</v>
      </c>
      <c r="P181" s="7">
        <v>1.2634730538922156</v>
      </c>
      <c r="Q181" s="7">
        <v>1.7245508982035929</v>
      </c>
      <c r="R181" s="7">
        <v>0.57986111111111105</v>
      </c>
    </row>
    <row r="182" spans="1:18" ht="15.6" x14ac:dyDescent="0.3">
      <c r="A182">
        <v>173</v>
      </c>
      <c r="B182" s="72">
        <v>46025</v>
      </c>
      <c r="C182" s="69" t="str">
        <v>TLR</v>
      </c>
      <c r="D182" s="68">
        <v>83</v>
      </c>
      <c r="E182" s="66">
        <v>46025.291666666664</v>
      </c>
      <c r="F182" s="49">
        <v>46026.291666666664</v>
      </c>
      <c r="G182" s="49">
        <v>0.14583333333333334</v>
      </c>
      <c r="H182" s="4">
        <v>0</v>
      </c>
      <c r="I182" s="4">
        <v>0</v>
      </c>
      <c r="J182" s="4">
        <v>1.3888888888888888E-2</v>
      </c>
      <c r="K182" s="5">
        <v>20.5</v>
      </c>
      <c r="L182" s="5">
        <v>24</v>
      </c>
      <c r="M182" s="5">
        <v>1701.5</v>
      </c>
      <c r="N182" s="5">
        <v>1992</v>
      </c>
      <c r="O182" s="6">
        <v>1015</v>
      </c>
      <c r="P182" s="7">
        <v>1.6763546798029556</v>
      </c>
      <c r="Q182" s="7">
        <v>1.9625615763546798</v>
      </c>
      <c r="R182" s="7">
        <v>0.50953815261044177</v>
      </c>
    </row>
    <row r="183" spans="1:18" ht="15.6" x14ac:dyDescent="0.3">
      <c r="A183">
        <v>174</v>
      </c>
      <c r="B183" s="72">
        <v>46025</v>
      </c>
      <c r="C183" s="69" t="str">
        <v>PU thân</v>
      </c>
      <c r="D183" s="68">
        <v>11</v>
      </c>
      <c r="E183" s="66">
        <v>46025.291666666664</v>
      </c>
      <c r="F183" s="49">
        <v>46026.291666666664</v>
      </c>
      <c r="G183" s="49">
        <v>0.14583333333333334</v>
      </c>
      <c r="H183" s="4">
        <v>0</v>
      </c>
      <c r="I183" s="4">
        <v>0</v>
      </c>
      <c r="J183" s="4">
        <v>0.29166666666666669</v>
      </c>
      <c r="K183" s="5">
        <v>20.5</v>
      </c>
      <c r="L183" s="5">
        <v>24</v>
      </c>
      <c r="M183" s="5">
        <v>225.5</v>
      </c>
      <c r="N183" s="5">
        <v>264</v>
      </c>
      <c r="O183" s="6">
        <v>1040</v>
      </c>
      <c r="P183" s="7">
        <v>0.21682692307692308</v>
      </c>
      <c r="Q183" s="7">
        <v>0.25384615384615383</v>
      </c>
      <c r="R183" s="7">
        <v>3.9393939393939394</v>
      </c>
    </row>
    <row r="184" spans="1:18" ht="15.6" x14ac:dyDescent="0.3">
      <c r="A184">
        <v>175</v>
      </c>
      <c r="B184" s="72">
        <v>46025</v>
      </c>
      <c r="C184" s="69" t="str">
        <v>SPU</v>
      </c>
      <c r="D184" s="68">
        <v>74</v>
      </c>
      <c r="E184" s="66">
        <v>46025.291666666664</v>
      </c>
      <c r="F184" s="49">
        <v>46026.291666666664</v>
      </c>
      <c r="G184" s="49">
        <v>0.14583333333333334</v>
      </c>
      <c r="H184" s="4">
        <v>0</v>
      </c>
      <c r="I184" s="4">
        <v>0</v>
      </c>
      <c r="J184" s="4">
        <v>0</v>
      </c>
      <c r="K184" s="5">
        <v>20.5</v>
      </c>
      <c r="L184" s="5">
        <v>24</v>
      </c>
      <c r="M184" s="5">
        <v>1517</v>
      </c>
      <c r="N184" s="5">
        <v>1776</v>
      </c>
      <c r="O184" s="6">
        <v>1142</v>
      </c>
      <c r="P184" s="7">
        <v>1.3283712784588442</v>
      </c>
      <c r="Q184" s="7">
        <v>1.5551663747810858</v>
      </c>
      <c r="R184" s="7">
        <v>0.64301801801801806</v>
      </c>
    </row>
    <row r="185" spans="1:18" ht="15.6" x14ac:dyDescent="0.3">
      <c r="A185">
        <v>176</v>
      </c>
      <c r="B185" s="71">
        <v>46025</v>
      </c>
      <c r="C185" s="69" t="str">
        <v>HT</v>
      </c>
      <c r="D185" s="68">
        <v>68</v>
      </c>
      <c r="E185" s="66">
        <v>46025.291666666664</v>
      </c>
      <c r="F185" s="49">
        <v>46026.291666666664</v>
      </c>
      <c r="G185" s="49">
        <v>0.14583333333333334</v>
      </c>
      <c r="H185" s="4">
        <v>9.7222222222222224E-2</v>
      </c>
      <c r="I185" s="4">
        <v>0</v>
      </c>
      <c r="J185" s="4">
        <v>0</v>
      </c>
      <c r="K185" s="5">
        <v>18.166666666666668</v>
      </c>
      <c r="L185" s="5">
        <v>24</v>
      </c>
      <c r="M185" s="5">
        <v>1235.3333333333335</v>
      </c>
      <c r="N185" s="5">
        <v>1632</v>
      </c>
      <c r="O185" s="6">
        <v>1112</v>
      </c>
      <c r="P185" s="7">
        <v>1.1109112709832136</v>
      </c>
      <c r="Q185" s="7">
        <v>1.4676258992805755</v>
      </c>
      <c r="R185" s="7">
        <v>0.68137254901960786</v>
      </c>
    </row>
    <row r="186" spans="1:18" ht="15.6" x14ac:dyDescent="0.3">
      <c r="A186">
        <v>177</v>
      </c>
      <c r="B186" s="71">
        <v>46026</v>
      </c>
      <c r="C186" s="69" t="str">
        <v>TLR</v>
      </c>
      <c r="D186" s="68">
        <v>34</v>
      </c>
      <c r="E186" s="66">
        <v>46026.291666666664</v>
      </c>
      <c r="F186" s="49">
        <v>46026.791666666664</v>
      </c>
      <c r="G186" s="49">
        <v>7.2916666666666671E-2</v>
      </c>
      <c r="H186" s="4">
        <v>0</v>
      </c>
      <c r="I186" s="4">
        <v>0</v>
      </c>
      <c r="J186" s="4">
        <v>0</v>
      </c>
      <c r="K186" s="5">
        <v>10.25</v>
      </c>
      <c r="L186" s="5">
        <v>12</v>
      </c>
      <c r="M186" s="5">
        <v>348.5</v>
      </c>
      <c r="N186" s="5">
        <v>408</v>
      </c>
      <c r="O186" s="6">
        <v>404</v>
      </c>
      <c r="P186" s="7">
        <v>0.86262376237623761</v>
      </c>
      <c r="Q186" s="7">
        <v>1.0099009900990099</v>
      </c>
      <c r="R186" s="7">
        <v>0.99019607843137258</v>
      </c>
    </row>
    <row r="187" spans="1:18" ht="15.6" x14ac:dyDescent="0.3">
      <c r="A187">
        <v>178</v>
      </c>
      <c r="B187" s="71">
        <v>46026</v>
      </c>
      <c r="C187" s="69" t="str">
        <v>PU thân</v>
      </c>
      <c r="D187" s="68">
        <v>6</v>
      </c>
      <c r="E187" s="66">
        <v>46026.291666666664</v>
      </c>
      <c r="F187" s="49">
        <v>46026.791666666664</v>
      </c>
      <c r="G187" s="49">
        <v>7.2916666666666671E-2</v>
      </c>
      <c r="H187" s="4">
        <v>0</v>
      </c>
      <c r="I187" s="4">
        <v>0</v>
      </c>
      <c r="J187" s="4">
        <v>0.1111111111111111</v>
      </c>
      <c r="K187" s="5">
        <v>10.25</v>
      </c>
      <c r="L187" s="5">
        <v>12</v>
      </c>
      <c r="M187" s="5">
        <v>61.5</v>
      </c>
      <c r="N187" s="5">
        <v>72</v>
      </c>
      <c r="O187" s="6">
        <v>335</v>
      </c>
      <c r="P187" s="7">
        <v>0.18358208955223881</v>
      </c>
      <c r="Q187" s="7">
        <v>0.21492537313432836</v>
      </c>
      <c r="R187" s="7">
        <v>4.6527777777777777</v>
      </c>
    </row>
    <row r="188" spans="1:18" ht="15.6" x14ac:dyDescent="0.3">
      <c r="A188">
        <v>179</v>
      </c>
      <c r="B188" s="71">
        <v>46026</v>
      </c>
      <c r="C188" s="69" t="str">
        <v>SPU</v>
      </c>
      <c r="D188" s="68">
        <v>35</v>
      </c>
      <c r="E188" s="66">
        <v>46026.291666666664</v>
      </c>
      <c r="F188" s="49">
        <v>46026.791666666664</v>
      </c>
      <c r="G188" s="49">
        <v>7.2916666666666671E-2</v>
      </c>
      <c r="H188" s="4">
        <v>7.2916666666666671E-2</v>
      </c>
      <c r="I188" s="4">
        <v>0</v>
      </c>
      <c r="J188" s="4">
        <v>0</v>
      </c>
      <c r="K188" s="5">
        <v>8.5</v>
      </c>
      <c r="L188" s="5">
        <v>12</v>
      </c>
      <c r="M188" s="5">
        <v>297.5</v>
      </c>
      <c r="N188" s="5">
        <v>420</v>
      </c>
      <c r="O188" s="6">
        <v>421</v>
      </c>
      <c r="P188" s="7">
        <v>0.70665083135391926</v>
      </c>
      <c r="Q188" s="7">
        <v>0.99762470308788598</v>
      </c>
      <c r="R188" s="7">
        <v>1.0023809523809524</v>
      </c>
    </row>
    <row r="189" spans="1:18" ht="15.6" x14ac:dyDescent="0.3">
      <c r="A189">
        <v>180</v>
      </c>
      <c r="B189" s="72">
        <v>46026</v>
      </c>
      <c r="C189" s="69" t="str">
        <v>HT</v>
      </c>
      <c r="D189" s="68">
        <v>34</v>
      </c>
      <c r="E189" s="66">
        <v>46026.291666666664</v>
      </c>
      <c r="F189" s="49">
        <v>46026.791666666664</v>
      </c>
      <c r="G189" s="49">
        <v>7.2916666666666671E-2</v>
      </c>
      <c r="H189" s="4">
        <v>0</v>
      </c>
      <c r="I189" s="4">
        <v>0</v>
      </c>
      <c r="J189" s="4">
        <v>0</v>
      </c>
      <c r="K189" s="5">
        <v>10.25</v>
      </c>
      <c r="L189" s="5">
        <v>12</v>
      </c>
      <c r="M189" s="5">
        <v>348.5</v>
      </c>
      <c r="N189" s="5">
        <v>408</v>
      </c>
      <c r="O189" s="6">
        <v>325</v>
      </c>
      <c r="P189" s="7">
        <v>1.0723076923076924</v>
      </c>
      <c r="Q189" s="7">
        <v>1.2553846153846153</v>
      </c>
      <c r="R189" s="7">
        <v>0.79656862745098045</v>
      </c>
    </row>
    <row r="190" spans="1:18" ht="15.6" x14ac:dyDescent="0.3">
      <c r="A190">
        <v>181</v>
      </c>
      <c r="B190" s="72">
        <v>46027</v>
      </c>
      <c r="C190" s="69" t="str">
        <v>TLR</v>
      </c>
      <c r="D190" s="68">
        <v>94</v>
      </c>
      <c r="E190" s="66">
        <v>46027.291666666664</v>
      </c>
      <c r="F190" s="49">
        <v>46028.291666666664</v>
      </c>
      <c r="G190" s="49">
        <v>0.14583333333333334</v>
      </c>
      <c r="H190" s="4">
        <v>0</v>
      </c>
      <c r="I190" s="4">
        <v>0</v>
      </c>
      <c r="J190" s="4">
        <v>0</v>
      </c>
      <c r="K190" s="5">
        <v>20.5</v>
      </c>
      <c r="L190" s="5">
        <v>24</v>
      </c>
      <c r="M190" s="5">
        <v>1927</v>
      </c>
      <c r="N190" s="5">
        <v>2256</v>
      </c>
      <c r="O190" s="6">
        <v>1137</v>
      </c>
      <c r="P190" s="7">
        <v>1.6948109058927001</v>
      </c>
      <c r="Q190" s="7">
        <v>1.9841688654353562</v>
      </c>
      <c r="R190" s="7">
        <v>0.50398936170212771</v>
      </c>
    </row>
    <row r="191" spans="1:18" ht="15.6" x14ac:dyDescent="0.3">
      <c r="A191">
        <v>182</v>
      </c>
      <c r="B191" s="72">
        <v>46027</v>
      </c>
      <c r="C191" s="69" t="str">
        <v>PU thân</v>
      </c>
      <c r="D191" s="68">
        <v>11</v>
      </c>
      <c r="E191" s="66">
        <v>46027.291666666664</v>
      </c>
      <c r="F191" s="49">
        <v>46028.291666666664</v>
      </c>
      <c r="G191" s="49">
        <v>0.14583333333333334</v>
      </c>
      <c r="H191" s="4">
        <v>0</v>
      </c>
      <c r="I191" s="4">
        <v>0</v>
      </c>
      <c r="J191" s="4">
        <v>0</v>
      </c>
      <c r="K191" s="5">
        <v>20.5</v>
      </c>
      <c r="L191" s="5">
        <v>24</v>
      </c>
      <c r="M191" s="5">
        <v>225.5</v>
      </c>
      <c r="N191" s="5">
        <v>264</v>
      </c>
      <c r="O191" s="6">
        <v>1212</v>
      </c>
      <c r="P191" s="7">
        <v>0.18605610561056105</v>
      </c>
      <c r="Q191" s="7">
        <v>0.21782178217821782</v>
      </c>
      <c r="R191" s="7">
        <v>4.5909090909090908</v>
      </c>
    </row>
    <row r="192" spans="1:18" ht="15.6" x14ac:dyDescent="0.3">
      <c r="A192">
        <v>183</v>
      </c>
      <c r="B192" s="72">
        <v>46027</v>
      </c>
      <c r="C192" s="69" t="str">
        <v>SPU</v>
      </c>
      <c r="D192" s="68">
        <v>76</v>
      </c>
      <c r="E192" s="66">
        <v>46027.291666666664</v>
      </c>
      <c r="F192" s="49">
        <v>46028.291666666664</v>
      </c>
      <c r="G192" s="49">
        <v>0.14583333333333334</v>
      </c>
      <c r="H192" s="4">
        <v>0.18055555555555555</v>
      </c>
      <c r="I192" s="4">
        <v>0</v>
      </c>
      <c r="J192" s="4">
        <v>0</v>
      </c>
      <c r="K192" s="5">
        <v>16.166666666666668</v>
      </c>
      <c r="L192" s="5">
        <v>24</v>
      </c>
      <c r="M192" s="5">
        <v>1228.6666666666667</v>
      </c>
      <c r="N192" s="5">
        <v>1824</v>
      </c>
      <c r="O192" s="6">
        <v>1016</v>
      </c>
      <c r="P192" s="7">
        <v>1.2093175853018374</v>
      </c>
      <c r="Q192" s="7">
        <v>1.795275590551181</v>
      </c>
      <c r="R192" s="7">
        <v>0.55701754385964919</v>
      </c>
    </row>
    <row r="193" spans="1:18" ht="15.6" x14ac:dyDescent="0.3">
      <c r="A193">
        <v>184</v>
      </c>
      <c r="B193" s="71">
        <v>46027</v>
      </c>
      <c r="C193" s="69" t="str">
        <v>HT</v>
      </c>
      <c r="D193" s="68">
        <v>74</v>
      </c>
      <c r="E193" s="66">
        <v>46027.291666666664</v>
      </c>
      <c r="F193" s="49">
        <v>46028.291666666664</v>
      </c>
      <c r="G193" s="49">
        <v>0.14583333333333334</v>
      </c>
      <c r="H193" s="4">
        <v>0</v>
      </c>
      <c r="I193" s="4">
        <v>0</v>
      </c>
      <c r="J193" s="4">
        <v>0</v>
      </c>
      <c r="K193" s="5">
        <v>20.5</v>
      </c>
      <c r="L193" s="5">
        <v>24</v>
      </c>
      <c r="M193" s="5">
        <v>1517</v>
      </c>
      <c r="N193" s="5">
        <v>1776</v>
      </c>
      <c r="O193" s="6">
        <v>1047</v>
      </c>
      <c r="P193" s="7">
        <v>1.448901623686724</v>
      </c>
      <c r="Q193" s="7">
        <v>1.6962750716332378</v>
      </c>
      <c r="R193" s="7">
        <v>0.58952702702702708</v>
      </c>
    </row>
    <row r="194" spans="1:18" ht="15.6" x14ac:dyDescent="0.3">
      <c r="A194">
        <v>185</v>
      </c>
      <c r="B194" s="71">
        <v>46028</v>
      </c>
      <c r="C194" s="69" t="str">
        <v>TLR</v>
      </c>
      <c r="D194" s="68">
        <v>93</v>
      </c>
      <c r="E194" s="66">
        <v>46028.291666666664</v>
      </c>
      <c r="F194" s="49">
        <v>46029.291666666664</v>
      </c>
      <c r="G194" s="49">
        <v>0.14583333333333334</v>
      </c>
      <c r="H194" s="4">
        <v>0</v>
      </c>
      <c r="I194" s="4">
        <v>0</v>
      </c>
      <c r="J194" s="4">
        <v>0</v>
      </c>
      <c r="K194" s="5">
        <v>20.5</v>
      </c>
      <c r="L194" s="5">
        <v>24</v>
      </c>
      <c r="M194" s="5">
        <v>1906.5</v>
      </c>
      <c r="N194" s="5">
        <v>2232</v>
      </c>
      <c r="O194" s="6">
        <v>1139</v>
      </c>
      <c r="P194" s="7">
        <v>1.6738366988586479</v>
      </c>
      <c r="Q194" s="7">
        <v>1.9596136962247586</v>
      </c>
      <c r="R194" s="7">
        <v>0.51030465949820791</v>
      </c>
    </row>
    <row r="195" spans="1:18" ht="15.6" x14ac:dyDescent="0.3">
      <c r="A195">
        <v>186</v>
      </c>
      <c r="B195" s="71">
        <v>46028</v>
      </c>
      <c r="C195" s="69" t="str">
        <v>PU thân</v>
      </c>
      <c r="D195" s="68">
        <v>12</v>
      </c>
      <c r="E195" s="66">
        <v>46028.291666666664</v>
      </c>
      <c r="F195" s="49">
        <v>46029.291666666664</v>
      </c>
      <c r="G195" s="49">
        <v>0.14583333333333334</v>
      </c>
      <c r="H195" s="4">
        <v>4.1666666666666664E-2</v>
      </c>
      <c r="I195" s="4">
        <v>0</v>
      </c>
      <c r="J195" s="4">
        <v>0</v>
      </c>
      <c r="K195" s="5">
        <v>19.5</v>
      </c>
      <c r="L195" s="5">
        <v>24</v>
      </c>
      <c r="M195" s="5">
        <v>234</v>
      </c>
      <c r="N195" s="5">
        <v>288</v>
      </c>
      <c r="O195" s="6">
        <v>1132</v>
      </c>
      <c r="P195" s="7">
        <v>0.20671378091872791</v>
      </c>
      <c r="Q195" s="7">
        <v>0.25441696113074203</v>
      </c>
      <c r="R195" s="7">
        <v>3.9305555555555558</v>
      </c>
    </row>
    <row r="196" spans="1:18" ht="15.6" x14ac:dyDescent="0.3">
      <c r="A196">
        <v>187</v>
      </c>
      <c r="B196" s="71">
        <v>46028</v>
      </c>
      <c r="C196" s="69" t="str">
        <v>SPU</v>
      </c>
      <c r="D196" s="68">
        <v>79</v>
      </c>
      <c r="E196" s="66">
        <v>46028.291666666664</v>
      </c>
      <c r="F196" s="49">
        <v>46029.291666666664</v>
      </c>
      <c r="G196" s="49">
        <v>0.14583333333333334</v>
      </c>
      <c r="H196" s="4">
        <v>6.9444444444444448E-2</v>
      </c>
      <c r="I196" s="4">
        <v>0</v>
      </c>
      <c r="J196" s="4">
        <v>0</v>
      </c>
      <c r="K196" s="5">
        <v>18.833333333333332</v>
      </c>
      <c r="L196" s="5">
        <v>24</v>
      </c>
      <c r="M196" s="5">
        <v>1487.8333333333333</v>
      </c>
      <c r="N196" s="5">
        <v>1896</v>
      </c>
      <c r="O196" s="6">
        <v>1117</v>
      </c>
      <c r="P196" s="7">
        <v>1.3319904506117577</v>
      </c>
      <c r="Q196" s="7">
        <v>1.6974037600716203</v>
      </c>
      <c r="R196" s="7">
        <v>0.58913502109704641</v>
      </c>
    </row>
    <row r="197" spans="1:18" ht="15.6" x14ac:dyDescent="0.3">
      <c r="A197">
        <v>188</v>
      </c>
      <c r="B197" s="72">
        <v>46028</v>
      </c>
      <c r="C197" s="69" t="str">
        <v>HT</v>
      </c>
      <c r="D197" s="68">
        <v>82</v>
      </c>
      <c r="E197" s="66">
        <v>46028.291666666664</v>
      </c>
      <c r="F197" s="49">
        <v>46029.291666666664</v>
      </c>
      <c r="G197" s="49">
        <v>0.14583333333333334</v>
      </c>
      <c r="H197" s="4">
        <v>0</v>
      </c>
      <c r="I197" s="4">
        <v>0</v>
      </c>
      <c r="J197" s="4">
        <v>5.5555555555555552E-2</v>
      </c>
      <c r="K197" s="5">
        <v>20.5</v>
      </c>
      <c r="L197" s="5">
        <v>24</v>
      </c>
      <c r="M197" s="5">
        <v>1681</v>
      </c>
      <c r="N197" s="5">
        <v>1968</v>
      </c>
      <c r="O197" s="6">
        <v>1131</v>
      </c>
      <c r="P197" s="7">
        <v>1.4862953138815207</v>
      </c>
      <c r="Q197" s="7">
        <v>1.7400530503978779</v>
      </c>
      <c r="R197" s="7">
        <v>0.57469512195121952</v>
      </c>
    </row>
    <row r="198" spans="1:18" ht="15.6" x14ac:dyDescent="0.3">
      <c r="A198">
        <v>189</v>
      </c>
      <c r="B198" s="72">
        <v>46029</v>
      </c>
      <c r="C198" s="69" t="str">
        <v>TLR</v>
      </c>
      <c r="D198" s="68">
        <v>92</v>
      </c>
      <c r="E198" s="66">
        <v>46029.291666666664</v>
      </c>
      <c r="F198" s="49">
        <v>46030.291666666664</v>
      </c>
      <c r="G198" s="49">
        <v>0.14583333333333334</v>
      </c>
      <c r="H198" s="4">
        <v>0</v>
      </c>
      <c r="I198" s="4">
        <v>0</v>
      </c>
      <c r="J198" s="4">
        <v>0</v>
      </c>
      <c r="K198" s="5">
        <v>20.5</v>
      </c>
      <c r="L198" s="5">
        <v>24</v>
      </c>
      <c r="M198" s="5">
        <v>1886</v>
      </c>
      <c r="N198" s="5">
        <v>2208</v>
      </c>
      <c r="O198" s="6">
        <v>1138</v>
      </c>
      <c r="P198" s="7">
        <v>1.6572934973637961</v>
      </c>
      <c r="Q198" s="7">
        <v>1.9402460456942003</v>
      </c>
      <c r="R198" s="7">
        <v>0.51539855072463769</v>
      </c>
    </row>
    <row r="199" spans="1:18" ht="15.6" x14ac:dyDescent="0.3">
      <c r="A199">
        <v>190</v>
      </c>
      <c r="B199" s="72">
        <v>46029</v>
      </c>
      <c r="C199" s="69" t="str">
        <v>PU thân</v>
      </c>
      <c r="D199" s="68">
        <v>11</v>
      </c>
      <c r="E199" s="66">
        <v>46029.291666666664</v>
      </c>
      <c r="F199" s="49">
        <v>46030.291666666664</v>
      </c>
      <c r="G199" s="49">
        <v>0.14583333333333334</v>
      </c>
      <c r="H199" s="4">
        <v>4.8611111111111112E-2</v>
      </c>
      <c r="I199" s="4">
        <v>0</v>
      </c>
      <c r="J199" s="4">
        <v>0</v>
      </c>
      <c r="K199" s="5">
        <v>19.333333333333332</v>
      </c>
      <c r="L199" s="5">
        <v>24</v>
      </c>
      <c r="M199" s="5">
        <v>212.66666666666666</v>
      </c>
      <c r="N199" s="5">
        <v>264</v>
      </c>
      <c r="O199" s="6">
        <v>1132</v>
      </c>
      <c r="P199" s="7">
        <v>0.18786808009422851</v>
      </c>
      <c r="Q199" s="7">
        <v>0.2332155477031802</v>
      </c>
      <c r="R199" s="7">
        <v>4.2878787878787881</v>
      </c>
    </row>
    <row r="200" spans="1:18" ht="15.6" x14ac:dyDescent="0.3">
      <c r="A200">
        <v>191</v>
      </c>
      <c r="B200" s="72">
        <v>46029</v>
      </c>
      <c r="C200" s="69" t="str">
        <v>SPU</v>
      </c>
      <c r="D200" s="68">
        <v>79</v>
      </c>
      <c r="E200" s="66">
        <v>46029.291666666664</v>
      </c>
      <c r="F200" s="49">
        <v>46030.291666666664</v>
      </c>
      <c r="G200" s="49">
        <v>0.14583333333333334</v>
      </c>
      <c r="H200" s="4">
        <v>4.1666666666666664E-2</v>
      </c>
      <c r="I200" s="4">
        <v>0</v>
      </c>
      <c r="J200" s="4">
        <v>0</v>
      </c>
      <c r="K200" s="5">
        <v>19.5</v>
      </c>
      <c r="L200" s="5">
        <v>24</v>
      </c>
      <c r="M200" s="5">
        <v>1540.5</v>
      </c>
      <c r="N200" s="5">
        <v>1896</v>
      </c>
      <c r="O200" s="6">
        <v>1126</v>
      </c>
      <c r="P200" s="7">
        <v>1.3681172291296626</v>
      </c>
      <c r="Q200" s="7">
        <v>1.6838365896980463</v>
      </c>
      <c r="R200" s="7">
        <v>0.59388185654008441</v>
      </c>
    </row>
    <row r="201" spans="1:18" ht="15.6" x14ac:dyDescent="0.3">
      <c r="A201">
        <v>192</v>
      </c>
      <c r="B201" s="71">
        <v>46029</v>
      </c>
      <c r="C201" s="69" t="str">
        <v>HT</v>
      </c>
      <c r="D201" s="68">
        <v>75</v>
      </c>
      <c r="E201" s="66">
        <v>46029.291666666664</v>
      </c>
      <c r="F201" s="49">
        <v>46030.291666666664</v>
      </c>
      <c r="G201" s="49">
        <v>0.14583333333333334</v>
      </c>
      <c r="H201" s="4">
        <v>0</v>
      </c>
      <c r="I201" s="4">
        <v>0</v>
      </c>
      <c r="J201" s="4">
        <v>0</v>
      </c>
      <c r="K201" s="5">
        <v>20.5</v>
      </c>
      <c r="L201" s="5">
        <v>24</v>
      </c>
      <c r="M201" s="5">
        <v>1537.5</v>
      </c>
      <c r="N201" s="5">
        <v>1800</v>
      </c>
      <c r="O201" s="6">
        <v>1214</v>
      </c>
      <c r="P201" s="7">
        <v>1.2664744645799011</v>
      </c>
      <c r="Q201" s="7">
        <v>1.4827018121911038</v>
      </c>
      <c r="R201" s="7">
        <v>0.67444444444444451</v>
      </c>
    </row>
    <row r="202" spans="1:18" ht="15.6" x14ac:dyDescent="0.3">
      <c r="A202">
        <v>193</v>
      </c>
      <c r="B202" s="71">
        <v>46030</v>
      </c>
      <c r="C202" s="69" t="str">
        <v>TLR</v>
      </c>
      <c r="D202" s="68">
        <v>93</v>
      </c>
      <c r="E202" s="66">
        <v>46030.291666666664</v>
      </c>
      <c r="F202" s="49">
        <v>46031.291666666664</v>
      </c>
      <c r="G202" s="49">
        <v>0.14583333333333334</v>
      </c>
      <c r="H202" s="4">
        <v>0</v>
      </c>
      <c r="I202" s="4">
        <v>0</v>
      </c>
      <c r="J202" s="4">
        <v>0</v>
      </c>
      <c r="K202" s="5">
        <v>20.5</v>
      </c>
      <c r="L202" s="5">
        <v>24</v>
      </c>
      <c r="M202" s="5">
        <v>1906.5</v>
      </c>
      <c r="N202" s="5">
        <v>2232</v>
      </c>
      <c r="O202" s="6">
        <v>1055</v>
      </c>
      <c r="P202" s="7">
        <v>1.8071090047393366</v>
      </c>
      <c r="Q202" s="7">
        <v>2.1156398104265404</v>
      </c>
      <c r="R202" s="7">
        <v>0.47267025089605735</v>
      </c>
    </row>
    <row r="203" spans="1:18" ht="15.6" x14ac:dyDescent="0.3">
      <c r="A203">
        <v>194</v>
      </c>
      <c r="B203" s="71">
        <v>46030</v>
      </c>
      <c r="C203" s="69" t="str">
        <v>PU thân</v>
      </c>
      <c r="D203" s="68">
        <v>12</v>
      </c>
      <c r="E203" s="66">
        <v>46030.291666666664</v>
      </c>
      <c r="F203" s="49">
        <v>46031.291666666664</v>
      </c>
      <c r="G203" s="49">
        <v>0.14583333333333334</v>
      </c>
      <c r="H203" s="4">
        <v>0.2361111111111111</v>
      </c>
      <c r="I203" s="4">
        <v>0</v>
      </c>
      <c r="J203" s="4">
        <v>0</v>
      </c>
      <c r="K203" s="5">
        <v>14.833333333333334</v>
      </c>
      <c r="L203" s="5">
        <v>24</v>
      </c>
      <c r="M203" s="5">
        <v>178</v>
      </c>
      <c r="N203" s="5">
        <v>288</v>
      </c>
      <c r="O203" s="6">
        <v>941</v>
      </c>
      <c r="P203" s="7">
        <v>0.18916046758767269</v>
      </c>
      <c r="Q203" s="7">
        <v>0.30605738575982999</v>
      </c>
      <c r="R203" s="7">
        <v>3.2673611111111107</v>
      </c>
    </row>
    <row r="204" spans="1:18" ht="15.6" x14ac:dyDescent="0.3">
      <c r="A204">
        <v>195</v>
      </c>
      <c r="B204" s="71">
        <v>46030</v>
      </c>
      <c r="C204" s="69" t="str">
        <v>SPU</v>
      </c>
      <c r="D204" s="68">
        <v>76</v>
      </c>
      <c r="E204" s="66">
        <v>46030.291666666664</v>
      </c>
      <c r="F204" s="49">
        <v>46031.291666666664</v>
      </c>
      <c r="G204" s="49">
        <v>0.14583333333333334</v>
      </c>
      <c r="H204" s="4">
        <v>0.18055555555555555</v>
      </c>
      <c r="I204" s="4">
        <v>0</v>
      </c>
      <c r="J204" s="4">
        <v>0</v>
      </c>
      <c r="K204" s="5">
        <v>16.166666666666668</v>
      </c>
      <c r="L204" s="5">
        <v>24</v>
      </c>
      <c r="M204" s="5">
        <v>1228.6666666666667</v>
      </c>
      <c r="N204" s="5">
        <v>1824</v>
      </c>
      <c r="O204" s="6">
        <v>864</v>
      </c>
      <c r="P204" s="7">
        <v>1.4220679012345681</v>
      </c>
      <c r="Q204" s="7">
        <v>2.1111111111111112</v>
      </c>
      <c r="R204" s="7">
        <v>0.47368421052631576</v>
      </c>
    </row>
    <row r="205" spans="1:18" ht="15.6" x14ac:dyDescent="0.3">
      <c r="A205">
        <v>196</v>
      </c>
      <c r="B205" s="72">
        <v>46030</v>
      </c>
      <c r="C205" s="69" t="str">
        <v>HT</v>
      </c>
      <c r="D205" s="68">
        <v>80</v>
      </c>
      <c r="E205" s="66">
        <v>46030.291666666664</v>
      </c>
      <c r="F205" s="49">
        <v>46031.291666666664</v>
      </c>
      <c r="G205" s="49">
        <v>0.13541666666666666</v>
      </c>
      <c r="H205" s="4">
        <v>0.21180555555555555</v>
      </c>
      <c r="I205" s="4">
        <v>0</v>
      </c>
      <c r="J205" s="4">
        <v>0</v>
      </c>
      <c r="K205" s="5">
        <v>15.666666666666668</v>
      </c>
      <c r="L205" s="5">
        <v>24</v>
      </c>
      <c r="M205" s="5">
        <v>1253.3333333333335</v>
      </c>
      <c r="N205" s="5">
        <v>1920</v>
      </c>
      <c r="O205" s="6">
        <v>863</v>
      </c>
      <c r="P205" s="7">
        <v>1.4522981846272693</v>
      </c>
      <c r="Q205" s="7">
        <v>2.2247972190034764</v>
      </c>
      <c r="R205" s="7">
        <v>0.44947916666666665</v>
      </c>
    </row>
    <row r="206" spans="1:18" ht="15.6" x14ac:dyDescent="0.3">
      <c r="A206">
        <v>197</v>
      </c>
      <c r="B206" s="72">
        <v>46031</v>
      </c>
      <c r="C206" s="69" t="str">
        <v>TLR</v>
      </c>
      <c r="D206" s="68">
        <v>93</v>
      </c>
      <c r="E206" s="66">
        <v>46031.291666666664</v>
      </c>
      <c r="F206" s="49">
        <v>46032.291666666664</v>
      </c>
      <c r="G206" s="49">
        <v>0.14583333333333334</v>
      </c>
      <c r="H206" s="4">
        <v>0</v>
      </c>
      <c r="I206" s="4">
        <v>0</v>
      </c>
      <c r="J206" s="4">
        <v>0</v>
      </c>
      <c r="K206" s="5">
        <v>20.5</v>
      </c>
      <c r="L206" s="5">
        <v>24</v>
      </c>
      <c r="M206" s="5">
        <v>1906.5</v>
      </c>
      <c r="N206" s="5">
        <v>2232</v>
      </c>
      <c r="O206" s="6">
        <v>1137</v>
      </c>
      <c r="P206" s="7">
        <v>1.6767810026385224</v>
      </c>
      <c r="Q206" s="7">
        <v>1.9630606860158311</v>
      </c>
      <c r="R206" s="7">
        <v>0.50940860215053763</v>
      </c>
    </row>
    <row r="207" spans="1:18" ht="15.6" x14ac:dyDescent="0.3">
      <c r="A207">
        <v>198</v>
      </c>
      <c r="B207" s="72">
        <v>46031</v>
      </c>
      <c r="C207" s="69" t="str">
        <v>PU thân</v>
      </c>
      <c r="D207" s="68">
        <v>12</v>
      </c>
      <c r="E207" s="66">
        <v>46031.291666666664</v>
      </c>
      <c r="F207" s="49">
        <v>46032.291666666664</v>
      </c>
      <c r="G207" s="49">
        <v>0.14583333333333334</v>
      </c>
      <c r="H207" s="4">
        <v>0</v>
      </c>
      <c r="I207" s="4">
        <v>0</v>
      </c>
      <c r="J207" s="4">
        <v>0</v>
      </c>
      <c r="K207" s="5">
        <v>20.5</v>
      </c>
      <c r="L207" s="5">
        <v>24</v>
      </c>
      <c r="M207" s="5">
        <v>246</v>
      </c>
      <c r="N207" s="5">
        <v>288</v>
      </c>
      <c r="O207" s="6">
        <v>1152</v>
      </c>
      <c r="P207" s="7">
        <v>0.21354166666666666</v>
      </c>
      <c r="Q207" s="7">
        <v>0.25</v>
      </c>
      <c r="R207" s="7">
        <v>4</v>
      </c>
    </row>
    <row r="208" spans="1:18" ht="15.6" x14ac:dyDescent="0.3">
      <c r="A208">
        <v>199</v>
      </c>
      <c r="B208" s="72">
        <v>46031</v>
      </c>
      <c r="C208" s="69" t="str">
        <v>SPU</v>
      </c>
      <c r="D208" s="68">
        <v>73</v>
      </c>
      <c r="E208" s="66">
        <v>46031.291666666664</v>
      </c>
      <c r="F208" s="49">
        <v>46032.291666666664</v>
      </c>
      <c r="G208" s="49">
        <v>0.14583333333333334</v>
      </c>
      <c r="H208" s="4">
        <v>4.8611111111111112E-2</v>
      </c>
      <c r="I208" s="4">
        <v>0</v>
      </c>
      <c r="J208" s="4">
        <v>0</v>
      </c>
      <c r="K208" s="5">
        <v>19.333333333333332</v>
      </c>
      <c r="L208" s="5">
        <v>24</v>
      </c>
      <c r="M208" s="5">
        <v>1411.3333333333333</v>
      </c>
      <c r="N208" s="5">
        <v>1752</v>
      </c>
      <c r="O208" s="6">
        <v>1185</v>
      </c>
      <c r="P208" s="7">
        <v>1.190998593530239</v>
      </c>
      <c r="Q208" s="7">
        <v>1.478481012658228</v>
      </c>
      <c r="R208" s="7">
        <v>0.67636986301369861</v>
      </c>
    </row>
    <row r="209" spans="1:18" ht="15.6" x14ac:dyDescent="0.3">
      <c r="A209">
        <v>200</v>
      </c>
      <c r="B209" s="71">
        <v>46031</v>
      </c>
      <c r="C209" s="69" t="str">
        <v>HT</v>
      </c>
      <c r="D209" s="68">
        <v>82</v>
      </c>
      <c r="E209" s="66">
        <v>46031.291666666664</v>
      </c>
      <c r="F209" s="49">
        <v>46032.291666666664</v>
      </c>
      <c r="G209" s="49">
        <v>0.14583333333333334</v>
      </c>
      <c r="H209" s="4">
        <v>2.7777777777777776E-2</v>
      </c>
      <c r="I209" s="4">
        <v>0</v>
      </c>
      <c r="J209" s="4">
        <v>0</v>
      </c>
      <c r="K209" s="5">
        <v>19.833333333333332</v>
      </c>
      <c r="L209" s="5">
        <v>24</v>
      </c>
      <c r="M209" s="5">
        <v>1626.3333333333333</v>
      </c>
      <c r="N209" s="5">
        <v>1968</v>
      </c>
      <c r="O209" s="6">
        <v>1163</v>
      </c>
      <c r="P209" s="7">
        <v>1.3983949555746631</v>
      </c>
      <c r="Q209" s="7">
        <v>1.6921754084264833</v>
      </c>
      <c r="R209" s="7">
        <v>0.59095528455284552</v>
      </c>
    </row>
    <row r="210" spans="1:18" ht="15.6" x14ac:dyDescent="0.3">
      <c r="A210">
        <v>201</v>
      </c>
      <c r="B210" s="71">
        <v>46032</v>
      </c>
      <c r="C210" s="69" t="str">
        <v>TLR</v>
      </c>
      <c r="D210" s="68">
        <v>62</v>
      </c>
      <c r="E210" s="66">
        <v>46032.291666666664</v>
      </c>
      <c r="F210" s="49">
        <v>46033.291666666664</v>
      </c>
      <c r="G210" s="49">
        <v>0.14583333333333334</v>
      </c>
      <c r="H210" s="4">
        <v>0</v>
      </c>
      <c r="I210" s="4">
        <v>0</v>
      </c>
      <c r="J210" s="4">
        <v>0</v>
      </c>
      <c r="K210" s="5">
        <v>20.5</v>
      </c>
      <c r="L210" s="5">
        <v>24</v>
      </c>
      <c r="M210" s="5">
        <v>1271</v>
      </c>
      <c r="N210" s="5">
        <v>1488</v>
      </c>
      <c r="O210" s="6">
        <v>665</v>
      </c>
      <c r="P210" s="7">
        <v>1.9112781954887219</v>
      </c>
      <c r="Q210" s="7">
        <v>2.2375939849624058</v>
      </c>
      <c r="R210" s="7">
        <v>0.44690860215053768</v>
      </c>
    </row>
    <row r="211" spans="1:18" ht="15.6" x14ac:dyDescent="0.3">
      <c r="A211">
        <v>202</v>
      </c>
      <c r="B211" s="71">
        <v>46032</v>
      </c>
      <c r="C211" s="69" t="str">
        <v>PU thân</v>
      </c>
      <c r="D211" s="68">
        <v>11</v>
      </c>
      <c r="E211" s="66">
        <v>46032.291666666664</v>
      </c>
      <c r="F211" s="49">
        <v>46033.291666666664</v>
      </c>
      <c r="G211" s="49">
        <v>0.14583333333333334</v>
      </c>
      <c r="H211" s="4">
        <v>0</v>
      </c>
      <c r="I211" s="4">
        <v>4.1666666666666664E-2</v>
      </c>
      <c r="J211" s="4">
        <v>0.5</v>
      </c>
      <c r="K211" s="5">
        <v>20.5</v>
      </c>
      <c r="L211" s="5">
        <v>24</v>
      </c>
      <c r="M211" s="5">
        <v>225.5</v>
      </c>
      <c r="N211" s="5">
        <v>264</v>
      </c>
      <c r="O211" s="6">
        <v>768</v>
      </c>
      <c r="P211" s="7">
        <v>0.29361979166666669</v>
      </c>
      <c r="Q211" s="7">
        <v>0.34375</v>
      </c>
      <c r="R211" s="7">
        <v>2.9090909090909092</v>
      </c>
    </row>
    <row r="212" spans="1:18" ht="15.6" x14ac:dyDescent="0.3">
      <c r="A212">
        <v>203</v>
      </c>
      <c r="B212" s="71">
        <v>46032</v>
      </c>
      <c r="C212" s="69" t="str">
        <v>SPU</v>
      </c>
      <c r="D212" s="68">
        <v>72</v>
      </c>
      <c r="E212" s="66">
        <v>46032.291666666664</v>
      </c>
      <c r="F212" s="49">
        <v>46033.291666666664</v>
      </c>
      <c r="G212" s="49">
        <v>0.14583333333333334</v>
      </c>
      <c r="H212" s="4">
        <v>8.3333333333333329E-2</v>
      </c>
      <c r="I212" s="4">
        <v>0</v>
      </c>
      <c r="J212" s="4">
        <v>0</v>
      </c>
      <c r="K212" s="5">
        <v>18.5</v>
      </c>
      <c r="L212" s="5">
        <v>24</v>
      </c>
      <c r="M212" s="5">
        <v>1332</v>
      </c>
      <c r="N212" s="5">
        <v>1728</v>
      </c>
      <c r="O212" s="6">
        <v>997</v>
      </c>
      <c r="P212" s="7">
        <v>1.3360080240722167</v>
      </c>
      <c r="Q212" s="7">
        <v>1.7331995987963891</v>
      </c>
      <c r="R212" s="7">
        <v>0.57696759259259267</v>
      </c>
    </row>
    <row r="213" spans="1:18" ht="15.6" x14ac:dyDescent="0.3">
      <c r="A213">
        <v>204</v>
      </c>
      <c r="B213" s="72">
        <v>46032</v>
      </c>
      <c r="C213" s="69" t="str">
        <v>HT</v>
      </c>
      <c r="D213" s="68">
        <v>72</v>
      </c>
      <c r="E213" s="66">
        <v>46032.291666666664</v>
      </c>
      <c r="F213" s="49">
        <v>46033.291666666664</v>
      </c>
      <c r="G213" s="49">
        <v>0.14583333333333334</v>
      </c>
      <c r="H213" s="4">
        <v>0</v>
      </c>
      <c r="I213" s="4">
        <v>0</v>
      </c>
      <c r="J213" s="4">
        <v>0</v>
      </c>
      <c r="K213" s="5">
        <v>20.5</v>
      </c>
      <c r="L213" s="5">
        <v>24</v>
      </c>
      <c r="M213" s="5">
        <v>1476</v>
      </c>
      <c r="N213" s="5">
        <v>1728</v>
      </c>
      <c r="O213" s="6">
        <v>1057</v>
      </c>
      <c r="P213" s="7">
        <v>1.3964049195837276</v>
      </c>
      <c r="Q213" s="7">
        <v>1.6348155156102175</v>
      </c>
      <c r="R213" s="7">
        <v>0.61168981481481488</v>
      </c>
    </row>
    <row r="214" spans="1:18" ht="15.6" x14ac:dyDescent="0.3">
      <c r="A214">
        <v>205</v>
      </c>
      <c r="B214" s="72">
        <v>46033</v>
      </c>
      <c r="C214" s="69" t="str">
        <v>TLR</v>
      </c>
      <c r="D214" s="68">
        <v>72</v>
      </c>
      <c r="E214" s="66">
        <v>46033.291666666664</v>
      </c>
      <c r="F214" s="49">
        <v>46034.291666666664</v>
      </c>
      <c r="G214" s="49">
        <v>0.14583333333333334</v>
      </c>
      <c r="H214" s="4">
        <v>0</v>
      </c>
      <c r="I214" s="4">
        <v>0</v>
      </c>
      <c r="J214" s="4">
        <v>0</v>
      </c>
      <c r="K214" s="5">
        <v>20.5</v>
      </c>
      <c r="L214" s="5">
        <v>24</v>
      </c>
      <c r="M214" s="5">
        <v>1476</v>
      </c>
      <c r="N214" s="5">
        <v>1728</v>
      </c>
      <c r="O214" s="6">
        <v>746</v>
      </c>
      <c r="P214" s="7">
        <v>1.9785522788203753</v>
      </c>
      <c r="Q214" s="7">
        <v>2.316353887399464</v>
      </c>
      <c r="R214" s="7">
        <v>0.43171296296296291</v>
      </c>
    </row>
    <row r="215" spans="1:18" ht="15.6" x14ac:dyDescent="0.3">
      <c r="A215">
        <v>206</v>
      </c>
      <c r="B215" s="72">
        <v>46033</v>
      </c>
      <c r="C215" s="69" t="str">
        <v>PU thân</v>
      </c>
      <c r="D215" s="68">
        <v>8</v>
      </c>
      <c r="E215" s="66">
        <v>46033.291666666664</v>
      </c>
      <c r="F215" s="49">
        <v>46034.291666666664</v>
      </c>
      <c r="G215" s="49">
        <v>0.14583333333333334</v>
      </c>
      <c r="H215" s="4">
        <v>8.3333333333333329E-2</v>
      </c>
      <c r="I215" s="4">
        <v>0</v>
      </c>
      <c r="J215" s="4">
        <v>0.83333333333333337</v>
      </c>
      <c r="K215" s="5">
        <v>18.5</v>
      </c>
      <c r="L215" s="5">
        <v>24</v>
      </c>
      <c r="M215" s="5">
        <v>148</v>
      </c>
      <c r="N215" s="5">
        <v>192</v>
      </c>
      <c r="O215" s="6">
        <v>727</v>
      </c>
      <c r="P215" s="7">
        <v>0.20357634112792297</v>
      </c>
      <c r="Q215" s="7">
        <v>0.26409903713892707</v>
      </c>
      <c r="R215" s="7">
        <v>3.7864583333333335</v>
      </c>
    </row>
    <row r="216" spans="1:18" ht="15.6" x14ac:dyDescent="0.3">
      <c r="A216">
        <v>207</v>
      </c>
      <c r="B216" s="72">
        <v>46033</v>
      </c>
      <c r="C216" s="69" t="str">
        <v>SPU</v>
      </c>
      <c r="D216" s="68">
        <v>72</v>
      </c>
      <c r="E216" s="66">
        <v>46033.291666666664</v>
      </c>
      <c r="F216" s="49">
        <v>46034.291666666664</v>
      </c>
      <c r="G216" s="49">
        <v>0.14583333333333334</v>
      </c>
      <c r="H216" s="4">
        <v>0.125</v>
      </c>
      <c r="I216" s="4">
        <v>0</v>
      </c>
      <c r="J216" s="4">
        <v>0.625</v>
      </c>
      <c r="K216" s="5">
        <v>17.5</v>
      </c>
      <c r="L216" s="5">
        <v>24</v>
      </c>
      <c r="M216" s="5">
        <v>1260</v>
      </c>
      <c r="N216" s="5">
        <v>1728</v>
      </c>
      <c r="O216" s="6">
        <v>732</v>
      </c>
      <c r="P216" s="7">
        <v>1.721311475409836</v>
      </c>
      <c r="Q216" s="7">
        <v>2.360655737704918</v>
      </c>
      <c r="R216" s="7">
        <v>0.4236111111111111</v>
      </c>
    </row>
    <row r="217" spans="1:18" ht="15.6" x14ac:dyDescent="0.3">
      <c r="A217">
        <v>208</v>
      </c>
      <c r="B217" s="71">
        <v>46033</v>
      </c>
      <c r="C217" s="69" t="str">
        <v>HT</v>
      </c>
      <c r="D217" s="68">
        <v>76</v>
      </c>
      <c r="E217" s="66">
        <v>46033.291666666664</v>
      </c>
      <c r="F217" s="49">
        <v>46034.291666666664</v>
      </c>
      <c r="G217" s="49">
        <v>0.14583333333333334</v>
      </c>
      <c r="H217" s="4">
        <v>8.3333333333333329E-2</v>
      </c>
      <c r="I217" s="4">
        <v>0</v>
      </c>
      <c r="J217" s="4">
        <v>0</v>
      </c>
      <c r="K217" s="5">
        <v>18.5</v>
      </c>
      <c r="L217" s="5">
        <v>24</v>
      </c>
      <c r="M217" s="5">
        <v>1406</v>
      </c>
      <c r="N217" s="5">
        <v>1824</v>
      </c>
      <c r="O217" s="6">
        <v>707</v>
      </c>
      <c r="P217" s="7">
        <v>1.9886845827439887</v>
      </c>
      <c r="Q217" s="7">
        <v>2.5799151343705797</v>
      </c>
      <c r="R217" s="7">
        <v>0.38760964912280704</v>
      </c>
    </row>
    <row r="218" spans="1:18" ht="15.6" x14ac:dyDescent="0.3">
      <c r="A218">
        <v>209</v>
      </c>
      <c r="B218" s="71">
        <v>46034</v>
      </c>
      <c r="C218" s="69" t="str">
        <v>TLR</v>
      </c>
      <c r="D218" s="68">
        <v>91</v>
      </c>
      <c r="E218" s="66">
        <v>46034.291666666664</v>
      </c>
      <c r="F218" s="49">
        <v>46035.291666666664</v>
      </c>
      <c r="G218" s="49">
        <v>0.14583333333333334</v>
      </c>
      <c r="H218" s="4">
        <v>5.2083333333333336E-2</v>
      </c>
      <c r="I218" s="4">
        <v>0</v>
      </c>
      <c r="J218" s="4">
        <v>0</v>
      </c>
      <c r="K218" s="5">
        <v>19.25</v>
      </c>
      <c r="L218" s="5">
        <v>24</v>
      </c>
      <c r="M218" s="5">
        <v>1751.75</v>
      </c>
      <c r="N218" s="5">
        <v>2184</v>
      </c>
      <c r="O218" s="6">
        <v>1079</v>
      </c>
      <c r="P218" s="7">
        <v>1.6234939759036144</v>
      </c>
      <c r="Q218" s="7">
        <v>2.0240963855421685</v>
      </c>
      <c r="R218" s="7">
        <v>0.49404761904761907</v>
      </c>
    </row>
    <row r="219" spans="1:18" ht="15.6" x14ac:dyDescent="0.3">
      <c r="A219">
        <v>210</v>
      </c>
      <c r="B219" s="71">
        <v>46034</v>
      </c>
      <c r="C219" s="69" t="str">
        <v>PU thân</v>
      </c>
      <c r="D219" s="68">
        <v>13</v>
      </c>
      <c r="E219" s="66">
        <v>46034.291666666664</v>
      </c>
      <c r="F219" s="49">
        <v>46035.291666666664</v>
      </c>
      <c r="G219" s="49">
        <v>0.14583333333333334</v>
      </c>
      <c r="H219" s="4">
        <v>3.125E-2</v>
      </c>
      <c r="I219" s="4">
        <v>0</v>
      </c>
      <c r="J219" s="4">
        <v>0.125</v>
      </c>
      <c r="K219" s="5">
        <v>19.75</v>
      </c>
      <c r="L219" s="5">
        <v>24</v>
      </c>
      <c r="M219" s="5">
        <v>256.75</v>
      </c>
      <c r="N219" s="5">
        <v>312</v>
      </c>
      <c r="O219" s="6">
        <v>1185</v>
      </c>
      <c r="P219" s="7">
        <v>0.21666666666666667</v>
      </c>
      <c r="Q219" s="7">
        <v>0.26329113924050634</v>
      </c>
      <c r="R219" s="7">
        <v>3.7980769230769229</v>
      </c>
    </row>
    <row r="220" spans="1:18" ht="15.6" x14ac:dyDescent="0.3">
      <c r="A220">
        <v>211</v>
      </c>
      <c r="B220" s="71">
        <v>46034</v>
      </c>
      <c r="C220" s="69" t="str">
        <v>SPU</v>
      </c>
      <c r="D220" s="68">
        <v>73</v>
      </c>
      <c r="E220" s="66">
        <v>46034.291666666664</v>
      </c>
      <c r="F220" s="49">
        <v>46035.291666666664</v>
      </c>
      <c r="G220" s="49">
        <v>0.14583333333333334</v>
      </c>
      <c r="H220" s="4">
        <v>0.125</v>
      </c>
      <c r="I220" s="4">
        <v>0</v>
      </c>
      <c r="J220" s="4">
        <v>0</v>
      </c>
      <c r="K220" s="5">
        <v>17.5</v>
      </c>
      <c r="L220" s="5">
        <v>24</v>
      </c>
      <c r="M220" s="5">
        <v>1277.5</v>
      </c>
      <c r="N220" s="5">
        <v>1752</v>
      </c>
      <c r="O220" s="6">
        <v>987</v>
      </c>
      <c r="P220" s="7">
        <v>1.2943262411347518</v>
      </c>
      <c r="Q220" s="7">
        <v>1.7750759878419453</v>
      </c>
      <c r="R220" s="7">
        <v>0.56335616438356162</v>
      </c>
    </row>
    <row r="221" spans="1:18" ht="15.6" x14ac:dyDescent="0.3">
      <c r="A221">
        <v>212</v>
      </c>
      <c r="B221" s="73">
        <v>46034</v>
      </c>
      <c r="C221" s="69" t="str">
        <v>HT</v>
      </c>
      <c r="D221" s="68">
        <v>78</v>
      </c>
      <c r="E221" s="66">
        <v>46034.291666666664</v>
      </c>
      <c r="F221" s="49">
        <v>46035.291666666664</v>
      </c>
      <c r="G221" s="49">
        <v>0.14583333333333334</v>
      </c>
      <c r="H221" s="4">
        <v>2.0833333333333332E-2</v>
      </c>
      <c r="I221" s="4">
        <v>0</v>
      </c>
      <c r="J221" s="4">
        <v>0</v>
      </c>
      <c r="K221" s="5">
        <v>20</v>
      </c>
      <c r="L221" s="5">
        <v>24</v>
      </c>
      <c r="M221" s="5">
        <v>1560</v>
      </c>
      <c r="N221" s="5">
        <v>1872</v>
      </c>
      <c r="O221" s="6">
        <v>943</v>
      </c>
      <c r="P221" s="7">
        <v>1.6542948038176033</v>
      </c>
      <c r="Q221" s="7">
        <v>1.9851537645811241</v>
      </c>
      <c r="R221" s="7">
        <v>0.50373931623931623</v>
      </c>
    </row>
    <row r="222" spans="1:18" ht="15.6" x14ac:dyDescent="0.3">
      <c r="A222">
        <v>213</v>
      </c>
      <c r="B222" s="73">
        <v>46035</v>
      </c>
      <c r="C222" s="69" t="str">
        <v>TLR</v>
      </c>
      <c r="D222" s="68">
        <v>86</v>
      </c>
      <c r="E222" s="66">
        <v>46035.291666666664</v>
      </c>
      <c r="F222" s="49">
        <v>46036.291666666664</v>
      </c>
      <c r="G222" s="49">
        <v>0.14583333333333334</v>
      </c>
      <c r="H222" s="4">
        <v>0</v>
      </c>
      <c r="I222" s="4">
        <v>0</v>
      </c>
      <c r="J222" s="4">
        <v>0</v>
      </c>
      <c r="K222" s="5">
        <v>20.5</v>
      </c>
      <c r="L222" s="5">
        <v>24</v>
      </c>
      <c r="M222" s="5">
        <v>1763</v>
      </c>
      <c r="N222" s="5">
        <v>2064</v>
      </c>
      <c r="O222" s="6">
        <v>1141</v>
      </c>
      <c r="P222" s="7">
        <v>1.5451358457493427</v>
      </c>
      <c r="Q222" s="7">
        <v>1.8089395267309378</v>
      </c>
      <c r="R222" s="7">
        <v>0.55281007751937983</v>
      </c>
    </row>
    <row r="223" spans="1:18" ht="15.6" x14ac:dyDescent="0.3">
      <c r="A223">
        <v>214</v>
      </c>
      <c r="B223" s="73">
        <v>46035</v>
      </c>
      <c r="C223" s="69" t="str">
        <v>PU thân</v>
      </c>
      <c r="D223" s="68">
        <v>12</v>
      </c>
      <c r="E223" s="66">
        <v>46035.291666666664</v>
      </c>
      <c r="F223" s="49">
        <v>46036.291666666664</v>
      </c>
      <c r="G223" s="49">
        <v>0.14583333333333334</v>
      </c>
      <c r="H223" s="4">
        <v>0.1111111111111111</v>
      </c>
      <c r="I223" s="4">
        <v>0</v>
      </c>
      <c r="J223" s="4">
        <v>0.41666666666666669</v>
      </c>
      <c r="K223" s="5">
        <v>17.833333333333332</v>
      </c>
      <c r="L223" s="5">
        <v>24</v>
      </c>
      <c r="M223" s="5">
        <v>214</v>
      </c>
      <c r="N223" s="5">
        <v>288</v>
      </c>
      <c r="O223" s="6">
        <v>1016</v>
      </c>
      <c r="P223" s="7">
        <v>0.21062992125984251</v>
      </c>
      <c r="Q223" s="7">
        <v>0.28346456692913385</v>
      </c>
      <c r="R223" s="7">
        <v>3.5277777777777777</v>
      </c>
    </row>
    <row r="224" spans="1:18" ht="15.6" x14ac:dyDescent="0.3">
      <c r="A224">
        <v>215</v>
      </c>
      <c r="B224" s="73">
        <v>46035</v>
      </c>
      <c r="C224" s="69" t="str">
        <v>SPU</v>
      </c>
      <c r="D224" s="68">
        <v>72</v>
      </c>
      <c r="E224" s="66">
        <v>46035.291666666664</v>
      </c>
      <c r="F224" s="49">
        <v>46036.291666666664</v>
      </c>
      <c r="G224" s="49">
        <v>0.14583333333333334</v>
      </c>
      <c r="H224" s="4">
        <v>9.7222222222222224E-2</v>
      </c>
      <c r="I224" s="4">
        <v>0</v>
      </c>
      <c r="J224" s="4">
        <v>0</v>
      </c>
      <c r="K224" s="5">
        <v>18.166666666666668</v>
      </c>
      <c r="L224" s="5">
        <v>24</v>
      </c>
      <c r="M224" s="5">
        <v>1308</v>
      </c>
      <c r="N224" s="5">
        <v>1728</v>
      </c>
      <c r="O224" s="6">
        <v>1025</v>
      </c>
      <c r="P224" s="7">
        <v>1.2760975609756098</v>
      </c>
      <c r="Q224" s="7">
        <v>1.6858536585365853</v>
      </c>
      <c r="R224" s="7">
        <v>0.59317129629629628</v>
      </c>
    </row>
    <row r="225" spans="1:18" ht="15.6" x14ac:dyDescent="0.3">
      <c r="A225">
        <v>216</v>
      </c>
      <c r="B225" s="73">
        <v>46035</v>
      </c>
      <c r="C225" s="69" t="str">
        <v>HT</v>
      </c>
      <c r="D225" s="68">
        <v>75</v>
      </c>
      <c r="E225" s="66">
        <v>46035.291666666664</v>
      </c>
      <c r="F225" s="49">
        <v>46036.291666666664</v>
      </c>
      <c r="G225" s="49">
        <v>0.14583333333333334</v>
      </c>
      <c r="H225" s="4">
        <v>2.7777777777777776E-2</v>
      </c>
      <c r="I225" s="4">
        <v>0</v>
      </c>
      <c r="J225" s="4">
        <v>8.3333333333333329E-2</v>
      </c>
      <c r="K225" s="5">
        <v>19.833333333333332</v>
      </c>
      <c r="L225" s="5">
        <v>24</v>
      </c>
      <c r="M225" s="5">
        <v>1487.5</v>
      </c>
      <c r="N225" s="5">
        <v>1800</v>
      </c>
      <c r="O225" s="6">
        <v>1092</v>
      </c>
      <c r="P225" s="7">
        <v>1.3621794871794872</v>
      </c>
      <c r="Q225" s="7">
        <v>1.6483516483516483</v>
      </c>
      <c r="R225" s="7">
        <v>0.60666666666666669</v>
      </c>
    </row>
    <row r="226" spans="1:18" ht="15.6" x14ac:dyDescent="0.3">
      <c r="A226">
        <v>217</v>
      </c>
      <c r="B226" s="73">
        <v>46036</v>
      </c>
      <c r="C226" s="69" t="str">
        <v>TLR</v>
      </c>
      <c r="D226" s="68">
        <v>89</v>
      </c>
      <c r="E226" s="66">
        <v>46036.291666666664</v>
      </c>
      <c r="F226" s="49">
        <v>46037.291666666664</v>
      </c>
      <c r="G226" s="49">
        <v>0.14583333333333334</v>
      </c>
      <c r="H226" s="4">
        <v>2.0833333333333332E-2</v>
      </c>
      <c r="I226" s="4">
        <v>0</v>
      </c>
      <c r="J226" s="4">
        <v>0.20833333333333334</v>
      </c>
      <c r="K226" s="5">
        <v>20</v>
      </c>
      <c r="L226" s="5">
        <v>24</v>
      </c>
      <c r="M226" s="5">
        <v>1780</v>
      </c>
      <c r="N226" s="5">
        <v>2136</v>
      </c>
      <c r="O226" s="6">
        <v>1025</v>
      </c>
      <c r="P226" s="7">
        <v>1.7365853658536585</v>
      </c>
      <c r="Q226" s="7">
        <v>2.0839024390243903</v>
      </c>
      <c r="R226" s="7">
        <v>0.47986891385767788</v>
      </c>
    </row>
    <row r="227" spans="1:18" ht="15.6" x14ac:dyDescent="0.3">
      <c r="A227">
        <v>218</v>
      </c>
      <c r="B227" s="73">
        <v>46036</v>
      </c>
      <c r="C227" s="69" t="str">
        <v>PU thân</v>
      </c>
      <c r="D227" s="68">
        <v>11</v>
      </c>
      <c r="E227" s="66">
        <v>46036.291666666664</v>
      </c>
      <c r="F227" s="49">
        <v>46037.291666666664</v>
      </c>
      <c r="G227" s="49">
        <v>0.14583333333333334</v>
      </c>
      <c r="H227" s="4">
        <v>9.375E-2</v>
      </c>
      <c r="I227" s="4">
        <v>4.1666666666666664E-2</v>
      </c>
      <c r="J227" s="4">
        <v>0</v>
      </c>
      <c r="K227" s="5">
        <v>18.25</v>
      </c>
      <c r="L227" s="5">
        <v>24</v>
      </c>
      <c r="M227" s="5">
        <v>200.75</v>
      </c>
      <c r="N227" s="5">
        <v>264</v>
      </c>
      <c r="O227" s="6">
        <v>1148</v>
      </c>
      <c r="P227" s="7">
        <v>0.17486933797909407</v>
      </c>
      <c r="Q227" s="7">
        <v>0.22996515679442509</v>
      </c>
      <c r="R227" s="7">
        <v>4.3484848484848486</v>
      </c>
    </row>
    <row r="228" spans="1:18" ht="15.6" x14ac:dyDescent="0.3">
      <c r="A228">
        <v>219</v>
      </c>
      <c r="B228" s="73">
        <v>46036</v>
      </c>
      <c r="C228" s="69" t="str">
        <v>SPU</v>
      </c>
      <c r="D228" s="68">
        <v>72</v>
      </c>
      <c r="E228" s="66">
        <v>46036.291666666664</v>
      </c>
      <c r="F228" s="49">
        <v>46037.291666666664</v>
      </c>
      <c r="G228" s="49">
        <v>0.14583333333333334</v>
      </c>
      <c r="H228" s="4">
        <v>0.11805555555555555</v>
      </c>
      <c r="I228" s="4">
        <v>0</v>
      </c>
      <c r="J228" s="4">
        <v>0</v>
      </c>
      <c r="K228" s="5">
        <v>17.666666666666668</v>
      </c>
      <c r="L228" s="5">
        <v>24</v>
      </c>
      <c r="M228" s="5">
        <v>1272</v>
      </c>
      <c r="N228" s="5">
        <v>1728</v>
      </c>
      <c r="O228" s="6">
        <v>1015</v>
      </c>
      <c r="P228" s="7">
        <v>1.2532019704433497</v>
      </c>
      <c r="Q228" s="7">
        <v>1.7024630541871921</v>
      </c>
      <c r="R228" s="7">
        <v>0.5873842592592593</v>
      </c>
    </row>
    <row r="229" spans="1:18" ht="15.6" x14ac:dyDescent="0.3">
      <c r="A229">
        <v>220</v>
      </c>
      <c r="B229" s="74">
        <v>46036</v>
      </c>
      <c r="C229" s="69" t="str">
        <v>HT</v>
      </c>
      <c r="D229" s="68">
        <v>76</v>
      </c>
      <c r="E229" s="66">
        <v>46036.291666666664</v>
      </c>
      <c r="F229" s="49">
        <v>46037.291666666664</v>
      </c>
      <c r="G229" s="49">
        <v>0.14583333333333334</v>
      </c>
      <c r="H229" s="4">
        <v>0</v>
      </c>
      <c r="I229" s="4">
        <v>0</v>
      </c>
      <c r="J229" s="4">
        <v>0</v>
      </c>
      <c r="K229" s="5">
        <v>20.5</v>
      </c>
      <c r="L229" s="5">
        <v>24</v>
      </c>
      <c r="M229" s="5">
        <v>1558</v>
      </c>
      <c r="N229" s="5">
        <v>1824</v>
      </c>
      <c r="O229" s="6">
        <v>966</v>
      </c>
      <c r="P229" s="7">
        <v>1.6128364389233953</v>
      </c>
      <c r="Q229" s="7">
        <v>1.8881987577639752</v>
      </c>
      <c r="R229" s="7">
        <v>0.52960526315789469</v>
      </c>
    </row>
    <row r="230" spans="1:18" ht="15.6" x14ac:dyDescent="0.3">
      <c r="A230">
        <v>221</v>
      </c>
      <c r="B230" s="74">
        <v>46037</v>
      </c>
      <c r="C230" s="69" t="str">
        <v>TLR</v>
      </c>
      <c r="D230" s="68">
        <v>88</v>
      </c>
      <c r="E230" s="66">
        <v>46037.291666666664</v>
      </c>
      <c r="F230" s="49">
        <v>46038.291666666664</v>
      </c>
      <c r="G230" s="49">
        <v>0.14583333333333334</v>
      </c>
      <c r="H230" s="4">
        <v>0</v>
      </c>
      <c r="I230" s="4">
        <v>0</v>
      </c>
      <c r="J230" s="4">
        <v>0.125</v>
      </c>
      <c r="K230" s="5">
        <v>20.5</v>
      </c>
      <c r="L230" s="5">
        <v>24</v>
      </c>
      <c r="M230" s="5">
        <v>1804</v>
      </c>
      <c r="N230" s="5">
        <v>2112</v>
      </c>
      <c r="O230" s="6">
        <v>1093</v>
      </c>
      <c r="P230" s="7">
        <v>1.6505032021957915</v>
      </c>
      <c r="Q230" s="7">
        <v>1.9322964318389753</v>
      </c>
      <c r="R230" s="7">
        <v>0.51751893939393945</v>
      </c>
    </row>
    <row r="231" spans="1:18" ht="15.6" x14ac:dyDescent="0.3">
      <c r="A231">
        <v>222</v>
      </c>
      <c r="B231" s="74">
        <v>46037</v>
      </c>
      <c r="C231" s="69" t="str">
        <v>PU thân</v>
      </c>
      <c r="D231" s="68">
        <v>12</v>
      </c>
      <c r="E231" s="66">
        <v>46037.291666666664</v>
      </c>
      <c r="F231" s="49">
        <v>46038.291666666664</v>
      </c>
      <c r="G231" s="49">
        <v>0.14583333333333334</v>
      </c>
      <c r="H231" s="4">
        <v>6.25E-2</v>
      </c>
      <c r="I231" s="4">
        <v>0</v>
      </c>
      <c r="J231" s="4">
        <v>0.4861111111111111</v>
      </c>
      <c r="K231" s="5">
        <v>19</v>
      </c>
      <c r="L231" s="5">
        <v>24</v>
      </c>
      <c r="M231" s="5">
        <v>228</v>
      </c>
      <c r="N231" s="5">
        <v>288</v>
      </c>
      <c r="O231" s="6">
        <v>1078</v>
      </c>
      <c r="P231" s="7">
        <v>0.21150278293135436</v>
      </c>
      <c r="Q231" s="7">
        <v>0.26716141001855287</v>
      </c>
      <c r="R231" s="7">
        <v>3.7430555555555558</v>
      </c>
    </row>
    <row r="232" spans="1:18" ht="15.6" x14ac:dyDescent="0.3">
      <c r="A232">
        <v>223</v>
      </c>
      <c r="B232" s="74">
        <v>46037</v>
      </c>
      <c r="C232" s="69" t="str">
        <v>SPU</v>
      </c>
      <c r="D232" s="68">
        <v>74</v>
      </c>
      <c r="E232" s="66">
        <v>46037.291666666664</v>
      </c>
      <c r="F232" s="49">
        <v>46038.291666666664</v>
      </c>
      <c r="G232" s="49">
        <v>0.14583333333333334</v>
      </c>
      <c r="H232" s="4">
        <v>0.11458333333333333</v>
      </c>
      <c r="I232" s="4">
        <v>0</v>
      </c>
      <c r="J232" s="4">
        <v>0</v>
      </c>
      <c r="K232" s="5">
        <v>17.75</v>
      </c>
      <c r="L232" s="5">
        <v>24</v>
      </c>
      <c r="M232" s="5">
        <v>1313.5</v>
      </c>
      <c r="N232" s="5">
        <v>1776</v>
      </c>
      <c r="O232" s="6">
        <v>1046</v>
      </c>
      <c r="P232" s="7">
        <v>1.255736137667304</v>
      </c>
      <c r="Q232" s="7">
        <v>1.6978967495219885</v>
      </c>
      <c r="R232" s="7">
        <v>0.588963963963964</v>
      </c>
    </row>
    <row r="233" spans="1:18" ht="15.6" x14ac:dyDescent="0.3">
      <c r="A233">
        <v>224</v>
      </c>
      <c r="B233" s="74">
        <v>46037</v>
      </c>
      <c r="C233" s="69" t="str">
        <v>HT</v>
      </c>
      <c r="D233" s="68">
        <v>72</v>
      </c>
      <c r="E233" s="66">
        <v>46037.291666666664</v>
      </c>
      <c r="F233" s="49">
        <v>46038.291666666664</v>
      </c>
      <c r="G233" s="49">
        <v>0.14583333333333334</v>
      </c>
      <c r="H233" s="4">
        <v>0</v>
      </c>
      <c r="I233" s="4">
        <v>0</v>
      </c>
      <c r="J233" s="4">
        <v>0</v>
      </c>
      <c r="K233" s="5">
        <v>20.5</v>
      </c>
      <c r="L233" s="5">
        <v>24</v>
      </c>
      <c r="M233" s="5">
        <v>1476</v>
      </c>
      <c r="N233" s="5">
        <v>1728</v>
      </c>
      <c r="O233" s="6">
        <v>1128</v>
      </c>
      <c r="P233" s="7">
        <v>1.3085106382978724</v>
      </c>
      <c r="Q233" s="7">
        <v>1.5319148936170213</v>
      </c>
      <c r="R233" s="7">
        <v>0.65277777777777779</v>
      </c>
    </row>
    <row r="234" spans="1:18" ht="15.6" x14ac:dyDescent="0.3">
      <c r="A234">
        <v>225</v>
      </c>
      <c r="B234" s="74">
        <v>46038</v>
      </c>
      <c r="C234" s="69" t="str">
        <v>TLR</v>
      </c>
      <c r="D234" s="68">
        <v>87</v>
      </c>
      <c r="E234" s="66">
        <v>46038.291666666664</v>
      </c>
      <c r="F234" s="49">
        <v>46039.291666666664</v>
      </c>
      <c r="G234" s="49">
        <v>0.14583333333333334</v>
      </c>
      <c r="H234" s="4">
        <v>0</v>
      </c>
      <c r="I234" s="4">
        <v>0</v>
      </c>
      <c r="J234" s="4">
        <v>0</v>
      </c>
      <c r="K234" s="5">
        <v>20.5</v>
      </c>
      <c r="L234" s="5">
        <v>24</v>
      </c>
      <c r="M234" s="5">
        <v>1783.5</v>
      </c>
      <c r="N234" s="5">
        <v>2088</v>
      </c>
      <c r="O234" s="6">
        <v>1097</v>
      </c>
      <c r="P234" s="7">
        <v>1.6257976298997265</v>
      </c>
      <c r="Q234" s="7">
        <v>1.9033728350045578</v>
      </c>
      <c r="R234" s="7">
        <v>0.52538314176245215</v>
      </c>
    </row>
    <row r="235" spans="1:18" ht="15.6" x14ac:dyDescent="0.3">
      <c r="A235">
        <v>226</v>
      </c>
      <c r="B235" s="74">
        <v>46038</v>
      </c>
      <c r="C235" s="69" t="str">
        <v>PU thân</v>
      </c>
      <c r="D235" s="68">
        <v>11</v>
      </c>
      <c r="E235" s="66">
        <v>46038.291666666664</v>
      </c>
      <c r="F235" s="49">
        <v>46039.291666666664</v>
      </c>
      <c r="G235" s="49">
        <v>0.14583333333333334</v>
      </c>
      <c r="H235" s="4">
        <v>0.19791666666666666</v>
      </c>
      <c r="I235" s="4">
        <v>0</v>
      </c>
      <c r="J235" s="4">
        <v>0.41666666666666669</v>
      </c>
      <c r="K235" s="5">
        <v>15.75</v>
      </c>
      <c r="L235" s="5">
        <v>24</v>
      </c>
      <c r="M235" s="5">
        <v>173.25</v>
      </c>
      <c r="N235" s="5">
        <v>264</v>
      </c>
      <c r="O235" s="6">
        <v>968</v>
      </c>
      <c r="P235" s="7">
        <v>0.17897727272727273</v>
      </c>
      <c r="Q235" s="7">
        <v>0.27272727272727271</v>
      </c>
      <c r="R235" s="7">
        <v>3.666666666666667</v>
      </c>
    </row>
    <row r="236" spans="1:18" ht="15.6" x14ac:dyDescent="0.3">
      <c r="A236">
        <v>227</v>
      </c>
      <c r="B236" s="74">
        <v>46038</v>
      </c>
      <c r="C236" s="69" t="str">
        <v>SPU</v>
      </c>
      <c r="D236" s="68">
        <v>74</v>
      </c>
      <c r="E236" s="66">
        <v>46038.291666666664</v>
      </c>
      <c r="F236" s="49">
        <v>46039.291666666664</v>
      </c>
      <c r="G236" s="49">
        <v>0.14583333333333334</v>
      </c>
      <c r="H236" s="4">
        <v>0.14583333333333334</v>
      </c>
      <c r="I236" s="4">
        <v>0</v>
      </c>
      <c r="J236" s="4">
        <v>0</v>
      </c>
      <c r="K236" s="5">
        <v>17</v>
      </c>
      <c r="L236" s="5">
        <v>24</v>
      </c>
      <c r="M236" s="5">
        <v>1258</v>
      </c>
      <c r="N236" s="5">
        <v>1776</v>
      </c>
      <c r="O236" s="6">
        <v>986</v>
      </c>
      <c r="P236" s="7">
        <v>1.2758620689655173</v>
      </c>
      <c r="Q236" s="7">
        <v>1.8012170385395538</v>
      </c>
      <c r="R236" s="7">
        <v>0.55518018018018012</v>
      </c>
    </row>
    <row r="237" spans="1:18" ht="15.6" x14ac:dyDescent="0.3">
      <c r="A237">
        <v>228</v>
      </c>
      <c r="B237" s="73">
        <v>46038</v>
      </c>
      <c r="C237" s="69" t="str">
        <v>HT</v>
      </c>
      <c r="D237" s="68">
        <v>73</v>
      </c>
      <c r="E237" s="66">
        <v>46038.291666666664</v>
      </c>
      <c r="F237" s="49">
        <v>46039.291666666664</v>
      </c>
      <c r="G237" s="49">
        <v>0.14583333333333334</v>
      </c>
      <c r="H237" s="4">
        <v>0</v>
      </c>
      <c r="I237" s="4">
        <v>0</v>
      </c>
      <c r="J237" s="4">
        <v>0</v>
      </c>
      <c r="K237" s="5">
        <v>20.5</v>
      </c>
      <c r="L237" s="5">
        <v>24</v>
      </c>
      <c r="M237" s="5">
        <v>1496.5</v>
      </c>
      <c r="N237" s="5">
        <v>1752</v>
      </c>
      <c r="O237" s="6">
        <v>1018</v>
      </c>
      <c r="P237" s="7">
        <v>1.4700392927308448</v>
      </c>
      <c r="Q237" s="7">
        <v>1.7210216110019647</v>
      </c>
      <c r="R237" s="7">
        <v>0.58105022831050224</v>
      </c>
    </row>
    <row r="238" spans="1:18" ht="15.6" x14ac:dyDescent="0.3">
      <c r="A238">
        <v>229</v>
      </c>
      <c r="B238" s="73">
        <v>46039</v>
      </c>
      <c r="C238" s="69" t="str">
        <v>TLR</v>
      </c>
      <c r="D238" s="68">
        <v>87</v>
      </c>
      <c r="E238" s="66">
        <v>46039.291666666664</v>
      </c>
      <c r="F238" s="49">
        <v>46040.291666666664</v>
      </c>
      <c r="G238" s="49">
        <v>0.14583333333333334</v>
      </c>
      <c r="H238" s="4">
        <v>0</v>
      </c>
      <c r="I238" s="4">
        <v>0</v>
      </c>
      <c r="J238" s="4">
        <v>0.18055555555555555</v>
      </c>
      <c r="K238" s="5">
        <v>20.5</v>
      </c>
      <c r="L238" s="5">
        <v>24</v>
      </c>
      <c r="M238" s="5">
        <v>1783.5</v>
      </c>
      <c r="N238" s="5">
        <v>2088</v>
      </c>
      <c r="O238" s="6">
        <v>994</v>
      </c>
      <c r="P238" s="7">
        <v>1.7942655935613683</v>
      </c>
      <c r="Q238" s="7">
        <v>2.1006036217303823</v>
      </c>
      <c r="R238" s="7">
        <v>0.47605363984674332</v>
      </c>
    </row>
    <row r="239" spans="1:18" ht="15.6" x14ac:dyDescent="0.3">
      <c r="A239">
        <v>230</v>
      </c>
      <c r="B239" s="73">
        <v>46039</v>
      </c>
      <c r="C239" s="69" t="str">
        <v>PU thân</v>
      </c>
      <c r="D239" s="68">
        <v>11</v>
      </c>
      <c r="E239" s="66">
        <v>46039.291666666664</v>
      </c>
      <c r="F239" s="49">
        <v>46040.291666666664</v>
      </c>
      <c r="G239" s="49">
        <v>0.14583333333333334</v>
      </c>
      <c r="H239" s="4">
        <v>0.27430555555555558</v>
      </c>
      <c r="I239" s="4">
        <v>0</v>
      </c>
      <c r="J239" s="4">
        <v>0.25</v>
      </c>
      <c r="K239" s="5">
        <v>13.916666666666668</v>
      </c>
      <c r="L239" s="5">
        <v>24</v>
      </c>
      <c r="M239" s="5">
        <v>153.08333333333334</v>
      </c>
      <c r="N239" s="5">
        <v>264</v>
      </c>
      <c r="O239" s="6">
        <v>816</v>
      </c>
      <c r="P239" s="7">
        <v>0.18760212418300654</v>
      </c>
      <c r="Q239" s="7">
        <v>0.3235294117647059</v>
      </c>
      <c r="R239" s="7">
        <v>3.0909090909090908</v>
      </c>
    </row>
    <row r="240" spans="1:18" ht="15.6" x14ac:dyDescent="0.3">
      <c r="A240">
        <v>231</v>
      </c>
      <c r="B240" s="73">
        <v>46039</v>
      </c>
      <c r="C240" s="69" t="str">
        <v>SPU</v>
      </c>
      <c r="D240" s="68">
        <v>71</v>
      </c>
      <c r="E240" s="66">
        <v>46039.291666666664</v>
      </c>
      <c r="F240" s="49">
        <v>46040.291666666664</v>
      </c>
      <c r="G240" s="49">
        <v>0.14583333333333334</v>
      </c>
      <c r="H240" s="4">
        <v>0.2326388888888889</v>
      </c>
      <c r="I240" s="4">
        <v>0</v>
      </c>
      <c r="J240" s="4">
        <v>0</v>
      </c>
      <c r="K240" s="5">
        <v>14.916666666666668</v>
      </c>
      <c r="L240" s="5">
        <v>24</v>
      </c>
      <c r="M240" s="5">
        <v>1059.0833333333335</v>
      </c>
      <c r="N240" s="5">
        <v>1704</v>
      </c>
      <c r="O240" s="6">
        <v>712</v>
      </c>
      <c r="P240" s="7">
        <v>1.4874765917602999</v>
      </c>
      <c r="Q240" s="7">
        <v>2.393258426966292</v>
      </c>
      <c r="R240" s="7">
        <v>0.4178403755868545</v>
      </c>
    </row>
    <row r="241" spans="1:18" ht="15.6" x14ac:dyDescent="0.3">
      <c r="A241">
        <v>232</v>
      </c>
      <c r="B241" s="73">
        <v>46039</v>
      </c>
      <c r="C241" s="69" t="str">
        <v>HT</v>
      </c>
      <c r="D241" s="68">
        <v>66</v>
      </c>
      <c r="E241" s="66">
        <v>46039.291666666664</v>
      </c>
      <c r="F241" s="49">
        <v>46040.291666666664</v>
      </c>
      <c r="G241" s="49">
        <v>0.14583333333333334</v>
      </c>
      <c r="H241" s="4">
        <v>0.19791666666666666</v>
      </c>
      <c r="I241" s="4">
        <v>0</v>
      </c>
      <c r="J241" s="4">
        <v>0</v>
      </c>
      <c r="K241" s="5">
        <v>15.75</v>
      </c>
      <c r="L241" s="5">
        <v>24</v>
      </c>
      <c r="M241" s="5">
        <v>1039.5</v>
      </c>
      <c r="N241" s="5">
        <v>1584</v>
      </c>
      <c r="O241" s="6">
        <v>806</v>
      </c>
      <c r="P241" s="7">
        <v>1.2897022332506203</v>
      </c>
      <c r="Q241" s="7">
        <v>1.9652605459057071</v>
      </c>
      <c r="R241" s="7">
        <v>0.50883838383838387</v>
      </c>
    </row>
    <row r="242" spans="1:18" ht="15.6" x14ac:dyDescent="0.3">
      <c r="A242">
        <v>233</v>
      </c>
      <c r="B242" s="73">
        <v>46040</v>
      </c>
      <c r="C242" s="69" t="str">
        <v>TLR</v>
      </c>
      <c r="D242" s="68">
        <v>33</v>
      </c>
      <c r="E242" s="66">
        <v>46040.291666666664</v>
      </c>
      <c r="F242" s="49">
        <v>46040.708333333336</v>
      </c>
      <c r="G242" s="49">
        <v>6.25E-2</v>
      </c>
      <c r="H242" s="4">
        <v>0</v>
      </c>
      <c r="I242" s="4">
        <v>0</v>
      </c>
      <c r="J242" s="4">
        <v>0</v>
      </c>
      <c r="K242" s="5">
        <v>8.5</v>
      </c>
      <c r="L242" s="5">
        <v>10</v>
      </c>
      <c r="M242" s="5">
        <v>280.5</v>
      </c>
      <c r="N242" s="5">
        <v>330</v>
      </c>
      <c r="O242" s="6">
        <v>322</v>
      </c>
      <c r="P242" s="7">
        <v>0.8711180124223602</v>
      </c>
      <c r="Q242" s="7">
        <v>1.0248447204968945</v>
      </c>
      <c r="R242" s="7">
        <v>0.97575757575757571</v>
      </c>
    </row>
    <row r="243" spans="1:18" ht="15.6" x14ac:dyDescent="0.3">
      <c r="A243">
        <v>234</v>
      </c>
      <c r="B243" s="73">
        <v>46040</v>
      </c>
      <c r="C243" s="69" t="str">
        <v>PU thân</v>
      </c>
      <c r="D243" s="68">
        <v>6</v>
      </c>
      <c r="E243" s="66">
        <v>46040.291666666664</v>
      </c>
      <c r="F243" s="49">
        <v>46040.708333333336</v>
      </c>
      <c r="G243" s="49">
        <v>6.25E-2</v>
      </c>
      <c r="H243" s="4">
        <v>9.0277777777777776E-2</v>
      </c>
      <c r="I243" s="4">
        <v>0</v>
      </c>
      <c r="J243" s="4">
        <v>4.1666666666666664E-2</v>
      </c>
      <c r="K243" s="5">
        <v>6.3333333333333339</v>
      </c>
      <c r="L243" s="5">
        <v>10</v>
      </c>
      <c r="M243" s="5">
        <v>38</v>
      </c>
      <c r="N243" s="5">
        <v>60</v>
      </c>
      <c r="O243" s="6">
        <v>364</v>
      </c>
      <c r="P243" s="7">
        <v>0.1043956043956044</v>
      </c>
      <c r="Q243" s="7">
        <v>0.16483516483516483</v>
      </c>
      <c r="R243" s="7">
        <v>6.0666666666666664</v>
      </c>
    </row>
    <row r="244" spans="1:18" ht="15.6" x14ac:dyDescent="0.3">
      <c r="A244">
        <v>235</v>
      </c>
      <c r="B244" s="73">
        <v>46040</v>
      </c>
      <c r="C244" s="69" t="str">
        <v>SPU</v>
      </c>
      <c r="D244" s="68">
        <v>38</v>
      </c>
      <c r="E244" s="66">
        <v>46040.291666666664</v>
      </c>
      <c r="F244" s="49">
        <v>46040.708333333336</v>
      </c>
      <c r="G244" s="49">
        <v>6.25E-2</v>
      </c>
      <c r="H244" s="4">
        <v>0</v>
      </c>
      <c r="I244" s="4">
        <v>0</v>
      </c>
      <c r="J244" s="4">
        <v>0</v>
      </c>
      <c r="K244" s="5">
        <v>8.5</v>
      </c>
      <c r="L244" s="5">
        <v>10</v>
      </c>
      <c r="M244" s="5">
        <v>323</v>
      </c>
      <c r="N244" s="5">
        <v>380</v>
      </c>
      <c r="O244" s="6">
        <v>364</v>
      </c>
      <c r="P244" s="7">
        <v>0.88736263736263732</v>
      </c>
      <c r="Q244" s="7">
        <v>1.043956043956044</v>
      </c>
      <c r="R244" s="7">
        <v>0.95789473684210524</v>
      </c>
    </row>
    <row r="245" spans="1:18" ht="15.6" x14ac:dyDescent="0.3">
      <c r="A245">
        <v>236</v>
      </c>
      <c r="B245" s="74">
        <v>46040</v>
      </c>
      <c r="C245" s="69" t="str">
        <v>HT</v>
      </c>
      <c r="D245" s="68">
        <v>34</v>
      </c>
      <c r="E245" s="66">
        <v>46040.291666666664</v>
      </c>
      <c r="F245" s="49">
        <v>46040.708333333336</v>
      </c>
      <c r="G245" s="49">
        <v>6.25E-2</v>
      </c>
      <c r="H245" s="4">
        <v>0</v>
      </c>
      <c r="I245" s="4">
        <v>0</v>
      </c>
      <c r="J245" s="4">
        <v>0</v>
      </c>
      <c r="K245" s="5">
        <v>8.5</v>
      </c>
      <c r="L245" s="5">
        <v>10</v>
      </c>
      <c r="M245" s="5">
        <v>289</v>
      </c>
      <c r="N245" s="5">
        <v>340</v>
      </c>
      <c r="O245" s="6">
        <v>365</v>
      </c>
      <c r="P245" s="7">
        <v>0.79178082191780819</v>
      </c>
      <c r="Q245" s="7">
        <v>0.93150684931506844</v>
      </c>
      <c r="R245" s="7">
        <v>1.0735294117647058</v>
      </c>
    </row>
    <row r="246" spans="1:18" ht="15.6" x14ac:dyDescent="0.3">
      <c r="A246">
        <v>237</v>
      </c>
      <c r="B246" s="74">
        <v>46041</v>
      </c>
      <c r="C246" s="69" t="str">
        <v>TLR</v>
      </c>
      <c r="D246" s="68">
        <v>86</v>
      </c>
      <c r="E246" s="66">
        <v>46041.291666666664</v>
      </c>
      <c r="F246" s="49">
        <v>46042.291666666664</v>
      </c>
      <c r="G246" s="49">
        <v>0.14583333333333334</v>
      </c>
      <c r="H246" s="4">
        <v>0</v>
      </c>
      <c r="I246" s="4">
        <v>0</v>
      </c>
      <c r="J246" s="4">
        <v>0</v>
      </c>
      <c r="K246" s="5">
        <v>20.5</v>
      </c>
      <c r="L246" s="5">
        <v>24</v>
      </c>
      <c r="M246" s="5">
        <v>1763</v>
      </c>
      <c r="N246" s="5">
        <v>2064</v>
      </c>
      <c r="O246" s="6">
        <v>1033</v>
      </c>
      <c r="P246" s="7">
        <v>1.7066795740561471</v>
      </c>
      <c r="Q246" s="7">
        <v>1.9980638915779283</v>
      </c>
      <c r="R246" s="7">
        <v>0.50048449612403101</v>
      </c>
    </row>
    <row r="247" spans="1:18" ht="15.6" x14ac:dyDescent="0.3">
      <c r="A247">
        <v>238</v>
      </c>
      <c r="B247" s="74">
        <v>46041</v>
      </c>
      <c r="C247" s="69" t="str">
        <v>PU thân</v>
      </c>
      <c r="D247" s="68">
        <v>12</v>
      </c>
      <c r="E247" s="66">
        <v>46041.291666666664</v>
      </c>
      <c r="F247" s="49">
        <v>46042.291666666664</v>
      </c>
      <c r="G247" s="49">
        <v>0.14583333333333334</v>
      </c>
      <c r="H247" s="4">
        <v>0.2361111111111111</v>
      </c>
      <c r="I247" s="4">
        <v>0</v>
      </c>
      <c r="J247" s="4">
        <v>0.33333333333333331</v>
      </c>
      <c r="K247" s="5">
        <v>14.833333333333334</v>
      </c>
      <c r="L247" s="5">
        <v>24</v>
      </c>
      <c r="M247" s="5">
        <v>178</v>
      </c>
      <c r="N247" s="5">
        <v>288</v>
      </c>
      <c r="O247" s="6">
        <v>1007</v>
      </c>
      <c r="P247" s="7">
        <v>0.17676266137040714</v>
      </c>
      <c r="Q247" s="7">
        <v>0.28599801390268126</v>
      </c>
      <c r="R247" s="7">
        <v>3.4965277777777772</v>
      </c>
    </row>
    <row r="248" spans="1:18" ht="15.6" x14ac:dyDescent="0.3">
      <c r="A248">
        <v>239</v>
      </c>
      <c r="B248" s="74">
        <v>46041</v>
      </c>
      <c r="C248" s="69" t="str">
        <v>SPU</v>
      </c>
      <c r="D248" s="68">
        <v>71</v>
      </c>
      <c r="E248" s="66">
        <v>46041.291666666664</v>
      </c>
      <c r="F248" s="49">
        <v>46042.291666666664</v>
      </c>
      <c r="G248" s="49">
        <v>0.14583333333333334</v>
      </c>
      <c r="H248" s="4">
        <v>9.375E-2</v>
      </c>
      <c r="I248" s="4">
        <v>0</v>
      </c>
      <c r="J248" s="4">
        <v>0</v>
      </c>
      <c r="K248" s="5">
        <v>18.25</v>
      </c>
      <c r="L248" s="5">
        <v>24</v>
      </c>
      <c r="M248" s="5">
        <v>1295.75</v>
      </c>
      <c r="N248" s="5">
        <v>1704</v>
      </c>
      <c r="O248" s="6">
        <v>1021</v>
      </c>
      <c r="P248" s="7">
        <v>1.2690989226248777</v>
      </c>
      <c r="Q248" s="7">
        <v>1.6689520078354554</v>
      </c>
      <c r="R248" s="7">
        <v>0.59917840375586862</v>
      </c>
    </row>
    <row r="249" spans="1:18" ht="15.6" x14ac:dyDescent="0.3">
      <c r="A249">
        <v>240</v>
      </c>
      <c r="B249" s="73">
        <v>46041</v>
      </c>
      <c r="C249" s="69" t="str">
        <v>HT</v>
      </c>
      <c r="D249" s="68">
        <v>73</v>
      </c>
      <c r="E249" s="66">
        <v>46041.291666666664</v>
      </c>
      <c r="F249" s="49">
        <v>46042.291666666664</v>
      </c>
      <c r="G249" s="49">
        <v>0.14583333333333334</v>
      </c>
      <c r="H249" s="4">
        <v>5.9027777777777776E-2</v>
      </c>
      <c r="I249" s="4">
        <v>0</v>
      </c>
      <c r="J249" s="4">
        <v>0</v>
      </c>
      <c r="K249" s="5">
        <v>19.083333333333332</v>
      </c>
      <c r="L249" s="5">
        <v>24</v>
      </c>
      <c r="M249" s="5">
        <v>1393.0833333333333</v>
      </c>
      <c r="N249" s="5">
        <v>1752</v>
      </c>
      <c r="O249" s="6">
        <v>983</v>
      </c>
      <c r="P249" s="7">
        <v>1.4171753136656493</v>
      </c>
      <c r="Q249" s="7">
        <v>1.7822990844354019</v>
      </c>
      <c r="R249" s="7">
        <v>0.5610730593607306</v>
      </c>
    </row>
    <row r="250" spans="1:18" ht="15.6" x14ac:dyDescent="0.3">
      <c r="A250">
        <v>241</v>
      </c>
      <c r="B250" s="73">
        <v>46042</v>
      </c>
      <c r="C250" s="69" t="str">
        <v>TLR</v>
      </c>
      <c r="D250" s="68">
        <v>82</v>
      </c>
      <c r="E250" s="66">
        <v>46042.291666666664</v>
      </c>
      <c r="F250" s="49">
        <v>46043.291666666664</v>
      </c>
      <c r="G250" s="49">
        <v>0.14583333333333334</v>
      </c>
      <c r="H250" s="4">
        <v>0</v>
      </c>
      <c r="I250" s="4">
        <v>0</v>
      </c>
      <c r="J250" s="4">
        <v>0.16666666666666666</v>
      </c>
      <c r="K250" s="5">
        <v>20.5</v>
      </c>
      <c r="L250" s="5">
        <v>24</v>
      </c>
      <c r="M250" s="5">
        <v>1681</v>
      </c>
      <c r="N250" s="5">
        <v>1968</v>
      </c>
      <c r="O250" s="6">
        <v>884</v>
      </c>
      <c r="P250" s="7">
        <v>1.9015837104072397</v>
      </c>
      <c r="Q250" s="7">
        <v>2.2262443438914028</v>
      </c>
      <c r="R250" s="7">
        <v>0.44918699186991867</v>
      </c>
    </row>
    <row r="251" spans="1:18" ht="15.6" x14ac:dyDescent="0.3">
      <c r="A251">
        <v>242</v>
      </c>
      <c r="B251" s="73">
        <v>46042</v>
      </c>
      <c r="C251" s="69" t="str">
        <v>PU thân</v>
      </c>
      <c r="D251" s="68">
        <v>11</v>
      </c>
      <c r="E251" s="66">
        <v>46042.291666666664</v>
      </c>
      <c r="F251" s="49">
        <v>46043.291666666664</v>
      </c>
      <c r="G251" s="49">
        <v>0.14583333333333334</v>
      </c>
      <c r="H251" s="4">
        <v>0.19097222222222221</v>
      </c>
      <c r="I251" s="4">
        <v>0</v>
      </c>
      <c r="J251" s="4">
        <v>0.16666666666666666</v>
      </c>
      <c r="K251" s="5">
        <v>15.916666666666668</v>
      </c>
      <c r="L251" s="5">
        <v>24</v>
      </c>
      <c r="M251" s="5">
        <v>175.08333333333334</v>
      </c>
      <c r="N251" s="5">
        <v>264</v>
      </c>
      <c r="O251" s="6">
        <v>918</v>
      </c>
      <c r="P251" s="7">
        <v>0.19072258533042849</v>
      </c>
      <c r="Q251" s="7">
        <v>0.28758169934640521</v>
      </c>
      <c r="R251" s="7">
        <v>3.4772727272727275</v>
      </c>
    </row>
    <row r="252" spans="1:18" ht="15.6" x14ac:dyDescent="0.3">
      <c r="A252">
        <v>243</v>
      </c>
      <c r="B252" s="73">
        <v>46042</v>
      </c>
      <c r="C252" s="69" t="str">
        <v>SPU</v>
      </c>
      <c r="D252" s="68">
        <v>71</v>
      </c>
      <c r="E252" s="66">
        <v>46042.291666666664</v>
      </c>
      <c r="F252" s="49">
        <v>46043.291666666664</v>
      </c>
      <c r="G252" s="49">
        <v>0.14583333333333334</v>
      </c>
      <c r="H252" s="4">
        <v>5.9027777777777776E-2</v>
      </c>
      <c r="I252" s="4">
        <v>0</v>
      </c>
      <c r="J252" s="4">
        <v>0</v>
      </c>
      <c r="K252" s="5">
        <v>19.083333333333332</v>
      </c>
      <c r="L252" s="5">
        <v>24</v>
      </c>
      <c r="M252" s="5">
        <v>1354.9166666666665</v>
      </c>
      <c r="N252" s="5">
        <v>1704</v>
      </c>
      <c r="O252" s="6">
        <v>1131</v>
      </c>
      <c r="P252" s="7">
        <v>1.1979811376363099</v>
      </c>
      <c r="Q252" s="7">
        <v>1.506631299734748</v>
      </c>
      <c r="R252" s="7">
        <v>0.66373239436619724</v>
      </c>
    </row>
    <row r="253" spans="1:18" ht="15.6" x14ac:dyDescent="0.3">
      <c r="A253">
        <v>244</v>
      </c>
      <c r="B253" s="73">
        <v>46042</v>
      </c>
      <c r="C253" s="69" t="str">
        <v>HT</v>
      </c>
      <c r="D253" s="68">
        <v>74</v>
      </c>
      <c r="E253" s="66">
        <v>46042.291666666664</v>
      </c>
      <c r="F253" s="49">
        <v>46043.291666666664</v>
      </c>
      <c r="G253" s="49">
        <v>0.14583333333333334</v>
      </c>
      <c r="H253" s="4">
        <v>0</v>
      </c>
      <c r="I253" s="4">
        <v>0</v>
      </c>
      <c r="J253" s="4">
        <v>0</v>
      </c>
      <c r="K253" s="5">
        <v>20.5</v>
      </c>
      <c r="L253" s="5">
        <v>24</v>
      </c>
      <c r="M253" s="5">
        <v>1517</v>
      </c>
      <c r="N253" s="5">
        <v>1776</v>
      </c>
      <c r="O253" s="6">
        <v>1158</v>
      </c>
      <c r="P253" s="7">
        <v>1.3100172711571676</v>
      </c>
      <c r="Q253" s="7">
        <v>1.5336787564766838</v>
      </c>
      <c r="R253" s="7">
        <v>0.65202702702702708</v>
      </c>
    </row>
    <row r="254" spans="1:18" ht="15.6" x14ac:dyDescent="0.3">
      <c r="A254">
        <v>245</v>
      </c>
      <c r="B254" s="73">
        <v>46043</v>
      </c>
      <c r="C254" s="69" t="str">
        <v>TLR</v>
      </c>
      <c r="D254" s="68">
        <v>88</v>
      </c>
      <c r="E254" s="66">
        <v>46043.291666666664</v>
      </c>
      <c r="F254" s="49">
        <v>46044.291666666664</v>
      </c>
      <c r="G254" s="49">
        <v>0.14583333333333334</v>
      </c>
      <c r="H254" s="4">
        <v>0</v>
      </c>
      <c r="I254" s="4">
        <v>0</v>
      </c>
      <c r="J254" s="4">
        <v>0</v>
      </c>
      <c r="K254" s="5">
        <v>20.5</v>
      </c>
      <c r="L254" s="5">
        <v>24</v>
      </c>
      <c r="M254" s="5">
        <v>1804</v>
      </c>
      <c r="N254" s="5">
        <v>2112</v>
      </c>
      <c r="O254" s="6">
        <v>1104</v>
      </c>
      <c r="P254" s="7">
        <v>1.6340579710144927</v>
      </c>
      <c r="Q254" s="7">
        <v>1.9130434782608696</v>
      </c>
      <c r="R254" s="7">
        <v>0.52272727272727271</v>
      </c>
    </row>
    <row r="255" spans="1:18" ht="15.6" x14ac:dyDescent="0.3">
      <c r="A255">
        <v>246</v>
      </c>
      <c r="B255" s="73">
        <v>46043</v>
      </c>
      <c r="C255" s="69" t="str">
        <v>PU thân</v>
      </c>
      <c r="D255" s="68">
        <v>12</v>
      </c>
      <c r="E255" s="66">
        <v>46043.291666666664</v>
      </c>
      <c r="F255" s="49">
        <v>46044.291666666664</v>
      </c>
      <c r="G255" s="49">
        <v>0.14583333333333334</v>
      </c>
      <c r="H255" s="4">
        <v>0</v>
      </c>
      <c r="I255" s="4">
        <v>0.20833333333333334</v>
      </c>
      <c r="J255" s="4">
        <v>0</v>
      </c>
      <c r="K255" s="5">
        <v>20.5</v>
      </c>
      <c r="L255" s="5">
        <v>24</v>
      </c>
      <c r="M255" s="5">
        <v>246</v>
      </c>
      <c r="N255" s="5">
        <v>288</v>
      </c>
      <c r="O255" s="6">
        <v>953</v>
      </c>
      <c r="P255" s="7">
        <v>0.25813221406086045</v>
      </c>
      <c r="Q255" s="7">
        <v>0.30220356768100737</v>
      </c>
      <c r="R255" s="7">
        <v>3.3090277777777777</v>
      </c>
    </row>
    <row r="256" spans="1:18" ht="15.6" x14ac:dyDescent="0.3">
      <c r="A256">
        <v>247</v>
      </c>
      <c r="B256" s="73">
        <v>46043</v>
      </c>
      <c r="C256" s="69" t="str">
        <v>SPU</v>
      </c>
      <c r="D256" s="68">
        <v>74</v>
      </c>
      <c r="E256" s="66">
        <v>46043.291666666664</v>
      </c>
      <c r="F256" s="49">
        <v>46044.291666666664</v>
      </c>
      <c r="G256" s="49">
        <v>0.14583333333333334</v>
      </c>
      <c r="H256" s="4">
        <v>9.7222222222222224E-2</v>
      </c>
      <c r="I256" s="4">
        <v>0</v>
      </c>
      <c r="J256" s="4">
        <v>0</v>
      </c>
      <c r="K256" s="5">
        <v>18.166666666666668</v>
      </c>
      <c r="L256" s="5">
        <v>24</v>
      </c>
      <c r="M256" s="5">
        <v>1344.3333333333335</v>
      </c>
      <c r="N256" s="5">
        <v>1776</v>
      </c>
      <c r="O256" s="6">
        <v>1230</v>
      </c>
      <c r="P256" s="7">
        <v>1.0929539295392956</v>
      </c>
      <c r="Q256" s="7">
        <v>1.4439024390243902</v>
      </c>
      <c r="R256" s="7">
        <v>0.69256756756756754</v>
      </c>
    </row>
    <row r="257" spans="1:18" ht="15.6" x14ac:dyDescent="0.3">
      <c r="A257">
        <v>248</v>
      </c>
      <c r="B257" s="74">
        <v>46043</v>
      </c>
      <c r="C257" s="69" t="str">
        <v>HT</v>
      </c>
      <c r="D257" s="68">
        <v>71</v>
      </c>
      <c r="E257" s="66">
        <v>46043.291666666664</v>
      </c>
      <c r="F257" s="49">
        <v>46044.291666666664</v>
      </c>
      <c r="G257" s="49">
        <v>0.14583333333333334</v>
      </c>
      <c r="H257" s="4">
        <v>0</v>
      </c>
      <c r="I257" s="4">
        <v>0</v>
      </c>
      <c r="J257" s="4">
        <v>0</v>
      </c>
      <c r="K257" s="5">
        <v>20.5</v>
      </c>
      <c r="L257" s="5">
        <v>24</v>
      </c>
      <c r="M257" s="5">
        <v>1455.5</v>
      </c>
      <c r="N257" s="5">
        <v>1704</v>
      </c>
      <c r="O257" s="6">
        <v>1218</v>
      </c>
      <c r="P257" s="7">
        <v>1.194991789819376</v>
      </c>
      <c r="Q257" s="7">
        <v>1.3990147783251232</v>
      </c>
      <c r="R257" s="7">
        <v>0.71478873239436613</v>
      </c>
    </row>
    <row r="258" spans="1:18" ht="15.6" x14ac:dyDescent="0.3">
      <c r="A258">
        <v>249</v>
      </c>
      <c r="B258" s="74">
        <v>46044</v>
      </c>
      <c r="C258" s="69" t="str">
        <v>TLR</v>
      </c>
      <c r="D258" s="68">
        <v>76</v>
      </c>
      <c r="E258" s="66">
        <v>46044.291666666664</v>
      </c>
      <c r="F258" s="49">
        <v>46045.291666666664</v>
      </c>
      <c r="G258" s="49">
        <v>0.14583333333333334</v>
      </c>
      <c r="H258" s="4">
        <v>0</v>
      </c>
      <c r="I258" s="4">
        <v>0</v>
      </c>
      <c r="J258" s="4">
        <v>0</v>
      </c>
      <c r="K258" s="5">
        <v>20.5</v>
      </c>
      <c r="L258" s="5">
        <v>24</v>
      </c>
      <c r="M258" s="5">
        <v>1558</v>
      </c>
      <c r="N258" s="5">
        <v>1824</v>
      </c>
      <c r="O258" s="6">
        <v>929</v>
      </c>
      <c r="P258" s="7">
        <v>1.6770721205597416</v>
      </c>
      <c r="Q258" s="7">
        <v>1.9634015069967707</v>
      </c>
      <c r="R258" s="7">
        <v>0.50932017543859653</v>
      </c>
    </row>
    <row r="259" spans="1:18" ht="15.6" x14ac:dyDescent="0.3">
      <c r="A259">
        <v>250</v>
      </c>
      <c r="B259" s="74">
        <v>46044</v>
      </c>
      <c r="C259" s="69" t="str">
        <v>PU thân</v>
      </c>
      <c r="D259" s="68">
        <v>12</v>
      </c>
      <c r="E259" s="66">
        <v>46044.291666666664</v>
      </c>
      <c r="F259" s="49">
        <v>46045.291666666664</v>
      </c>
      <c r="G259" s="49">
        <v>0.14583333333333334</v>
      </c>
      <c r="H259" s="4">
        <v>8.3333333333333329E-2</v>
      </c>
      <c r="I259" s="4">
        <v>0.16666666666666666</v>
      </c>
      <c r="J259" s="4">
        <v>0.41666666666666669</v>
      </c>
      <c r="K259" s="5">
        <v>18.5</v>
      </c>
      <c r="L259" s="5">
        <v>24</v>
      </c>
      <c r="M259" s="5">
        <v>222</v>
      </c>
      <c r="N259" s="5">
        <v>288</v>
      </c>
      <c r="O259" s="6">
        <v>985</v>
      </c>
      <c r="P259" s="7">
        <v>0.22538071065989848</v>
      </c>
      <c r="Q259" s="7">
        <v>0.29238578680203048</v>
      </c>
      <c r="R259" s="7">
        <v>3.4201388888888888</v>
      </c>
    </row>
    <row r="260" spans="1:18" ht="15.6" x14ac:dyDescent="0.3">
      <c r="A260">
        <v>251</v>
      </c>
      <c r="B260" s="74">
        <v>46044</v>
      </c>
      <c r="C260" s="69" t="str">
        <v>SPU</v>
      </c>
      <c r="D260" s="68">
        <v>68</v>
      </c>
      <c r="E260" s="66">
        <v>46044.291666666664</v>
      </c>
      <c r="F260" s="49">
        <v>46045.291666666664</v>
      </c>
      <c r="G260" s="49">
        <v>0.14583333333333334</v>
      </c>
      <c r="H260" s="4">
        <v>0.14583333333333334</v>
      </c>
      <c r="I260" s="4">
        <v>0</v>
      </c>
      <c r="J260" s="4">
        <v>0</v>
      </c>
      <c r="K260" s="5">
        <v>17</v>
      </c>
      <c r="L260" s="5">
        <v>24</v>
      </c>
      <c r="M260" s="5">
        <v>1156</v>
      </c>
      <c r="N260" s="5">
        <v>1632</v>
      </c>
      <c r="O260" s="6">
        <v>1009</v>
      </c>
      <c r="P260" s="7">
        <v>1.1456888007928643</v>
      </c>
      <c r="Q260" s="7">
        <v>1.6174430128840436</v>
      </c>
      <c r="R260" s="7">
        <v>0.61825980392156865</v>
      </c>
    </row>
    <row r="261" spans="1:18" ht="15.6" x14ac:dyDescent="0.3">
      <c r="A261">
        <v>252</v>
      </c>
      <c r="B261" s="74">
        <v>46044</v>
      </c>
      <c r="C261" s="69" t="str">
        <v>HT</v>
      </c>
      <c r="D261" s="68">
        <v>69</v>
      </c>
      <c r="E261" s="66">
        <v>46044.291666666664</v>
      </c>
      <c r="F261" s="49">
        <v>46045.291666666664</v>
      </c>
      <c r="G261" s="49">
        <v>0.14583333333333334</v>
      </c>
      <c r="H261" s="4">
        <v>0.10416666666666667</v>
      </c>
      <c r="I261" s="4">
        <v>0</v>
      </c>
      <c r="J261" s="4">
        <v>0.10069444444444445</v>
      </c>
      <c r="K261" s="5">
        <v>18</v>
      </c>
      <c r="L261" s="5">
        <v>24</v>
      </c>
      <c r="M261" s="5">
        <v>1242</v>
      </c>
      <c r="N261" s="5">
        <v>1656</v>
      </c>
      <c r="O261" s="6">
        <v>1100</v>
      </c>
      <c r="P261" s="7">
        <v>1.1290909090909091</v>
      </c>
      <c r="Q261" s="7">
        <v>1.5054545454545454</v>
      </c>
      <c r="R261" s="7">
        <v>0.66425120772946866</v>
      </c>
    </row>
    <row r="262" spans="1:18" ht="15.6" x14ac:dyDescent="0.3">
      <c r="A262">
        <v>253</v>
      </c>
      <c r="B262" s="74">
        <v>46045</v>
      </c>
      <c r="C262" s="69" t="str">
        <v>TLR</v>
      </c>
      <c r="D262" s="68">
        <v>87</v>
      </c>
      <c r="E262" s="66">
        <v>46045.291666666664</v>
      </c>
      <c r="F262" s="49">
        <v>46046.291666666664</v>
      </c>
      <c r="G262" s="49">
        <v>0.14583333333333334</v>
      </c>
      <c r="H262" s="4">
        <v>0</v>
      </c>
      <c r="I262" s="4">
        <v>0</v>
      </c>
      <c r="J262" s="4">
        <v>0</v>
      </c>
      <c r="K262" s="5">
        <v>20.5</v>
      </c>
      <c r="L262" s="5">
        <v>24</v>
      </c>
      <c r="M262" s="5">
        <v>1783.5</v>
      </c>
      <c r="N262" s="5">
        <v>2088</v>
      </c>
      <c r="O262" s="6">
        <v>1080</v>
      </c>
      <c r="P262" s="7">
        <v>1.6513888888888888</v>
      </c>
      <c r="Q262" s="7">
        <v>1.9333333333333333</v>
      </c>
      <c r="R262" s="7">
        <v>0.51724137931034486</v>
      </c>
    </row>
    <row r="263" spans="1:18" ht="15.6" x14ac:dyDescent="0.3">
      <c r="A263">
        <v>254</v>
      </c>
      <c r="B263" s="74">
        <v>46045</v>
      </c>
      <c r="C263" s="69" t="str">
        <v>PU thân</v>
      </c>
      <c r="D263" s="68">
        <v>11</v>
      </c>
      <c r="E263" s="66">
        <v>46045.291666666664</v>
      </c>
      <c r="F263" s="49">
        <v>46046.291666666664</v>
      </c>
      <c r="G263" s="49">
        <v>0.14583333333333334</v>
      </c>
      <c r="H263" s="4">
        <v>0</v>
      </c>
      <c r="I263" s="4">
        <v>0</v>
      </c>
      <c r="J263" s="4">
        <v>0.41666666666666669</v>
      </c>
      <c r="K263" s="5">
        <v>20.5</v>
      </c>
      <c r="L263" s="5">
        <v>24</v>
      </c>
      <c r="M263" s="5">
        <v>225.5</v>
      </c>
      <c r="N263" s="5">
        <v>264</v>
      </c>
      <c r="O263" s="6">
        <v>1055</v>
      </c>
      <c r="P263" s="7">
        <v>0.21374407582938387</v>
      </c>
      <c r="Q263" s="7">
        <v>0.25023696682464452</v>
      </c>
      <c r="R263" s="7">
        <v>3.9962121212121215</v>
      </c>
    </row>
    <row r="264" spans="1:18" ht="15.6" x14ac:dyDescent="0.3">
      <c r="B264" s="74">
        <v>46045</v>
      </c>
      <c r="C264" s="69" t="str">
        <v>SPU</v>
      </c>
      <c r="D264" s="68">
        <v>72</v>
      </c>
      <c r="E264" s="66">
        <v>46045.291666666664</v>
      </c>
      <c r="F264" s="49">
        <v>46046.291666666664</v>
      </c>
      <c r="G264" s="49">
        <v>0.14583333333333334</v>
      </c>
      <c r="H264" s="4">
        <v>9.7222222222222224E-2</v>
      </c>
      <c r="I264" s="4">
        <v>0</v>
      </c>
      <c r="J264" s="4">
        <v>0</v>
      </c>
      <c r="K264" s="5">
        <v>18.166666666666668</v>
      </c>
      <c r="L264" s="5">
        <v>24</v>
      </c>
      <c r="M264" s="5">
        <v>1308</v>
      </c>
      <c r="N264" s="5">
        <v>1728</v>
      </c>
      <c r="O264" s="6">
        <v>977</v>
      </c>
      <c r="P264" s="7">
        <v>1.3387922210849539</v>
      </c>
      <c r="Q264" s="7">
        <v>1.7686796315250768</v>
      </c>
      <c r="R264" s="7">
        <v>0.56539351851851849</v>
      </c>
    </row>
    <row r="265" spans="1:18" ht="15.6" x14ac:dyDescent="0.3">
      <c r="B265" s="73">
        <v>46045</v>
      </c>
      <c r="C265" s="69" t="str">
        <v>HT</v>
      </c>
      <c r="D265" s="68">
        <v>72</v>
      </c>
      <c r="E265" s="66">
        <v>46045.291666666664</v>
      </c>
      <c r="F265" s="49">
        <v>46046.291666666664</v>
      </c>
      <c r="G265" s="49">
        <v>0.14583333333333334</v>
      </c>
      <c r="H265" s="4">
        <v>0</v>
      </c>
      <c r="I265" s="4">
        <v>0</v>
      </c>
      <c r="J265" s="4">
        <v>0</v>
      </c>
      <c r="K265" s="5">
        <v>20.5</v>
      </c>
      <c r="L265" s="5">
        <v>24</v>
      </c>
      <c r="M265" s="5">
        <v>1476</v>
      </c>
      <c r="N265" s="5">
        <v>1728</v>
      </c>
      <c r="O265" s="6">
        <v>1068</v>
      </c>
      <c r="P265" s="7">
        <v>1.3820224719101124</v>
      </c>
      <c r="Q265" s="7">
        <v>1.6179775280898876</v>
      </c>
      <c r="R265" s="7">
        <v>0.61805555555555558</v>
      </c>
    </row>
    <row r="266" spans="1:18" ht="15" customHeight="1" x14ac:dyDescent="0.3">
      <c r="B266" s="73">
        <v>46046</v>
      </c>
      <c r="C266" s="69" t="str">
        <v>TLR</v>
      </c>
      <c r="D266" s="68">
        <v>85</v>
      </c>
      <c r="E266" s="66">
        <v>46046.291666666664</v>
      </c>
      <c r="F266" s="49">
        <v>46047.291666666664</v>
      </c>
      <c r="G266" s="49">
        <v>0.14583333333333334</v>
      </c>
      <c r="H266" s="4">
        <v>0</v>
      </c>
      <c r="I266" s="4">
        <v>0</v>
      </c>
      <c r="J266" s="4">
        <v>0</v>
      </c>
      <c r="K266" s="5">
        <v>20.5</v>
      </c>
      <c r="L266" s="5">
        <v>24</v>
      </c>
      <c r="M266" s="5">
        <v>1742.5</v>
      </c>
      <c r="N266" s="5">
        <v>2040</v>
      </c>
      <c r="O266" s="6">
        <v>999</v>
      </c>
      <c r="P266" s="7">
        <v>1.7442442442442443</v>
      </c>
      <c r="Q266" s="7">
        <v>2.0420420420420422</v>
      </c>
      <c r="R266" s="7">
        <v>0.48970588235294116</v>
      </c>
    </row>
    <row r="267" spans="1:18" ht="15" customHeight="1" x14ac:dyDescent="0.3">
      <c r="B267" s="73">
        <v>46046</v>
      </c>
      <c r="C267" s="69" t="str">
        <v>PU thân</v>
      </c>
      <c r="D267" s="68">
        <v>12</v>
      </c>
      <c r="E267" s="66">
        <v>46046.291666666664</v>
      </c>
      <c r="F267" s="49">
        <v>46047.291666666664</v>
      </c>
      <c r="G267" s="49">
        <v>0.14583333333333334</v>
      </c>
      <c r="H267" s="4">
        <v>6.9444444444444448E-2</v>
      </c>
      <c r="I267" s="4">
        <v>0</v>
      </c>
      <c r="J267" s="4">
        <v>0.54166666666666663</v>
      </c>
      <c r="K267" s="5">
        <v>18.833333333333332</v>
      </c>
      <c r="L267" s="5">
        <v>24</v>
      </c>
      <c r="M267" s="5">
        <v>226</v>
      </c>
      <c r="N267" s="5">
        <v>288</v>
      </c>
      <c r="O267" s="6">
        <v>1057</v>
      </c>
      <c r="P267" s="7">
        <v>0.21381267738883633</v>
      </c>
      <c r="Q267" s="7">
        <v>0.27246925260170296</v>
      </c>
      <c r="R267" s="7">
        <v>3.6701388888888884</v>
      </c>
    </row>
    <row r="268" spans="1:18" ht="15" customHeight="1" x14ac:dyDescent="0.3">
      <c r="B268" s="73">
        <v>46046</v>
      </c>
      <c r="C268" s="69" t="str">
        <v>SPU</v>
      </c>
      <c r="D268" s="68">
        <v>70</v>
      </c>
      <c r="E268" s="66">
        <v>46046.291666666664</v>
      </c>
      <c r="F268" s="49">
        <v>46047.291666666664</v>
      </c>
      <c r="G268" s="49">
        <v>0.14583333333333334</v>
      </c>
      <c r="H268" s="4">
        <v>0</v>
      </c>
      <c r="I268" s="4">
        <v>0</v>
      </c>
      <c r="J268" s="4">
        <v>0</v>
      </c>
      <c r="K268" s="5">
        <v>20.5</v>
      </c>
      <c r="L268" s="5">
        <v>24</v>
      </c>
      <c r="M268" s="5">
        <v>1435</v>
      </c>
      <c r="N268" s="5">
        <v>1680</v>
      </c>
      <c r="O268" s="6">
        <v>1102</v>
      </c>
      <c r="P268" s="7">
        <v>1.3021778584392014</v>
      </c>
      <c r="Q268" s="7">
        <v>1.5245009074410163</v>
      </c>
      <c r="R268" s="7">
        <v>0.65595238095238095</v>
      </c>
    </row>
    <row r="269" spans="1:18" ht="15" customHeight="1" x14ac:dyDescent="0.3">
      <c r="B269" s="73">
        <v>46046</v>
      </c>
      <c r="C269" s="69" t="str">
        <v>HT</v>
      </c>
      <c r="D269" s="68">
        <v>71</v>
      </c>
      <c r="E269" s="66">
        <v>46046.291666666664</v>
      </c>
      <c r="F269" s="49">
        <v>46047.291666666664</v>
      </c>
      <c r="G269" s="49">
        <v>0.14583333333333334</v>
      </c>
      <c r="H269" s="4">
        <v>0</v>
      </c>
      <c r="I269" s="4">
        <v>0</v>
      </c>
      <c r="J269" s="4">
        <v>0</v>
      </c>
      <c r="K269" s="5">
        <v>20.5</v>
      </c>
      <c r="L269" s="5">
        <v>24</v>
      </c>
      <c r="M269" s="5">
        <v>1455.5</v>
      </c>
      <c r="N269" s="5">
        <v>1704</v>
      </c>
      <c r="O269" s="6">
        <v>1111</v>
      </c>
      <c r="P269" s="7">
        <v>1.3100810081008101</v>
      </c>
      <c r="Q269" s="7">
        <v>1.5337533753375339</v>
      </c>
      <c r="R269" s="7">
        <v>0.65199530516431925</v>
      </c>
    </row>
    <row r="270" spans="1:18" ht="15" customHeight="1" x14ac:dyDescent="0.3">
      <c r="B270" s="73">
        <v>46047</v>
      </c>
      <c r="C270" s="69" t="str">
        <v>PU thân</v>
      </c>
      <c r="D270" s="68">
        <v>1</v>
      </c>
      <c r="E270" s="66">
        <v>46047.291666666664</v>
      </c>
      <c r="F270" s="49">
        <v>46047.708333333336</v>
      </c>
      <c r="G270" s="49">
        <v>6.25E-2</v>
      </c>
      <c r="H270" s="4">
        <v>0</v>
      </c>
      <c r="I270" s="4">
        <v>0</v>
      </c>
      <c r="J270" s="4">
        <v>0</v>
      </c>
      <c r="K270" s="5">
        <v>8.5</v>
      </c>
      <c r="L270" s="5">
        <v>10</v>
      </c>
      <c r="M270" s="5">
        <v>8.5</v>
      </c>
      <c r="N270" s="5">
        <v>10</v>
      </c>
      <c r="O270" s="6">
        <v>15</v>
      </c>
      <c r="P270" s="7">
        <v>0.56666666666666665</v>
      </c>
      <c r="Q270" s="7">
        <v>0.66666666666666663</v>
      </c>
      <c r="R270" s="7">
        <v>1.5</v>
      </c>
    </row>
    <row r="271" spans="1:18" ht="15" customHeight="1" x14ac:dyDescent="0.3">
      <c r="B271" s="73">
        <v>46047</v>
      </c>
      <c r="C271" s="69" t="str">
        <v>SPU</v>
      </c>
      <c r="D271" s="68">
        <v>36</v>
      </c>
      <c r="E271" s="66">
        <v>46047.291666666664</v>
      </c>
      <c r="F271" s="49">
        <v>46047.708333333336</v>
      </c>
      <c r="G271" s="49">
        <v>6.25E-2</v>
      </c>
      <c r="H271" s="4">
        <v>0</v>
      </c>
      <c r="I271" s="4">
        <v>0</v>
      </c>
      <c r="J271" s="4">
        <v>0</v>
      </c>
      <c r="K271" s="5">
        <v>8.5</v>
      </c>
      <c r="L271" s="5">
        <v>10</v>
      </c>
      <c r="M271" s="5">
        <v>306</v>
      </c>
      <c r="N271" s="5">
        <v>360</v>
      </c>
      <c r="O271" s="6">
        <v>252</v>
      </c>
      <c r="P271" s="7">
        <v>1.2142857142857142</v>
      </c>
      <c r="Q271" s="7">
        <v>1.4285714285714286</v>
      </c>
      <c r="R271" s="7">
        <v>0.7</v>
      </c>
    </row>
    <row r="272" spans="1:18" ht="15" customHeight="1" x14ac:dyDescent="0.3">
      <c r="B272" s="73">
        <v>46047</v>
      </c>
      <c r="C272" s="69" t="str">
        <v>HT</v>
      </c>
      <c r="D272" s="68">
        <v>37</v>
      </c>
      <c r="E272" s="66">
        <v>46047.291666666664</v>
      </c>
      <c r="F272" s="49">
        <v>46047.708333333336</v>
      </c>
      <c r="G272" s="49">
        <v>6.25E-2</v>
      </c>
      <c r="H272" s="4">
        <v>0</v>
      </c>
      <c r="I272" s="4">
        <v>0</v>
      </c>
      <c r="J272" s="4">
        <v>4.1666666666666664E-2</v>
      </c>
      <c r="K272" s="5">
        <v>8.5</v>
      </c>
      <c r="L272" s="5">
        <v>10</v>
      </c>
      <c r="M272" s="5">
        <v>314.5</v>
      </c>
      <c r="N272" s="5">
        <v>370</v>
      </c>
      <c r="O272" s="6">
        <v>336</v>
      </c>
      <c r="P272" s="7">
        <v>0.93601190476190477</v>
      </c>
      <c r="Q272" s="7">
        <v>1.1011904761904763</v>
      </c>
      <c r="R272" s="7">
        <v>0.90810810810810805</v>
      </c>
    </row>
    <row r="273" spans="2:18" ht="15" customHeight="1" x14ac:dyDescent="0.3">
      <c r="B273" s="74">
        <v>46048</v>
      </c>
      <c r="C273" s="69" t="str">
        <v>TLR</v>
      </c>
      <c r="D273" s="68">
        <v>93</v>
      </c>
      <c r="E273" s="66">
        <v>46048.291666666664</v>
      </c>
      <c r="F273" s="49">
        <v>46049.291666666664</v>
      </c>
      <c r="G273" s="49">
        <v>0.14583333333333334</v>
      </c>
      <c r="H273" s="4">
        <v>0</v>
      </c>
      <c r="I273" s="4">
        <v>0</v>
      </c>
      <c r="J273" s="4">
        <v>0</v>
      </c>
      <c r="K273" s="5">
        <v>20.5</v>
      </c>
      <c r="L273" s="5">
        <v>24</v>
      </c>
      <c r="M273" s="5">
        <v>1906.5</v>
      </c>
      <c r="N273" s="5">
        <v>2232</v>
      </c>
      <c r="O273" s="6">
        <v>759</v>
      </c>
      <c r="P273" s="7">
        <v>2.5118577075098814</v>
      </c>
      <c r="Q273" s="7">
        <v>2.9407114624505928</v>
      </c>
      <c r="R273" s="7">
        <v>0.34005376344086025</v>
      </c>
    </row>
    <row r="274" spans="2:18" ht="15" customHeight="1" x14ac:dyDescent="0.3">
      <c r="B274" s="74">
        <v>46048</v>
      </c>
      <c r="C274" s="69" t="str">
        <v>PU thân</v>
      </c>
      <c r="D274" s="68">
        <v>12</v>
      </c>
      <c r="E274" s="66">
        <v>46048.291666666664</v>
      </c>
      <c r="F274" s="49">
        <v>46049.291666666664</v>
      </c>
      <c r="G274" s="49">
        <v>0.14583333333333334</v>
      </c>
      <c r="H274" s="4">
        <v>0</v>
      </c>
      <c r="I274" s="4">
        <v>0.3125</v>
      </c>
      <c r="J274" s="4">
        <v>0.375</v>
      </c>
      <c r="K274" s="5">
        <v>20.5</v>
      </c>
      <c r="L274" s="5">
        <v>24</v>
      </c>
      <c r="M274" s="5">
        <v>246</v>
      </c>
      <c r="N274" s="5">
        <v>288</v>
      </c>
      <c r="O274" s="6">
        <v>911</v>
      </c>
      <c r="P274" s="7">
        <v>0.27003293084522501</v>
      </c>
      <c r="Q274" s="7">
        <v>0.31613611416026344</v>
      </c>
      <c r="R274" s="7">
        <v>3.1631944444444446</v>
      </c>
    </row>
    <row r="275" spans="2:18" ht="15" customHeight="1" x14ac:dyDescent="0.3">
      <c r="B275" s="74">
        <v>46048</v>
      </c>
      <c r="C275" s="69" t="str">
        <v>SPU</v>
      </c>
      <c r="D275" s="68">
        <v>67</v>
      </c>
      <c r="E275" s="66">
        <v>46048.291666666664</v>
      </c>
      <c r="F275" s="49">
        <v>46049.291666666664</v>
      </c>
      <c r="G275" s="49">
        <v>0.14583333333333334</v>
      </c>
      <c r="H275" s="4">
        <v>0.12847222222222221</v>
      </c>
      <c r="I275" s="4">
        <v>0</v>
      </c>
      <c r="J275" s="4">
        <v>0</v>
      </c>
      <c r="K275" s="5">
        <v>17.416666666666668</v>
      </c>
      <c r="L275" s="5">
        <v>24</v>
      </c>
      <c r="M275" s="5">
        <v>1166.9166666666667</v>
      </c>
      <c r="N275" s="5">
        <v>1608</v>
      </c>
      <c r="O275" s="6">
        <v>860</v>
      </c>
      <c r="P275" s="7">
        <v>1.3568798449612405</v>
      </c>
      <c r="Q275" s="7">
        <v>1.8697674418604651</v>
      </c>
      <c r="R275" s="7">
        <v>0.53482587064676623</v>
      </c>
    </row>
    <row r="276" spans="2:18" ht="15" customHeight="1" x14ac:dyDescent="0.3">
      <c r="B276" s="74">
        <v>46048</v>
      </c>
      <c r="C276" s="69" t="str">
        <v>HT</v>
      </c>
      <c r="D276" s="68">
        <v>71</v>
      </c>
      <c r="E276" s="66">
        <v>46048.291666666664</v>
      </c>
      <c r="F276" s="49">
        <v>46049.291666666664</v>
      </c>
      <c r="G276" s="49">
        <v>0.14583333333333334</v>
      </c>
      <c r="H276" s="4">
        <v>4.1666666666666664E-2</v>
      </c>
      <c r="I276" s="4">
        <v>0</v>
      </c>
      <c r="J276" s="4">
        <v>0</v>
      </c>
      <c r="K276" s="5">
        <v>19.5</v>
      </c>
      <c r="L276" s="5">
        <v>24</v>
      </c>
      <c r="M276" s="5">
        <v>1384.5</v>
      </c>
      <c r="N276" s="5">
        <v>1704</v>
      </c>
      <c r="O276" s="6">
        <v>810</v>
      </c>
      <c r="P276" s="7">
        <v>1.7092592592592593</v>
      </c>
      <c r="Q276" s="7">
        <v>2.1037037037037036</v>
      </c>
      <c r="R276" s="7">
        <v>0.47535211267605637</v>
      </c>
    </row>
    <row r="277" spans="2:18" ht="15" customHeight="1" x14ac:dyDescent="0.3">
      <c r="B277" s="74">
        <v>46049</v>
      </c>
      <c r="C277" s="69" t="str">
        <v>TLR</v>
      </c>
      <c r="D277" s="68">
        <v>91</v>
      </c>
      <c r="E277" s="66">
        <v>46049.291666666664</v>
      </c>
      <c r="F277" s="49">
        <v>46050.291666666664</v>
      </c>
      <c r="G277" s="49">
        <v>0.14583333333333334</v>
      </c>
      <c r="H277" s="4">
        <v>0</v>
      </c>
      <c r="I277" s="4">
        <v>0</v>
      </c>
      <c r="J277" s="4">
        <v>0</v>
      </c>
      <c r="K277" s="5">
        <v>20.5</v>
      </c>
      <c r="L277" s="5">
        <v>24</v>
      </c>
      <c r="M277" s="5">
        <v>1865.5</v>
      </c>
      <c r="N277" s="5">
        <v>2184</v>
      </c>
      <c r="O277" s="6">
        <v>1093</v>
      </c>
      <c r="P277" s="7">
        <v>1.7067703568161026</v>
      </c>
      <c r="Q277" s="7">
        <v>1.9981701738334858</v>
      </c>
      <c r="R277" s="7">
        <v>0.50045787545787546</v>
      </c>
    </row>
    <row r="278" spans="2:18" ht="15" customHeight="1" x14ac:dyDescent="0.3">
      <c r="B278" s="74">
        <v>46049</v>
      </c>
      <c r="C278" s="69" t="str">
        <v>PU thân</v>
      </c>
      <c r="D278" s="68">
        <v>13</v>
      </c>
      <c r="E278" s="66">
        <v>46049.291666666664</v>
      </c>
      <c r="F278" s="49">
        <v>46050.291666666664</v>
      </c>
      <c r="G278" s="49">
        <v>0.14583333333333334</v>
      </c>
      <c r="H278" s="4">
        <v>8.3333333333333329E-2</v>
      </c>
      <c r="I278" s="4">
        <v>0</v>
      </c>
      <c r="J278" s="4">
        <v>0</v>
      </c>
      <c r="K278" s="5">
        <v>18.5</v>
      </c>
      <c r="L278" s="5">
        <v>24</v>
      </c>
      <c r="M278" s="5">
        <v>240.5</v>
      </c>
      <c r="N278" s="5">
        <v>312</v>
      </c>
      <c r="O278" s="6">
        <v>1145</v>
      </c>
      <c r="P278" s="7">
        <v>0.21004366812227074</v>
      </c>
      <c r="Q278" s="7">
        <v>0.27248908296943231</v>
      </c>
      <c r="R278" s="7">
        <v>3.6698717948717952</v>
      </c>
    </row>
    <row r="279" spans="2:18" ht="15" customHeight="1" x14ac:dyDescent="0.3">
      <c r="B279" s="74">
        <v>46049</v>
      </c>
      <c r="C279" s="69" t="str">
        <v>SPU</v>
      </c>
      <c r="D279" s="68">
        <v>72</v>
      </c>
      <c r="E279" s="66">
        <v>46049.291666666664</v>
      </c>
      <c r="F279" s="49">
        <v>46050.291666666664</v>
      </c>
      <c r="G279" s="49">
        <v>0.14583333333333334</v>
      </c>
      <c r="H279" s="4">
        <v>6.9444444444444448E-2</v>
      </c>
      <c r="I279" s="4">
        <v>0</v>
      </c>
      <c r="J279" s="4">
        <v>0</v>
      </c>
      <c r="K279" s="5">
        <v>18.833333333333332</v>
      </c>
      <c r="L279" s="5">
        <v>24</v>
      </c>
      <c r="M279" s="5">
        <v>1356</v>
      </c>
      <c r="N279" s="5">
        <v>1728</v>
      </c>
      <c r="O279" s="6">
        <v>995</v>
      </c>
      <c r="P279" s="7">
        <v>1.3628140703517588</v>
      </c>
      <c r="Q279" s="7">
        <v>1.7366834170854271</v>
      </c>
      <c r="R279" s="7">
        <v>0.57581018518518523</v>
      </c>
    </row>
    <row r="280" spans="2:18" ht="15" customHeight="1" x14ac:dyDescent="0.3">
      <c r="B280" s="74">
        <v>46049</v>
      </c>
      <c r="C280" s="69" t="str">
        <v>HT</v>
      </c>
      <c r="D280" s="68">
        <v>69</v>
      </c>
      <c r="E280" s="66">
        <v>46049.291666666664</v>
      </c>
      <c r="F280" s="49">
        <v>46050.291666666664</v>
      </c>
      <c r="G280" s="49">
        <v>0.14583333333333334</v>
      </c>
      <c r="H280" s="4">
        <v>0</v>
      </c>
      <c r="I280" s="4">
        <v>0</v>
      </c>
      <c r="J280" s="4">
        <v>4.1666666666666664E-2</v>
      </c>
      <c r="K280" s="5">
        <v>20.5</v>
      </c>
      <c r="L280" s="5">
        <v>24</v>
      </c>
      <c r="M280" s="5">
        <v>1414.5</v>
      </c>
      <c r="N280" s="5">
        <v>1656</v>
      </c>
      <c r="O280" s="6">
        <v>945</v>
      </c>
      <c r="P280" s="7">
        <v>1.4968253968253968</v>
      </c>
      <c r="Q280" s="7">
        <v>1.7523809523809524</v>
      </c>
      <c r="R280" s="7">
        <v>0.57065217391304346</v>
      </c>
    </row>
    <row r="281" spans="2:18" ht="15" customHeight="1" x14ac:dyDescent="0.3">
      <c r="B281" s="73">
        <v>46050</v>
      </c>
      <c r="C281" s="69" t="str">
        <v>TLR</v>
      </c>
      <c r="D281" s="68">
        <v>88</v>
      </c>
      <c r="E281" s="66">
        <v>46050.291666666664</v>
      </c>
      <c r="F281" s="49">
        <v>46051.291666666664</v>
      </c>
      <c r="G281" s="49">
        <v>0.14583333333333334</v>
      </c>
      <c r="H281" s="4">
        <v>0</v>
      </c>
      <c r="I281" s="4">
        <v>0</v>
      </c>
      <c r="J281" s="4">
        <v>0.26041666666666669</v>
      </c>
      <c r="K281" s="5">
        <v>20.5</v>
      </c>
      <c r="L281" s="5">
        <v>24</v>
      </c>
      <c r="M281" s="5">
        <v>1804</v>
      </c>
      <c r="N281" s="5">
        <v>2112</v>
      </c>
      <c r="O281" s="6">
        <v>906</v>
      </c>
      <c r="P281" s="7">
        <v>1.9911699779249448</v>
      </c>
      <c r="Q281" s="7">
        <v>2.3311258278145695</v>
      </c>
      <c r="R281" s="7">
        <v>0.42897727272727276</v>
      </c>
    </row>
    <row r="282" spans="2:18" ht="15" customHeight="1" x14ac:dyDescent="0.3">
      <c r="B282" s="73">
        <v>46050</v>
      </c>
      <c r="C282" s="69" t="str">
        <v>PU thân</v>
      </c>
      <c r="D282" s="68">
        <v>12</v>
      </c>
      <c r="E282" s="66">
        <v>46050.291666666664</v>
      </c>
      <c r="F282" s="49">
        <v>46051.291666666664</v>
      </c>
      <c r="G282" s="49">
        <v>0.14583333333333334</v>
      </c>
      <c r="H282" s="4">
        <v>0</v>
      </c>
      <c r="I282" s="4">
        <v>8.3333333333333329E-2</v>
      </c>
      <c r="J282" s="4">
        <v>0.16666666666666666</v>
      </c>
      <c r="K282" s="5">
        <v>20.5</v>
      </c>
      <c r="L282" s="5">
        <v>24</v>
      </c>
      <c r="M282" s="5">
        <v>246</v>
      </c>
      <c r="N282" s="5">
        <v>288</v>
      </c>
      <c r="O282" s="6">
        <v>1091</v>
      </c>
      <c r="P282" s="7">
        <v>0.22548120989917506</v>
      </c>
      <c r="Q282" s="7">
        <v>0.26397800183318054</v>
      </c>
      <c r="R282" s="7">
        <v>3.7881944444444446</v>
      </c>
    </row>
    <row r="283" spans="2:18" ht="15" customHeight="1" x14ac:dyDescent="0.3">
      <c r="B283" s="73">
        <v>46050</v>
      </c>
      <c r="C283" s="69" t="str">
        <v>SPU</v>
      </c>
      <c r="D283" s="68">
        <v>73</v>
      </c>
      <c r="E283" s="66">
        <v>46050.291666666664</v>
      </c>
      <c r="F283" s="49">
        <v>46051.291666666664</v>
      </c>
      <c r="G283" s="49">
        <v>0.14583333333333334</v>
      </c>
      <c r="H283" s="4">
        <v>8.3333333333333329E-2</v>
      </c>
      <c r="I283" s="4">
        <v>0</v>
      </c>
      <c r="J283" s="4">
        <v>0</v>
      </c>
      <c r="K283" s="5">
        <v>18.5</v>
      </c>
      <c r="L283" s="5">
        <v>24</v>
      </c>
      <c r="M283" s="5">
        <v>1350.5</v>
      </c>
      <c r="N283" s="5">
        <v>1752</v>
      </c>
      <c r="O283" s="6">
        <v>1098</v>
      </c>
      <c r="P283" s="7">
        <v>1.2299635701275045</v>
      </c>
      <c r="Q283" s="7">
        <v>1.5956284153005464</v>
      </c>
      <c r="R283" s="7">
        <v>0.62671232876712324</v>
      </c>
    </row>
    <row r="284" spans="2:18" ht="15" customHeight="1" x14ac:dyDescent="0.3">
      <c r="B284" s="73">
        <v>46050</v>
      </c>
      <c r="C284" s="69" t="str">
        <v>HT</v>
      </c>
      <c r="D284" s="68">
        <v>72</v>
      </c>
      <c r="E284" s="66">
        <v>46050.291666666664</v>
      </c>
      <c r="F284" s="49">
        <v>46051.291666666664</v>
      </c>
      <c r="G284" s="49">
        <v>0.14583333333333334</v>
      </c>
      <c r="H284" s="4">
        <v>0</v>
      </c>
      <c r="I284" s="4">
        <v>0</v>
      </c>
      <c r="J284" s="4">
        <v>0</v>
      </c>
      <c r="K284" s="5">
        <v>20.5</v>
      </c>
      <c r="L284" s="5">
        <v>24</v>
      </c>
      <c r="M284" s="5">
        <v>1476</v>
      </c>
      <c r="N284" s="5">
        <v>1728</v>
      </c>
      <c r="O284" s="6">
        <v>1170</v>
      </c>
      <c r="P284" s="7">
        <v>1.2615384615384615</v>
      </c>
      <c r="Q284" s="7">
        <v>1.476923076923077</v>
      </c>
      <c r="R284" s="7">
        <v>0.67708333333333326</v>
      </c>
    </row>
    <row r="285" spans="2:18" ht="15" customHeight="1" x14ac:dyDescent="0.3">
      <c r="B285" s="73">
        <v>46051</v>
      </c>
      <c r="C285" s="69" t="str">
        <v>TLR</v>
      </c>
      <c r="D285" s="68">
        <v>88</v>
      </c>
      <c r="E285" s="66">
        <v>46051.291666666664</v>
      </c>
      <c r="F285" s="49">
        <v>46052.291666666664</v>
      </c>
      <c r="G285" s="49">
        <v>0.14583333333333334</v>
      </c>
      <c r="H285" s="4">
        <v>0</v>
      </c>
      <c r="I285" s="4">
        <v>0</v>
      </c>
      <c r="J285" s="4">
        <v>1.0416666666666666E-2</v>
      </c>
      <c r="K285" s="5">
        <v>20.5</v>
      </c>
      <c r="L285" s="5">
        <v>24</v>
      </c>
      <c r="M285" s="5">
        <v>1804</v>
      </c>
      <c r="N285" s="5">
        <v>2112</v>
      </c>
      <c r="O285" s="6">
        <v>1036</v>
      </c>
      <c r="P285" s="7">
        <v>1.7413127413127414</v>
      </c>
      <c r="Q285" s="7">
        <v>2.0386100386100385</v>
      </c>
      <c r="R285" s="7">
        <v>0.49053030303030304</v>
      </c>
    </row>
    <row r="286" spans="2:18" ht="15" customHeight="1" x14ac:dyDescent="0.3">
      <c r="B286" s="73">
        <v>46051</v>
      </c>
      <c r="C286" s="69" t="str">
        <v>PU thân</v>
      </c>
      <c r="D286" s="68">
        <v>12</v>
      </c>
      <c r="E286" s="66">
        <v>46051.291666666664</v>
      </c>
      <c r="F286" s="49">
        <v>46052.291666666664</v>
      </c>
      <c r="G286" s="49">
        <v>0.14583333333333334</v>
      </c>
      <c r="H286" s="4">
        <v>0</v>
      </c>
      <c r="I286" s="4">
        <v>0</v>
      </c>
      <c r="J286" s="4">
        <v>0.45833333333333331</v>
      </c>
      <c r="K286" s="5">
        <v>20.5</v>
      </c>
      <c r="L286" s="5">
        <v>24</v>
      </c>
      <c r="M286" s="5">
        <v>246</v>
      </c>
      <c r="N286" s="5">
        <v>288</v>
      </c>
      <c r="O286" s="6">
        <v>1033</v>
      </c>
      <c r="P286" s="7">
        <v>0.23814133591481124</v>
      </c>
      <c r="Q286" s="7">
        <v>0.27879961277831561</v>
      </c>
      <c r="R286" s="7">
        <v>3.5868055555555554</v>
      </c>
    </row>
    <row r="287" spans="2:18" ht="15" customHeight="1" x14ac:dyDescent="0.3">
      <c r="B287" s="73">
        <v>46051</v>
      </c>
      <c r="C287" s="69" t="str">
        <v>SPU</v>
      </c>
      <c r="D287" s="68">
        <v>73</v>
      </c>
      <c r="E287" s="66">
        <v>46051.291666666664</v>
      </c>
      <c r="F287" s="49">
        <v>46052.291666666664</v>
      </c>
      <c r="G287" s="49">
        <v>0.14583333333333334</v>
      </c>
      <c r="H287" s="4">
        <v>6.5972222222222224E-2</v>
      </c>
      <c r="I287" s="4">
        <v>0</v>
      </c>
      <c r="J287" s="4">
        <v>0</v>
      </c>
      <c r="K287" s="5">
        <v>18.916666666666668</v>
      </c>
      <c r="L287" s="5">
        <v>24</v>
      </c>
      <c r="M287" s="5">
        <v>1380.9166666666667</v>
      </c>
      <c r="N287" s="5">
        <v>1752</v>
      </c>
      <c r="O287" s="6">
        <v>1117</v>
      </c>
      <c r="P287" s="7">
        <v>1.2362727544016712</v>
      </c>
      <c r="Q287" s="7">
        <v>1.5684870188003581</v>
      </c>
      <c r="R287" s="7">
        <v>0.63755707762557079</v>
      </c>
    </row>
    <row r="288" spans="2:18" ht="15" customHeight="1" x14ac:dyDescent="0.3">
      <c r="B288" s="73">
        <v>46051</v>
      </c>
      <c r="C288" s="69" t="str">
        <v>HT</v>
      </c>
      <c r="D288" s="68">
        <v>69</v>
      </c>
      <c r="E288" s="66">
        <v>46051.291666666664</v>
      </c>
      <c r="F288" s="49">
        <v>46052.291666666664</v>
      </c>
      <c r="G288" s="49">
        <v>0.14583333333333334</v>
      </c>
      <c r="H288" s="4">
        <v>0</v>
      </c>
      <c r="I288" s="4">
        <v>0</v>
      </c>
      <c r="J288" s="4">
        <v>0</v>
      </c>
      <c r="K288" s="5">
        <v>20.5</v>
      </c>
      <c r="L288" s="5">
        <v>24</v>
      </c>
      <c r="M288" s="5">
        <v>1414.5</v>
      </c>
      <c r="N288" s="5">
        <v>1656</v>
      </c>
      <c r="O288" s="6">
        <v>1059</v>
      </c>
      <c r="P288" s="7">
        <v>1.3356940509915014</v>
      </c>
      <c r="Q288" s="7">
        <v>1.5637393767705383</v>
      </c>
      <c r="R288" s="7">
        <v>0.63949275362318836</v>
      </c>
    </row>
    <row r="289" spans="2:18" ht="15" customHeight="1" x14ac:dyDescent="0.3">
      <c r="B289" s="74">
        <v>46052</v>
      </c>
      <c r="C289" s="69" t="str">
        <v>TLR</v>
      </c>
      <c r="D289" s="68">
        <v>86</v>
      </c>
      <c r="E289" s="66">
        <v>46052.291666666664</v>
      </c>
      <c r="F289" s="49">
        <v>46053.291666666664</v>
      </c>
      <c r="G289" s="49">
        <v>0.14583333333333334</v>
      </c>
      <c r="H289" s="4">
        <v>0</v>
      </c>
      <c r="I289" s="4">
        <v>0</v>
      </c>
      <c r="J289" s="4">
        <v>0.20833333333333334</v>
      </c>
      <c r="K289" s="5">
        <v>20.5</v>
      </c>
      <c r="L289" s="5">
        <v>24</v>
      </c>
      <c r="M289" s="5">
        <v>1763</v>
      </c>
      <c r="N289" s="5">
        <v>2064</v>
      </c>
      <c r="O289" s="6">
        <v>933</v>
      </c>
      <c r="P289" s="7">
        <v>1.8896034297963558</v>
      </c>
      <c r="Q289" s="7">
        <v>2.212218649517685</v>
      </c>
      <c r="R289" s="7">
        <v>0.4520348837209302</v>
      </c>
    </row>
    <row r="290" spans="2:18" ht="15" customHeight="1" x14ac:dyDescent="0.3">
      <c r="B290" s="74">
        <v>46052</v>
      </c>
      <c r="C290" s="69" t="str">
        <v>PU thân</v>
      </c>
      <c r="D290" s="68">
        <v>12</v>
      </c>
      <c r="E290" s="66">
        <v>46052.291666666664</v>
      </c>
      <c r="F290" s="49">
        <v>46053.291666666664</v>
      </c>
      <c r="G290" s="49">
        <v>0.14583333333333334</v>
      </c>
      <c r="H290" s="4">
        <v>0</v>
      </c>
      <c r="I290" s="4">
        <v>0.12152777777777778</v>
      </c>
      <c r="J290" s="4">
        <v>0.33333333333333331</v>
      </c>
      <c r="K290" s="5">
        <v>20.5</v>
      </c>
      <c r="L290" s="5">
        <v>24</v>
      </c>
      <c r="M290" s="5">
        <v>246</v>
      </c>
      <c r="N290" s="5">
        <v>288</v>
      </c>
      <c r="O290" s="6">
        <v>939</v>
      </c>
      <c r="P290" s="7">
        <v>0.26198083067092653</v>
      </c>
      <c r="Q290" s="7">
        <v>0.30670926517571884</v>
      </c>
      <c r="R290" s="7">
        <v>3.260416666666667</v>
      </c>
    </row>
    <row r="291" spans="2:18" ht="15" customHeight="1" x14ac:dyDescent="0.3">
      <c r="B291" s="74">
        <v>46052</v>
      </c>
      <c r="C291" s="69" t="str">
        <v>SPU</v>
      </c>
      <c r="D291" s="68">
        <v>74</v>
      </c>
      <c r="E291" s="66">
        <v>46052.291666666664</v>
      </c>
      <c r="F291" s="49">
        <v>46053.291666666664</v>
      </c>
      <c r="G291" s="49">
        <v>0.14583333333333334</v>
      </c>
      <c r="H291" s="4">
        <v>7.2916666666666671E-2</v>
      </c>
      <c r="I291" s="4">
        <v>0</v>
      </c>
      <c r="J291" s="4">
        <v>0</v>
      </c>
      <c r="K291" s="5">
        <v>18.75</v>
      </c>
      <c r="L291" s="5">
        <v>24</v>
      </c>
      <c r="M291" s="5">
        <v>1387.5</v>
      </c>
      <c r="N291" s="5">
        <v>1776</v>
      </c>
      <c r="O291" s="6">
        <v>995</v>
      </c>
      <c r="P291" s="7">
        <v>1.3944723618090453</v>
      </c>
      <c r="Q291" s="7">
        <v>1.784924623115578</v>
      </c>
      <c r="R291" s="7">
        <v>0.56024774774774777</v>
      </c>
    </row>
    <row r="292" spans="2:18" ht="15" customHeight="1" x14ac:dyDescent="0.3">
      <c r="B292" s="74">
        <v>46052</v>
      </c>
      <c r="C292" s="69" t="str">
        <v>HT</v>
      </c>
      <c r="D292" s="68">
        <v>70</v>
      </c>
      <c r="E292" s="66">
        <v>46052.291666666664</v>
      </c>
      <c r="F292" s="49">
        <v>46053.291666666664</v>
      </c>
      <c r="G292" s="49">
        <v>0.14583333333333334</v>
      </c>
      <c r="H292" s="4">
        <v>0</v>
      </c>
      <c r="I292" s="4">
        <v>0</v>
      </c>
      <c r="J292" s="4">
        <v>8.3333333333333329E-2</v>
      </c>
      <c r="K292" s="5">
        <v>20.5</v>
      </c>
      <c r="L292" s="5">
        <v>24</v>
      </c>
      <c r="M292" s="5">
        <v>1435</v>
      </c>
      <c r="N292" s="5">
        <v>1680</v>
      </c>
      <c r="O292" s="6">
        <v>1056</v>
      </c>
      <c r="P292" s="7">
        <v>1.3589015151515151</v>
      </c>
      <c r="Q292" s="7">
        <v>1.5909090909090908</v>
      </c>
      <c r="R292" s="7">
        <v>0.62857142857142856</v>
      </c>
    </row>
    <row r="293" spans="2:18" ht="15" customHeight="1" x14ac:dyDescent="0.3">
      <c r="B293" s="74">
        <v>46053</v>
      </c>
      <c r="C293" s="69" t="str">
        <v>TLR</v>
      </c>
      <c r="D293" s="68">
        <v>82</v>
      </c>
      <c r="E293" s="66">
        <v>46053.291666666664</v>
      </c>
      <c r="F293" s="49">
        <v>46054.291666666664</v>
      </c>
      <c r="G293" s="49">
        <v>0.14583333333333334</v>
      </c>
      <c r="H293" s="4">
        <v>3.4722222222222224E-2</v>
      </c>
      <c r="I293" s="4">
        <v>0</v>
      </c>
      <c r="J293" s="4">
        <v>0.33333333333333331</v>
      </c>
      <c r="K293" s="5">
        <v>19.666666666666668</v>
      </c>
      <c r="L293" s="5">
        <v>24</v>
      </c>
      <c r="M293" s="5">
        <v>1612.6666666666667</v>
      </c>
      <c r="N293" s="5">
        <v>1968</v>
      </c>
      <c r="O293" s="6">
        <v>956</v>
      </c>
      <c r="P293" s="7">
        <v>1.686889818688982</v>
      </c>
      <c r="Q293" s="7">
        <v>2.0585774058577404</v>
      </c>
      <c r="R293" s="7">
        <v>0.4857723577235773</v>
      </c>
    </row>
    <row r="294" spans="2:18" ht="15" customHeight="1" x14ac:dyDescent="0.3">
      <c r="B294" s="74">
        <v>46053</v>
      </c>
      <c r="C294" s="69" t="str">
        <v>PU thân</v>
      </c>
      <c r="D294" s="68">
        <v>11</v>
      </c>
      <c r="E294" s="66">
        <v>46053.291666666664</v>
      </c>
      <c r="F294" s="49">
        <v>46054.291666666664</v>
      </c>
      <c r="G294" s="49">
        <v>0.14583333333333334</v>
      </c>
      <c r="H294" s="4">
        <v>4.8611111111111112E-2</v>
      </c>
      <c r="I294" s="4">
        <v>4.8611111111111112E-2</v>
      </c>
      <c r="J294" s="4">
        <v>0.375</v>
      </c>
      <c r="K294" s="5">
        <v>19.333333333333332</v>
      </c>
      <c r="L294" s="5">
        <v>24</v>
      </c>
      <c r="M294" s="5">
        <v>212.66666666666666</v>
      </c>
      <c r="N294" s="5">
        <v>264</v>
      </c>
      <c r="O294" s="6">
        <v>959</v>
      </c>
      <c r="P294" s="7">
        <v>0.22175877650330203</v>
      </c>
      <c r="Q294" s="7">
        <v>0.27528675703858185</v>
      </c>
      <c r="R294" s="7">
        <v>3.6325757575757578</v>
      </c>
    </row>
    <row r="295" spans="2:18" ht="15" customHeight="1" x14ac:dyDescent="0.3">
      <c r="B295" s="74">
        <v>46053</v>
      </c>
      <c r="C295" s="69" t="str">
        <v>SPU</v>
      </c>
      <c r="D295" s="68">
        <v>68</v>
      </c>
      <c r="E295" s="66">
        <v>46053.291666666664</v>
      </c>
      <c r="F295" s="49">
        <v>46054.291666666664</v>
      </c>
      <c r="G295" s="49">
        <v>0.14583333333333334</v>
      </c>
      <c r="H295" s="4">
        <v>8.3333333333333329E-2</v>
      </c>
      <c r="I295" s="4">
        <v>0</v>
      </c>
      <c r="J295" s="4">
        <v>0</v>
      </c>
      <c r="K295" s="5">
        <v>18.5</v>
      </c>
      <c r="L295" s="5">
        <v>24</v>
      </c>
      <c r="M295" s="5">
        <v>1258</v>
      </c>
      <c r="N295" s="5">
        <v>1632</v>
      </c>
      <c r="O295" s="6">
        <v>983</v>
      </c>
      <c r="P295" s="7">
        <v>1.2797558494404884</v>
      </c>
      <c r="Q295" s="7">
        <v>1.6602238046795523</v>
      </c>
      <c r="R295" s="7">
        <v>0.60232843137254899</v>
      </c>
    </row>
    <row r="296" spans="2:18" ht="15" customHeight="1" x14ac:dyDescent="0.3">
      <c r="B296" s="74">
        <v>46053</v>
      </c>
      <c r="C296" s="69" t="str">
        <v>HT</v>
      </c>
      <c r="D296" s="68">
        <v>68</v>
      </c>
      <c r="E296" s="66">
        <v>46053.291666666664</v>
      </c>
      <c r="F296" s="49">
        <v>46054.291666666664</v>
      </c>
      <c r="G296" s="49">
        <v>0.14583333333333334</v>
      </c>
      <c r="H296" s="4">
        <v>0</v>
      </c>
      <c r="I296" s="4">
        <v>0</v>
      </c>
      <c r="J296" s="4">
        <v>0</v>
      </c>
      <c r="K296" s="5">
        <v>20.5</v>
      </c>
      <c r="L296" s="5">
        <v>24</v>
      </c>
      <c r="M296" s="5">
        <v>1394</v>
      </c>
      <c r="N296" s="5">
        <v>1632</v>
      </c>
      <c r="O296" s="6">
        <v>978</v>
      </c>
      <c r="P296" s="7">
        <v>1.425357873210634</v>
      </c>
      <c r="Q296" s="7">
        <v>1.6687116564417177</v>
      </c>
      <c r="R296" s="7">
        <v>0.59926470588235292</v>
      </c>
    </row>
    <row r="297" spans="2:18" ht="15" customHeight="1" x14ac:dyDescent="0.3">
      <c r="B297" s="73">
        <v>46054</v>
      </c>
      <c r="C297" s="69" t="str">
        <v>TLR</v>
      </c>
      <c r="D297" s="68">
        <v>29</v>
      </c>
      <c r="E297" s="66">
        <v>46054.291666666664</v>
      </c>
      <c r="F297" s="49">
        <v>46054.708333333336</v>
      </c>
      <c r="G297" s="49">
        <v>6.25E-2</v>
      </c>
      <c r="H297" s="4">
        <v>0</v>
      </c>
      <c r="I297" s="4">
        <v>0</v>
      </c>
      <c r="J297" s="4">
        <v>8.3333333333333329E-2</v>
      </c>
      <c r="K297" s="5">
        <v>8.5</v>
      </c>
      <c r="L297" s="5">
        <v>10</v>
      </c>
      <c r="M297" s="5">
        <v>246.5</v>
      </c>
      <c r="N297" s="5">
        <v>290</v>
      </c>
      <c r="O297" s="6">
        <v>217</v>
      </c>
      <c r="P297" s="7">
        <v>1.1359447004608294</v>
      </c>
      <c r="Q297" s="7">
        <v>1.336405529953917</v>
      </c>
      <c r="R297" s="7">
        <v>0.74827586206896557</v>
      </c>
    </row>
    <row r="298" spans="2:18" ht="15" customHeight="1" x14ac:dyDescent="0.3">
      <c r="B298" s="73">
        <v>46054</v>
      </c>
      <c r="C298" s="69" t="str">
        <v>PU thân</v>
      </c>
      <c r="D298" s="68">
        <v>3</v>
      </c>
      <c r="E298" s="66">
        <v>46054.291666666664</v>
      </c>
      <c r="F298" s="49">
        <v>46054.708333333336</v>
      </c>
      <c r="G298" s="49">
        <v>6.25E-2</v>
      </c>
      <c r="H298" s="4">
        <v>0</v>
      </c>
      <c r="I298" s="4">
        <v>0</v>
      </c>
      <c r="J298" s="4">
        <v>0</v>
      </c>
      <c r="K298" s="5">
        <v>8.5</v>
      </c>
      <c r="L298" s="5">
        <v>10</v>
      </c>
      <c r="M298" s="5">
        <v>25.5</v>
      </c>
      <c r="N298" s="5">
        <v>30</v>
      </c>
      <c r="O298" s="6">
        <v>189</v>
      </c>
      <c r="P298" s="7">
        <v>0.13492063492063491</v>
      </c>
      <c r="Q298" s="7">
        <v>0.15873015873015872</v>
      </c>
      <c r="R298" s="7">
        <v>6.3000000000000007</v>
      </c>
    </row>
    <row r="299" spans="2:18" ht="15" customHeight="1" x14ac:dyDescent="0.3">
      <c r="B299" s="73">
        <v>46054</v>
      </c>
      <c r="C299" s="69" t="str">
        <v>SPU</v>
      </c>
      <c r="D299" s="68">
        <v>33</v>
      </c>
      <c r="E299" s="66">
        <v>46054.291666666664</v>
      </c>
      <c r="F299" s="49">
        <v>46054.708333333336</v>
      </c>
      <c r="G299" s="49">
        <v>6.25E-2</v>
      </c>
      <c r="H299" s="4">
        <v>0</v>
      </c>
      <c r="I299" s="4">
        <v>0</v>
      </c>
      <c r="J299" s="4">
        <v>0</v>
      </c>
      <c r="K299" s="5">
        <v>8.5</v>
      </c>
      <c r="L299" s="5">
        <v>10</v>
      </c>
      <c r="M299" s="5">
        <v>280.5</v>
      </c>
      <c r="N299" s="5">
        <v>330</v>
      </c>
      <c r="O299" s="6">
        <v>251</v>
      </c>
      <c r="P299" s="7">
        <v>1.1175298804780875</v>
      </c>
      <c r="Q299" s="7">
        <v>1.3147410358565736</v>
      </c>
      <c r="R299" s="7">
        <v>0.76060606060606062</v>
      </c>
    </row>
    <row r="300" spans="2:18" ht="15" customHeight="1" x14ac:dyDescent="0.3">
      <c r="B300" s="73">
        <v>46054</v>
      </c>
      <c r="C300" s="69" t="str">
        <v>HT</v>
      </c>
      <c r="D300" s="68">
        <v>26</v>
      </c>
      <c r="E300" s="66">
        <v>46054.291666666664</v>
      </c>
      <c r="F300" s="49">
        <v>46054.708333333336</v>
      </c>
      <c r="G300" s="49">
        <v>6.25E-2</v>
      </c>
      <c r="H300" s="4">
        <v>0</v>
      </c>
      <c r="I300" s="4">
        <v>0</v>
      </c>
      <c r="J300" s="4">
        <v>0</v>
      </c>
      <c r="K300" s="5">
        <v>8.5</v>
      </c>
      <c r="L300" s="5">
        <v>10</v>
      </c>
      <c r="M300" s="5">
        <v>221</v>
      </c>
      <c r="N300" s="5">
        <v>260</v>
      </c>
      <c r="O300" s="6">
        <v>232</v>
      </c>
      <c r="P300" s="7">
        <v>0.95258620689655171</v>
      </c>
      <c r="Q300" s="7">
        <v>1.1206896551724137</v>
      </c>
      <c r="R300" s="7">
        <v>0.89230769230769236</v>
      </c>
    </row>
    <row r="301" spans="2:18" ht="15" customHeight="1" x14ac:dyDescent="0.3">
      <c r="B301" s="73">
        <v>46055</v>
      </c>
      <c r="C301" s="69" t="str">
        <v>TLR</v>
      </c>
      <c r="D301" s="68">
        <v>66</v>
      </c>
      <c r="E301" s="66">
        <v>46055.291666666664</v>
      </c>
      <c r="F301" s="49">
        <v>46056.291666666664</v>
      </c>
      <c r="G301" s="49">
        <v>0.14583333333333334</v>
      </c>
      <c r="H301" s="4">
        <v>0</v>
      </c>
      <c r="I301" s="4">
        <v>0</v>
      </c>
      <c r="J301" s="4">
        <v>0</v>
      </c>
      <c r="K301" s="5">
        <v>20.5</v>
      </c>
      <c r="L301" s="5">
        <v>24</v>
      </c>
      <c r="M301" s="5">
        <v>1353</v>
      </c>
      <c r="N301" s="5">
        <v>1584</v>
      </c>
      <c r="O301" s="6">
        <v>848</v>
      </c>
      <c r="P301" s="7">
        <v>1.5955188679245282</v>
      </c>
      <c r="Q301" s="7">
        <v>1.8679245283018868</v>
      </c>
      <c r="R301" s="7">
        <v>0.53535353535353536</v>
      </c>
    </row>
    <row r="302" spans="2:18" ht="15" customHeight="1" x14ac:dyDescent="0.3">
      <c r="B302" s="73">
        <v>46055</v>
      </c>
      <c r="C302" s="69" t="str">
        <v>PU thân</v>
      </c>
      <c r="D302" s="68">
        <v>10</v>
      </c>
      <c r="E302" s="66">
        <v>46055.291666666664</v>
      </c>
      <c r="F302" s="49">
        <v>46056.291666666664</v>
      </c>
      <c r="G302" s="49">
        <v>0.14583333333333334</v>
      </c>
      <c r="H302" s="4">
        <v>0</v>
      </c>
      <c r="I302" s="4">
        <v>0</v>
      </c>
      <c r="J302" s="4">
        <v>0.375</v>
      </c>
      <c r="K302" s="5">
        <v>20.5</v>
      </c>
      <c r="L302" s="5">
        <v>24</v>
      </c>
      <c r="M302" s="5">
        <v>205</v>
      </c>
      <c r="N302" s="5">
        <v>240</v>
      </c>
      <c r="O302" s="6">
        <v>785</v>
      </c>
      <c r="P302" s="7">
        <v>0.26114649681528662</v>
      </c>
      <c r="Q302" s="7">
        <v>0.30573248407643311</v>
      </c>
      <c r="R302" s="7">
        <v>3.2708333333333335</v>
      </c>
    </row>
    <row r="303" spans="2:18" ht="15" customHeight="1" x14ac:dyDescent="0.3">
      <c r="B303" s="73">
        <v>46055</v>
      </c>
      <c r="C303" s="69" t="str">
        <v>SPU</v>
      </c>
      <c r="D303" s="68">
        <v>67</v>
      </c>
      <c r="E303" s="66">
        <v>46055.291666666664</v>
      </c>
      <c r="F303" s="49">
        <v>46056.291666666664</v>
      </c>
      <c r="G303" s="49">
        <v>0.14583333333333334</v>
      </c>
      <c r="H303" s="4">
        <v>0.21527777777777779</v>
      </c>
      <c r="I303" s="4">
        <v>0</v>
      </c>
      <c r="J303" s="4">
        <v>6.25E-2</v>
      </c>
      <c r="K303" s="5">
        <v>15.333333333333334</v>
      </c>
      <c r="L303" s="5">
        <v>24</v>
      </c>
      <c r="M303" s="5">
        <v>1027.3333333333335</v>
      </c>
      <c r="N303" s="5">
        <v>1608</v>
      </c>
      <c r="O303" s="6">
        <v>807</v>
      </c>
      <c r="P303" s="7">
        <v>1.2730276745146636</v>
      </c>
      <c r="Q303" s="7">
        <v>1.9925650557620818</v>
      </c>
      <c r="R303" s="7">
        <v>0.50186567164179108</v>
      </c>
    </row>
    <row r="304" spans="2:18" ht="15" customHeight="1" x14ac:dyDescent="0.3">
      <c r="B304" s="73">
        <v>46055</v>
      </c>
      <c r="C304" s="69" t="str">
        <v>HT</v>
      </c>
      <c r="D304" s="68">
        <v>64</v>
      </c>
      <c r="E304" s="66">
        <v>46055.291666666664</v>
      </c>
      <c r="F304" s="49">
        <v>46056.291666666664</v>
      </c>
      <c r="G304" s="49">
        <v>0.14583333333333334</v>
      </c>
      <c r="H304" s="4">
        <v>8.3333333333333329E-2</v>
      </c>
      <c r="I304" s="4">
        <v>0</v>
      </c>
      <c r="J304" s="4">
        <v>0</v>
      </c>
      <c r="K304" s="5">
        <v>18.5</v>
      </c>
      <c r="L304" s="5">
        <v>24</v>
      </c>
      <c r="M304" s="5">
        <v>1184</v>
      </c>
      <c r="N304" s="5">
        <v>1536</v>
      </c>
      <c r="O304" s="6">
        <v>823</v>
      </c>
      <c r="P304" s="7">
        <v>1.4386391251518833</v>
      </c>
      <c r="Q304" s="7">
        <v>1.8663426488456865</v>
      </c>
      <c r="R304" s="7">
        <v>0.53580729166666663</v>
      </c>
    </row>
    <row r="305" spans="2:18" ht="15" customHeight="1" x14ac:dyDescent="0.3">
      <c r="B305" s="74">
        <v>46056</v>
      </c>
      <c r="C305" s="69" t="str">
        <v>TLR</v>
      </c>
      <c r="D305" s="68">
        <v>86</v>
      </c>
      <c r="E305" s="66">
        <v>46056.291666666664</v>
      </c>
      <c r="F305" s="49">
        <v>46057.291666666664</v>
      </c>
      <c r="G305" s="49">
        <v>0.14583333333333334</v>
      </c>
      <c r="H305" s="4">
        <v>0</v>
      </c>
      <c r="I305" s="4">
        <v>0</v>
      </c>
      <c r="J305" s="4">
        <v>0.16666666666666666</v>
      </c>
      <c r="K305" s="5">
        <v>20.5</v>
      </c>
      <c r="L305" s="5">
        <v>24</v>
      </c>
      <c r="M305" s="5">
        <v>1763</v>
      </c>
      <c r="N305" s="5">
        <v>2064</v>
      </c>
      <c r="O305" s="6">
        <v>926</v>
      </c>
      <c r="P305" s="7">
        <v>1.9038876889848813</v>
      </c>
      <c r="Q305" s="7">
        <v>2.2289416846652266</v>
      </c>
      <c r="R305" s="7">
        <v>0.4486434108527132</v>
      </c>
    </row>
    <row r="306" spans="2:18" ht="15" customHeight="1" x14ac:dyDescent="0.3">
      <c r="B306" s="74">
        <v>46056</v>
      </c>
      <c r="C306" s="69" t="str">
        <v>PU thân</v>
      </c>
      <c r="D306" s="68">
        <v>11</v>
      </c>
      <c r="E306" s="66">
        <v>46056.291666666664</v>
      </c>
      <c r="F306" s="49">
        <v>46057.291666666664</v>
      </c>
      <c r="G306" s="49">
        <v>0.14583333333333334</v>
      </c>
      <c r="H306" s="4">
        <v>0</v>
      </c>
      <c r="I306" s="4">
        <v>0</v>
      </c>
      <c r="J306" s="4">
        <v>0.25</v>
      </c>
      <c r="K306" s="5">
        <v>20.5</v>
      </c>
      <c r="L306" s="5">
        <v>24</v>
      </c>
      <c r="M306" s="5">
        <v>225.5</v>
      </c>
      <c r="N306" s="5">
        <v>264</v>
      </c>
      <c r="O306" s="6">
        <v>948</v>
      </c>
      <c r="P306" s="7">
        <v>0.2378691983122363</v>
      </c>
      <c r="Q306" s="7">
        <v>0.27848101265822783</v>
      </c>
      <c r="R306" s="7">
        <v>3.5909090909090913</v>
      </c>
    </row>
    <row r="307" spans="2:18" ht="15" customHeight="1" x14ac:dyDescent="0.3">
      <c r="B307" s="74">
        <v>46056</v>
      </c>
      <c r="C307" s="69" t="str">
        <v>SPU</v>
      </c>
      <c r="D307" s="68">
        <v>69</v>
      </c>
      <c r="E307" s="66">
        <v>46056.291666666664</v>
      </c>
      <c r="F307" s="49">
        <v>46057.291666666664</v>
      </c>
      <c r="G307" s="49">
        <v>0.14583333333333334</v>
      </c>
      <c r="H307" s="4">
        <v>4.1666666666666664E-2</v>
      </c>
      <c r="I307" s="4">
        <v>0</v>
      </c>
      <c r="J307" s="4">
        <v>0</v>
      </c>
      <c r="K307" s="5">
        <v>19.5</v>
      </c>
      <c r="L307" s="5">
        <v>24</v>
      </c>
      <c r="M307" s="5">
        <v>1345.5</v>
      </c>
      <c r="N307" s="5">
        <v>1656</v>
      </c>
      <c r="O307" s="6">
        <v>1041</v>
      </c>
      <c r="P307" s="7">
        <v>1.2925072046109509</v>
      </c>
      <c r="Q307" s="7">
        <v>1.5907780979827089</v>
      </c>
      <c r="R307" s="7">
        <v>0.62862318840579712</v>
      </c>
    </row>
    <row r="308" spans="2:18" ht="15" customHeight="1" x14ac:dyDescent="0.3">
      <c r="B308" s="74">
        <v>46056</v>
      </c>
      <c r="C308" s="69" t="str">
        <v>HT</v>
      </c>
      <c r="D308" s="68">
        <v>68</v>
      </c>
      <c r="E308" s="66">
        <v>46056.291666666664</v>
      </c>
      <c r="F308" s="49">
        <v>46057.291666666664</v>
      </c>
      <c r="G308" s="49">
        <v>0.14583333333333334</v>
      </c>
      <c r="H308" s="4">
        <v>0</v>
      </c>
      <c r="I308" s="4">
        <v>0</v>
      </c>
      <c r="J308" s="4">
        <v>8.3333333333333329E-2</v>
      </c>
      <c r="K308" s="5">
        <v>20.5</v>
      </c>
      <c r="L308" s="5">
        <v>24</v>
      </c>
      <c r="M308" s="5">
        <v>1394</v>
      </c>
      <c r="N308" s="5">
        <v>1632</v>
      </c>
      <c r="O308" s="6">
        <v>973</v>
      </c>
      <c r="P308" s="7">
        <v>1.4326824254881809</v>
      </c>
      <c r="Q308" s="7">
        <v>1.6772867420349435</v>
      </c>
      <c r="R308" s="7">
        <v>0.59620098039215685</v>
      </c>
    </row>
    <row r="309" spans="2:18" ht="15" customHeight="1" x14ac:dyDescent="0.3">
      <c r="B309" s="74">
        <v>46057</v>
      </c>
      <c r="C309" s="69" t="str">
        <v>TLR</v>
      </c>
      <c r="D309" s="68">
        <v>85</v>
      </c>
      <c r="E309" s="66">
        <v>46057.291666666664</v>
      </c>
      <c r="F309" s="49">
        <v>46058.291666666664</v>
      </c>
      <c r="G309" s="49">
        <v>0.14583333333333334</v>
      </c>
      <c r="H309" s="4">
        <v>0</v>
      </c>
      <c r="I309" s="4">
        <v>0</v>
      </c>
      <c r="J309" s="4">
        <v>8.3333333333333329E-2</v>
      </c>
      <c r="K309" s="5">
        <v>20.5</v>
      </c>
      <c r="L309" s="5">
        <v>24</v>
      </c>
      <c r="M309" s="5">
        <v>1742.5</v>
      </c>
      <c r="N309" s="5">
        <v>2040</v>
      </c>
      <c r="O309" s="6">
        <v>1029</v>
      </c>
      <c r="P309" s="7">
        <v>1.6933916423712343</v>
      </c>
      <c r="Q309" s="7">
        <v>1.9825072886297377</v>
      </c>
      <c r="R309" s="7">
        <v>0.50441176470588234</v>
      </c>
    </row>
    <row r="310" spans="2:18" ht="15" customHeight="1" x14ac:dyDescent="0.3">
      <c r="B310" s="74">
        <v>46057</v>
      </c>
      <c r="C310" s="69" t="str">
        <v>PU thân</v>
      </c>
      <c r="D310" s="68">
        <v>10</v>
      </c>
      <c r="E310" s="66">
        <v>46057.291666666664</v>
      </c>
      <c r="F310" s="49">
        <v>46058.291666666664</v>
      </c>
      <c r="G310" s="49">
        <v>0.14583333333333334</v>
      </c>
      <c r="H310" s="4">
        <v>7.2916666666666671E-2</v>
      </c>
      <c r="I310" s="4">
        <v>0</v>
      </c>
      <c r="J310" s="4">
        <v>0.25</v>
      </c>
      <c r="K310" s="5">
        <v>18.75</v>
      </c>
      <c r="L310" s="5">
        <v>24</v>
      </c>
      <c r="M310" s="5">
        <v>187.5</v>
      </c>
      <c r="N310" s="5">
        <v>240</v>
      </c>
      <c r="O310" s="6">
        <v>1006</v>
      </c>
      <c r="P310" s="7">
        <v>0.18638170974155069</v>
      </c>
      <c r="Q310" s="7">
        <v>0.23856858846918488</v>
      </c>
      <c r="R310" s="7">
        <v>4.1916666666666664</v>
      </c>
    </row>
    <row r="311" spans="2:18" ht="15" customHeight="1" x14ac:dyDescent="0.3">
      <c r="B311" s="74">
        <v>46057</v>
      </c>
      <c r="C311" s="69" t="str">
        <v>SPU</v>
      </c>
      <c r="D311" s="68">
        <v>68</v>
      </c>
      <c r="E311" s="66">
        <v>46057.291666666664</v>
      </c>
      <c r="F311" s="49">
        <v>46058.291666666664</v>
      </c>
      <c r="G311" s="49">
        <v>0.14583333333333334</v>
      </c>
      <c r="H311" s="4">
        <v>0.1111111111111111</v>
      </c>
      <c r="I311" s="4">
        <v>0</v>
      </c>
      <c r="J311" s="4">
        <v>0.16666666666666666</v>
      </c>
      <c r="K311" s="5">
        <v>17.833333333333332</v>
      </c>
      <c r="L311" s="5">
        <v>24</v>
      </c>
      <c r="M311" s="5">
        <v>1212.6666666666665</v>
      </c>
      <c r="N311" s="5">
        <v>1632</v>
      </c>
      <c r="O311" s="6">
        <v>1050</v>
      </c>
      <c r="P311" s="7">
        <v>1.1549206349206347</v>
      </c>
      <c r="Q311" s="7">
        <v>1.5542857142857143</v>
      </c>
      <c r="R311" s="7">
        <v>0.64338235294117652</v>
      </c>
    </row>
    <row r="312" spans="2:18" ht="15" customHeight="1" x14ac:dyDescent="0.3">
      <c r="B312" s="74">
        <v>46057</v>
      </c>
      <c r="C312" s="69" t="str">
        <v>HT</v>
      </c>
      <c r="D312" s="68">
        <v>67</v>
      </c>
      <c r="E312" s="66">
        <v>46057.291666666664</v>
      </c>
      <c r="F312" s="49">
        <v>46058.291666666664</v>
      </c>
      <c r="G312" s="49">
        <v>0.14583333333333334</v>
      </c>
      <c r="H312" s="4">
        <v>0</v>
      </c>
      <c r="I312" s="4">
        <v>0</v>
      </c>
      <c r="J312" s="4">
        <v>0</v>
      </c>
      <c r="K312" s="5">
        <v>20.5</v>
      </c>
      <c r="L312" s="5">
        <v>24</v>
      </c>
      <c r="M312" s="5">
        <v>1373.5</v>
      </c>
      <c r="N312" s="5">
        <v>1608</v>
      </c>
      <c r="O312" s="6">
        <v>1063</v>
      </c>
      <c r="P312" s="7">
        <v>1.2920978363123237</v>
      </c>
      <c r="Q312" s="7">
        <v>1.5126999059266228</v>
      </c>
      <c r="R312" s="7">
        <v>0.66106965174129351</v>
      </c>
    </row>
    <row r="313" spans="2:18" ht="15" customHeight="1" x14ac:dyDescent="0.3">
      <c r="B313" s="73">
        <v>46058</v>
      </c>
      <c r="C313" s="69" t="str">
        <v>TLR</v>
      </c>
      <c r="D313" s="68">
        <v>64</v>
      </c>
      <c r="E313" s="66">
        <v>46058.291666666664</v>
      </c>
      <c r="F313" s="49">
        <v>46059.291666666664</v>
      </c>
      <c r="G313" s="49">
        <v>0.14583333333333334</v>
      </c>
      <c r="H313" s="4">
        <v>0</v>
      </c>
      <c r="I313" s="4">
        <v>0</v>
      </c>
      <c r="J313" s="4">
        <v>0</v>
      </c>
      <c r="K313" s="5">
        <v>20.5</v>
      </c>
      <c r="L313" s="5">
        <v>24</v>
      </c>
      <c r="M313" s="5">
        <v>1312</v>
      </c>
      <c r="N313" s="5">
        <v>1536</v>
      </c>
      <c r="O313" s="6">
        <v>742</v>
      </c>
      <c r="P313" s="7">
        <v>1.7681940700808625</v>
      </c>
      <c r="Q313" s="7">
        <v>2.0700808625336928</v>
      </c>
      <c r="R313" s="7">
        <v>0.48307291666666663</v>
      </c>
    </row>
    <row r="314" spans="2:18" ht="15" customHeight="1" x14ac:dyDescent="0.3">
      <c r="B314" s="73">
        <v>46058</v>
      </c>
      <c r="C314" s="69" t="str">
        <v>PU thân</v>
      </c>
      <c r="D314" s="68">
        <v>10</v>
      </c>
      <c r="E314" s="66">
        <v>46058.291666666664</v>
      </c>
      <c r="F314" s="49">
        <v>46059.291666666664</v>
      </c>
      <c r="G314" s="49">
        <v>0.14583333333333334</v>
      </c>
      <c r="H314" s="4">
        <v>0</v>
      </c>
      <c r="I314" s="4">
        <v>6.25E-2</v>
      </c>
      <c r="J314" s="4">
        <v>0.70833333333333337</v>
      </c>
      <c r="K314" s="5">
        <v>20.5</v>
      </c>
      <c r="L314" s="5">
        <v>24</v>
      </c>
      <c r="M314" s="5">
        <v>205</v>
      </c>
      <c r="N314" s="5">
        <v>240</v>
      </c>
      <c r="O314" s="6">
        <v>764</v>
      </c>
      <c r="P314" s="7">
        <v>0.26832460732984292</v>
      </c>
      <c r="Q314" s="7">
        <v>0.31413612565445026</v>
      </c>
      <c r="R314" s="7">
        <v>3.1833333333333336</v>
      </c>
    </row>
    <row r="315" spans="2:18" ht="15" customHeight="1" x14ac:dyDescent="0.3">
      <c r="B315" s="73">
        <v>46058</v>
      </c>
      <c r="C315" s="69" t="str">
        <v>SPU</v>
      </c>
      <c r="D315" s="68">
        <v>67</v>
      </c>
      <c r="E315" s="66">
        <v>46058.291666666664</v>
      </c>
      <c r="F315" s="49">
        <v>46059.291666666664</v>
      </c>
      <c r="G315" s="49">
        <v>0.14583333333333334</v>
      </c>
      <c r="H315" s="4">
        <v>0.1111111111111111</v>
      </c>
      <c r="I315" s="4">
        <v>0</v>
      </c>
      <c r="J315" s="4">
        <v>0.125</v>
      </c>
      <c r="K315" s="5">
        <v>17.833333333333332</v>
      </c>
      <c r="L315" s="5">
        <v>24</v>
      </c>
      <c r="M315" s="5">
        <v>1194.8333333333333</v>
      </c>
      <c r="N315" s="5">
        <v>1608</v>
      </c>
      <c r="O315" s="6">
        <v>785</v>
      </c>
      <c r="P315" s="7">
        <v>1.5220806794055202</v>
      </c>
      <c r="Q315" s="7">
        <v>2.0484076433121019</v>
      </c>
      <c r="R315" s="7">
        <v>0.48818407960199006</v>
      </c>
    </row>
    <row r="316" spans="2:18" ht="15" customHeight="1" x14ac:dyDescent="0.3">
      <c r="B316" s="73">
        <v>46058</v>
      </c>
      <c r="C316" s="69" t="str">
        <v>HT</v>
      </c>
      <c r="D316" s="68">
        <v>67</v>
      </c>
      <c r="E316" s="66">
        <v>46058.291666666664</v>
      </c>
      <c r="F316" s="49">
        <v>46059.291666666664</v>
      </c>
      <c r="G316" s="49">
        <v>0.14583333333333334</v>
      </c>
      <c r="H316" s="4">
        <v>6.25E-2</v>
      </c>
      <c r="I316" s="4">
        <v>0</v>
      </c>
      <c r="J316" s="4">
        <v>0</v>
      </c>
      <c r="K316" s="5">
        <v>19</v>
      </c>
      <c r="L316" s="5">
        <v>24</v>
      </c>
      <c r="M316" s="5">
        <v>1273</v>
      </c>
      <c r="N316" s="5">
        <v>1608</v>
      </c>
      <c r="O316" s="6">
        <v>917</v>
      </c>
      <c r="P316" s="7">
        <v>1.3882224645583425</v>
      </c>
      <c r="Q316" s="7">
        <v>1.7535441657579063</v>
      </c>
      <c r="R316" s="7">
        <v>0.57027363184079605</v>
      </c>
    </row>
    <row r="317" spans="2:18" ht="15" customHeight="1" x14ac:dyDescent="0.3">
      <c r="B317" s="73"/>
      <c r="C317" s="69"/>
      <c r="D317" s="68"/>
      <c r="E317" s="66"/>
      <c r="F317" s="49"/>
      <c r="G317" s="49"/>
      <c r="H317" s="4"/>
      <c r="I317" s="4"/>
      <c r="J317" s="4"/>
      <c r="K317" s="5"/>
      <c r="L317" s="5"/>
      <c r="M317" s="5"/>
      <c r="N317" s="5"/>
      <c r="O317" s="6"/>
      <c r="P317" s="7"/>
      <c r="Q317" s="7"/>
      <c r="R317" s="7"/>
    </row>
    <row r="318" spans="2:18" ht="15" customHeight="1" x14ac:dyDescent="0.3">
      <c r="B318" s="73"/>
      <c r="C318" s="69"/>
      <c r="D318" s="68"/>
      <c r="E318" s="66"/>
      <c r="F318" s="49"/>
      <c r="G318" s="49"/>
      <c r="H318" s="4"/>
      <c r="I318" s="4"/>
      <c r="J318" s="4"/>
      <c r="K318" s="5"/>
      <c r="L318" s="5"/>
      <c r="M318" s="5"/>
      <c r="N318" s="5"/>
      <c r="O318" s="6"/>
      <c r="P318" s="7"/>
      <c r="Q318" s="7"/>
      <c r="R318" s="7"/>
    </row>
    <row r="319" spans="2:18" ht="15" customHeight="1" x14ac:dyDescent="0.3">
      <c r="B319" s="73"/>
      <c r="C319" s="69"/>
      <c r="D319" s="68"/>
      <c r="E319" s="66"/>
      <c r="F319" s="49"/>
      <c r="G319" s="49"/>
      <c r="H319" s="4"/>
      <c r="I319" s="4"/>
      <c r="J319" s="4"/>
      <c r="K319" s="5"/>
      <c r="L319" s="5"/>
      <c r="M319" s="5"/>
      <c r="N319" s="5"/>
      <c r="O319" s="6"/>
      <c r="P319" s="7"/>
      <c r="Q319" s="7"/>
      <c r="R319" s="7"/>
    </row>
    <row r="320" spans="2:18" ht="15" customHeight="1" x14ac:dyDescent="0.3">
      <c r="B320" s="73"/>
      <c r="C320" s="69"/>
      <c r="D320" s="68"/>
      <c r="E320" s="66"/>
      <c r="F320" s="49"/>
      <c r="G320" s="49"/>
      <c r="H320" s="4"/>
      <c r="I320" s="4"/>
      <c r="J320" s="4"/>
      <c r="K320" s="5"/>
      <c r="L320" s="5"/>
      <c r="M320" s="5"/>
      <c r="N320" s="5"/>
      <c r="O320" s="6"/>
      <c r="P320" s="7"/>
      <c r="Q320" s="7"/>
      <c r="R320" s="7"/>
    </row>
    <row r="321" spans="2:18" ht="15" customHeight="1" x14ac:dyDescent="0.3">
      <c r="B321" s="74"/>
      <c r="C321" s="69"/>
      <c r="D321" s="68"/>
      <c r="E321" s="66"/>
      <c r="F321" s="49"/>
      <c r="G321" s="49"/>
      <c r="H321" s="4"/>
      <c r="I321" s="4"/>
      <c r="J321" s="4"/>
      <c r="K321" s="5"/>
      <c r="L321" s="5"/>
      <c r="M321" s="5"/>
      <c r="N321" s="5"/>
      <c r="O321" s="6"/>
      <c r="P321" s="7"/>
      <c r="Q321" s="7"/>
      <c r="R321" s="7"/>
    </row>
    <row r="322" spans="2:18" ht="15" customHeight="1" x14ac:dyDescent="0.3">
      <c r="B322" s="74"/>
      <c r="C322" s="69"/>
      <c r="D322" s="68"/>
      <c r="E322" s="66"/>
      <c r="F322" s="49"/>
      <c r="G322" s="49"/>
      <c r="H322" s="4"/>
      <c r="I322" s="4"/>
      <c r="J322" s="4"/>
      <c r="K322" s="5"/>
      <c r="L322" s="5"/>
      <c r="M322" s="5"/>
      <c r="N322" s="5"/>
      <c r="O322" s="6"/>
      <c r="P322" s="7"/>
      <c r="Q322" s="7"/>
      <c r="R322" s="7"/>
    </row>
    <row r="323" spans="2:18" ht="15" customHeight="1" x14ac:dyDescent="0.3">
      <c r="B323" s="74"/>
      <c r="C323" s="69"/>
      <c r="D323" s="68"/>
      <c r="E323" s="66"/>
      <c r="F323" s="49"/>
      <c r="G323" s="49"/>
      <c r="H323" s="4"/>
      <c r="I323" s="4"/>
      <c r="J323" s="4"/>
      <c r="K323" s="5"/>
      <c r="L323" s="5"/>
      <c r="M323" s="5"/>
      <c r="N323" s="5"/>
      <c r="O323" s="6"/>
      <c r="P323" s="7"/>
      <c r="Q323" s="7"/>
      <c r="R323" s="7"/>
    </row>
    <row r="324" spans="2:18" ht="15" customHeight="1" x14ac:dyDescent="0.3">
      <c r="B324" s="74"/>
      <c r="C324" s="69"/>
      <c r="D324" s="68"/>
      <c r="E324" s="66"/>
      <c r="F324" s="49"/>
      <c r="G324" s="49"/>
      <c r="H324" s="4"/>
      <c r="I324" s="4"/>
      <c r="J324" s="4"/>
      <c r="K324" s="5"/>
      <c r="L324" s="5"/>
      <c r="M324" s="5"/>
      <c r="N324" s="5"/>
      <c r="O324" s="6"/>
      <c r="P324" s="7"/>
      <c r="Q324" s="7"/>
      <c r="R324" s="7"/>
    </row>
    <row r="325" spans="2:18" ht="15" customHeight="1" x14ac:dyDescent="0.3">
      <c r="B325" s="74"/>
      <c r="C325" s="69"/>
      <c r="D325" s="68"/>
      <c r="E325" s="66"/>
      <c r="F325" s="49"/>
      <c r="G325" s="49"/>
      <c r="H325" s="4"/>
      <c r="I325" s="4"/>
      <c r="J325" s="4"/>
      <c r="K325" s="5"/>
      <c r="L325" s="5"/>
      <c r="M325" s="5"/>
      <c r="N325" s="5"/>
      <c r="O325" s="6"/>
      <c r="P325" s="7"/>
      <c r="Q325" s="7"/>
      <c r="R325" s="7"/>
    </row>
    <row r="326" spans="2:18" ht="15" customHeight="1" x14ac:dyDescent="0.3">
      <c r="B326" s="74"/>
      <c r="C326" s="69"/>
      <c r="D326" s="68"/>
      <c r="E326" s="66"/>
      <c r="F326" s="49"/>
      <c r="G326" s="49"/>
      <c r="H326" s="4"/>
      <c r="I326" s="4"/>
      <c r="J326" s="4"/>
      <c r="K326" s="5"/>
      <c r="L326" s="5"/>
      <c r="M326" s="5"/>
      <c r="N326" s="5"/>
      <c r="O326" s="6"/>
      <c r="P326" s="7"/>
      <c r="Q326" s="7"/>
      <c r="R326" s="7"/>
    </row>
    <row r="327" spans="2:18" ht="15" customHeight="1" x14ac:dyDescent="0.3">
      <c r="B327" s="74"/>
      <c r="C327" s="69"/>
      <c r="D327" s="68"/>
      <c r="E327" s="66"/>
      <c r="F327" s="49"/>
      <c r="G327" s="49"/>
      <c r="H327" s="4"/>
      <c r="I327" s="4"/>
      <c r="J327" s="4"/>
      <c r="K327" s="5"/>
      <c r="L327" s="5"/>
      <c r="M327" s="5"/>
      <c r="N327" s="5"/>
      <c r="O327" s="6"/>
      <c r="P327" s="7"/>
      <c r="Q327" s="7"/>
      <c r="R327" s="7"/>
    </row>
    <row r="328" spans="2:18" ht="15" customHeight="1" x14ac:dyDescent="0.3">
      <c r="B328" s="74"/>
      <c r="C328" s="69"/>
      <c r="D328" s="68"/>
      <c r="E328" s="66"/>
      <c r="F328" s="49"/>
      <c r="G328" s="49"/>
      <c r="H328" s="4"/>
      <c r="I328" s="4"/>
      <c r="J328" s="4"/>
      <c r="K328" s="5"/>
      <c r="L328" s="5"/>
      <c r="M328" s="5"/>
      <c r="N328" s="5"/>
      <c r="O328" s="6"/>
      <c r="P328" s="7"/>
      <c r="Q328" s="7"/>
      <c r="R328" s="7"/>
    </row>
    <row r="329" spans="2:18" ht="15" customHeight="1" x14ac:dyDescent="0.3">
      <c r="B329" s="73"/>
      <c r="C329" s="69"/>
      <c r="D329" s="68"/>
      <c r="E329" s="66"/>
      <c r="F329" s="49"/>
      <c r="G329" s="49"/>
      <c r="H329" s="4"/>
      <c r="I329" s="4"/>
      <c r="J329" s="4"/>
      <c r="K329" s="5"/>
      <c r="L329" s="5"/>
      <c r="M329" s="5"/>
      <c r="N329" s="5"/>
      <c r="O329" s="6"/>
      <c r="P329" s="7"/>
      <c r="Q329" s="7"/>
      <c r="R329" s="7"/>
    </row>
    <row r="330" spans="2:18" ht="15" customHeight="1" x14ac:dyDescent="0.3">
      <c r="B330" s="73"/>
      <c r="C330" s="69"/>
      <c r="D330" s="68"/>
      <c r="E330" s="66"/>
      <c r="F330" s="49"/>
      <c r="G330" s="49"/>
      <c r="H330" s="4"/>
      <c r="I330" s="4"/>
      <c r="J330" s="4"/>
      <c r="K330" s="5"/>
      <c r="L330" s="5"/>
      <c r="M330" s="5"/>
      <c r="N330" s="5"/>
      <c r="O330" s="6"/>
      <c r="P330" s="7"/>
      <c r="Q330" s="7"/>
      <c r="R330" s="7"/>
    </row>
    <row r="331" spans="2:18" ht="15" customHeight="1" x14ac:dyDescent="0.3">
      <c r="B331" s="73"/>
      <c r="C331" s="69"/>
      <c r="D331" s="68"/>
      <c r="E331" s="66"/>
      <c r="F331" s="49"/>
      <c r="G331" s="49"/>
      <c r="H331" s="4"/>
      <c r="I331" s="4"/>
      <c r="J331" s="4"/>
      <c r="K331" s="5"/>
      <c r="L331" s="5"/>
      <c r="M331" s="5"/>
      <c r="N331" s="5"/>
      <c r="O331" s="6"/>
      <c r="P331" s="7"/>
      <c r="Q331" s="7"/>
      <c r="R331" s="7"/>
    </row>
    <row r="332" spans="2:18" ht="15" customHeight="1" x14ac:dyDescent="0.3">
      <c r="B332" s="73"/>
      <c r="C332" s="69"/>
      <c r="D332" s="68"/>
      <c r="E332" s="66"/>
      <c r="F332" s="49"/>
      <c r="G332" s="49"/>
      <c r="H332" s="4"/>
      <c r="I332" s="4"/>
      <c r="J332" s="4"/>
      <c r="K332" s="5"/>
      <c r="L332" s="5"/>
      <c r="M332" s="5"/>
      <c r="N332" s="5"/>
      <c r="O332" s="6"/>
      <c r="P332" s="7"/>
      <c r="Q332" s="7"/>
      <c r="R332" s="7"/>
    </row>
    <row r="333" spans="2:18" ht="15" customHeight="1" x14ac:dyDescent="0.3">
      <c r="B333" s="73"/>
      <c r="C333" s="69"/>
      <c r="D333" s="68"/>
      <c r="E333" s="66"/>
      <c r="F333" s="49"/>
      <c r="G333" s="49"/>
      <c r="H333" s="4"/>
      <c r="I333" s="4"/>
      <c r="J333" s="4"/>
      <c r="K333" s="5"/>
      <c r="L333" s="5"/>
      <c r="M333" s="5"/>
      <c r="N333" s="5"/>
      <c r="O333" s="6"/>
      <c r="P333" s="7"/>
      <c r="Q333" s="7"/>
      <c r="R333" s="7"/>
    </row>
    <row r="334" spans="2:18" ht="15" customHeight="1" x14ac:dyDescent="0.3">
      <c r="B334" s="73"/>
      <c r="C334" s="69"/>
      <c r="D334" s="68"/>
      <c r="E334" s="66"/>
      <c r="F334" s="49"/>
      <c r="G334" s="49"/>
      <c r="H334" s="4"/>
      <c r="I334" s="4"/>
      <c r="J334" s="4"/>
      <c r="K334" s="5"/>
      <c r="L334" s="5"/>
      <c r="M334" s="5"/>
      <c r="N334" s="5"/>
      <c r="O334" s="6"/>
      <c r="P334" s="7"/>
      <c r="Q334" s="7"/>
      <c r="R334" s="7"/>
    </row>
    <row r="335" spans="2:18" ht="15" customHeight="1" x14ac:dyDescent="0.3">
      <c r="B335" s="73"/>
      <c r="C335" s="69"/>
      <c r="D335" s="68"/>
      <c r="E335" s="66"/>
      <c r="F335" s="49"/>
      <c r="G335" s="49"/>
      <c r="H335" s="4"/>
      <c r="I335" s="4"/>
      <c r="J335" s="4"/>
      <c r="K335" s="5"/>
      <c r="L335" s="5"/>
      <c r="M335" s="5"/>
      <c r="N335" s="5"/>
      <c r="O335" s="6"/>
      <c r="P335" s="7"/>
      <c r="Q335" s="7"/>
      <c r="R335" s="7"/>
    </row>
    <row r="336" spans="2:18" ht="15" customHeight="1" x14ac:dyDescent="0.3">
      <c r="B336" s="73"/>
      <c r="C336" s="69"/>
      <c r="D336" s="68"/>
      <c r="E336" s="66"/>
      <c r="F336" s="49"/>
      <c r="G336" s="49"/>
      <c r="H336" s="4"/>
      <c r="I336" s="4"/>
      <c r="J336" s="4"/>
      <c r="K336" s="5"/>
      <c r="L336" s="5"/>
      <c r="M336" s="5"/>
      <c r="N336" s="5"/>
      <c r="O336" s="6"/>
      <c r="P336" s="7"/>
      <c r="Q336" s="7"/>
      <c r="R336" s="7"/>
    </row>
    <row r="337" spans="2:18" ht="15" customHeight="1" x14ac:dyDescent="0.3">
      <c r="B337" s="74"/>
      <c r="C337" s="69"/>
      <c r="D337" s="68"/>
      <c r="E337" s="66"/>
      <c r="F337" s="49"/>
      <c r="G337" s="49"/>
      <c r="H337" s="4"/>
      <c r="I337" s="4"/>
      <c r="J337" s="4"/>
      <c r="K337" s="5"/>
      <c r="L337" s="5"/>
      <c r="M337" s="5"/>
      <c r="N337" s="5"/>
      <c r="O337" s="6"/>
      <c r="P337" s="7"/>
      <c r="Q337" s="7"/>
      <c r="R337" s="7"/>
    </row>
    <row r="338" spans="2:18" ht="15" customHeight="1" x14ac:dyDescent="0.3">
      <c r="B338" s="74"/>
      <c r="C338" s="69"/>
      <c r="D338" s="68"/>
      <c r="E338" s="66"/>
      <c r="F338" s="49"/>
      <c r="G338" s="49"/>
      <c r="H338" s="4"/>
      <c r="I338" s="4"/>
      <c r="J338" s="4"/>
      <c r="K338" s="5"/>
      <c r="L338" s="5"/>
      <c r="M338" s="5"/>
      <c r="N338" s="5"/>
      <c r="O338" s="6"/>
      <c r="P338" s="7"/>
      <c r="Q338" s="7"/>
      <c r="R338" s="7"/>
    </row>
    <row r="339" spans="2:18" ht="15" customHeight="1" x14ac:dyDescent="0.3">
      <c r="B339" s="74"/>
      <c r="C339" s="69"/>
      <c r="D339" s="68"/>
      <c r="E339" s="66"/>
      <c r="F339" s="49"/>
      <c r="G339" s="49"/>
      <c r="H339" s="4"/>
      <c r="I339" s="4"/>
      <c r="J339" s="4"/>
      <c r="K339" s="5"/>
      <c r="L339" s="5"/>
      <c r="M339" s="5"/>
      <c r="N339" s="5"/>
      <c r="O339" s="6"/>
      <c r="P339" s="7"/>
      <c r="Q339" s="7"/>
      <c r="R339" s="7"/>
    </row>
    <row r="340" spans="2:18" ht="15" customHeight="1" x14ac:dyDescent="0.3">
      <c r="B340" s="74"/>
      <c r="C340" s="69"/>
      <c r="D340" s="68"/>
      <c r="E340" s="66"/>
      <c r="F340" s="49"/>
      <c r="G340" s="49"/>
      <c r="H340" s="4"/>
      <c r="I340" s="4"/>
      <c r="J340" s="4"/>
      <c r="K340" s="5"/>
      <c r="L340" s="5"/>
      <c r="M340" s="5"/>
      <c r="N340" s="5"/>
      <c r="O340" s="6"/>
      <c r="P340" s="7"/>
      <c r="Q340" s="7"/>
      <c r="R340" s="7"/>
    </row>
    <row r="341" spans="2:18" ht="15" customHeight="1" x14ac:dyDescent="0.3">
      <c r="B341" s="74"/>
      <c r="C341" s="69"/>
      <c r="D341" s="68"/>
      <c r="E341" s="66"/>
      <c r="F341" s="49"/>
      <c r="G341" s="49"/>
      <c r="H341" s="4"/>
      <c r="I341" s="4"/>
      <c r="J341" s="4"/>
      <c r="K341" s="5"/>
      <c r="L341" s="5"/>
      <c r="M341" s="5"/>
      <c r="N341" s="5"/>
      <c r="O341" s="6"/>
      <c r="P341" s="7"/>
      <c r="Q341" s="7"/>
      <c r="R341" s="7"/>
    </row>
    <row r="342" spans="2:18" ht="15" customHeight="1" x14ac:dyDescent="0.3">
      <c r="B342" s="74"/>
      <c r="C342" s="69"/>
      <c r="D342" s="68"/>
      <c r="E342" s="66"/>
      <c r="F342" s="49"/>
      <c r="G342" s="49"/>
      <c r="H342" s="4"/>
      <c r="I342" s="4"/>
      <c r="J342" s="4"/>
      <c r="K342" s="5"/>
      <c r="L342" s="5"/>
      <c r="M342" s="5"/>
      <c r="N342" s="5"/>
      <c r="O342" s="6"/>
      <c r="P342" s="7"/>
      <c r="Q342" s="7"/>
      <c r="R342" s="7"/>
    </row>
    <row r="343" spans="2:18" ht="15" customHeight="1" x14ac:dyDescent="0.3">
      <c r="B343" s="74"/>
      <c r="C343" s="69"/>
      <c r="D343" s="68"/>
      <c r="E343" s="66"/>
      <c r="F343" s="49"/>
      <c r="G343" s="49"/>
      <c r="H343" s="4"/>
      <c r="I343" s="4"/>
      <c r="J343" s="4"/>
      <c r="K343" s="5"/>
      <c r="L343" s="5"/>
      <c r="M343" s="5"/>
      <c r="N343" s="5"/>
      <c r="O343" s="6"/>
      <c r="P343" s="7"/>
      <c r="Q343" s="7"/>
      <c r="R343" s="7"/>
    </row>
    <row r="344" spans="2:18" ht="15" customHeight="1" x14ac:dyDescent="0.3">
      <c r="B344" s="74"/>
      <c r="C344" s="69"/>
      <c r="D344" s="68"/>
      <c r="E344" s="66"/>
      <c r="F344" s="49"/>
      <c r="G344" s="49"/>
      <c r="H344" s="4"/>
      <c r="I344" s="4"/>
      <c r="J344" s="4"/>
      <c r="K344" s="5"/>
      <c r="L344" s="5"/>
      <c r="M344" s="5"/>
      <c r="N344" s="5"/>
      <c r="O344" s="6"/>
      <c r="P344" s="7"/>
      <c r="Q344" s="7"/>
      <c r="R344" s="7"/>
    </row>
    <row r="345" spans="2:18" ht="15" customHeight="1" x14ac:dyDescent="0.3">
      <c r="B345" s="73"/>
      <c r="C345" s="69"/>
      <c r="D345" s="68"/>
      <c r="E345" s="66"/>
      <c r="F345" s="49"/>
      <c r="G345" s="49"/>
      <c r="H345" s="4"/>
      <c r="I345" s="4"/>
      <c r="J345" s="4"/>
      <c r="K345" s="5"/>
      <c r="L345" s="5"/>
      <c r="M345" s="5"/>
      <c r="N345" s="5"/>
      <c r="O345" s="6"/>
      <c r="P345" s="7"/>
      <c r="Q345" s="7"/>
      <c r="R345" s="7"/>
    </row>
    <row r="346" spans="2:18" ht="15" customHeight="1" x14ac:dyDescent="0.3">
      <c r="B346" s="73"/>
      <c r="C346" s="69"/>
      <c r="D346" s="68"/>
      <c r="E346" s="66"/>
      <c r="F346" s="49"/>
      <c r="G346" s="49"/>
      <c r="H346" s="4"/>
      <c r="I346" s="4"/>
      <c r="J346" s="4"/>
      <c r="K346" s="5"/>
      <c r="L346" s="5"/>
      <c r="M346" s="5"/>
      <c r="N346" s="5"/>
      <c r="O346" s="6"/>
      <c r="P346" s="7"/>
      <c r="Q346" s="7"/>
      <c r="R346" s="7"/>
    </row>
    <row r="347" spans="2:18" ht="15" customHeight="1" x14ac:dyDescent="0.3">
      <c r="B347" s="73"/>
      <c r="C347" s="69"/>
      <c r="D347" s="68"/>
      <c r="E347" s="66"/>
      <c r="F347" s="49"/>
      <c r="G347" s="49"/>
      <c r="H347" s="4"/>
      <c r="I347" s="4"/>
      <c r="J347" s="4"/>
      <c r="K347" s="5"/>
      <c r="L347" s="5"/>
      <c r="M347" s="5"/>
      <c r="N347" s="5"/>
      <c r="O347" s="6"/>
      <c r="P347" s="7"/>
      <c r="Q347" s="7"/>
      <c r="R347" s="7"/>
    </row>
    <row r="348" spans="2:18" ht="15" customHeight="1" x14ac:dyDescent="0.3">
      <c r="B348" s="73"/>
      <c r="C348" s="69"/>
      <c r="D348" s="68"/>
      <c r="E348" s="66"/>
      <c r="F348" s="49"/>
      <c r="G348" s="49"/>
      <c r="H348" s="4"/>
      <c r="I348" s="4"/>
      <c r="J348" s="4"/>
      <c r="K348" s="5"/>
      <c r="L348" s="5"/>
      <c r="M348" s="5"/>
      <c r="N348" s="5"/>
      <c r="O348" s="6"/>
      <c r="P348" s="7"/>
      <c r="Q348" s="7"/>
      <c r="R348" s="7"/>
    </row>
    <row r="349" spans="2:18" ht="15" customHeight="1" x14ac:dyDescent="0.3">
      <c r="B349" s="73"/>
      <c r="C349" s="69"/>
      <c r="D349" s="68"/>
      <c r="E349" s="66"/>
      <c r="F349" s="49"/>
      <c r="G349" s="49"/>
      <c r="H349" s="4"/>
      <c r="I349" s="4"/>
      <c r="J349" s="4"/>
      <c r="K349" s="5"/>
      <c r="L349" s="5"/>
      <c r="M349" s="5"/>
      <c r="N349" s="5"/>
      <c r="O349" s="6"/>
      <c r="P349" s="7"/>
      <c r="Q349" s="7"/>
      <c r="R349" s="7"/>
    </row>
    <row r="350" spans="2:18" ht="15" customHeight="1" x14ac:dyDescent="0.3">
      <c r="B350" s="73"/>
      <c r="C350" s="69"/>
      <c r="D350" s="68"/>
      <c r="E350" s="66"/>
      <c r="F350" s="49"/>
      <c r="G350" s="49"/>
      <c r="H350" s="4"/>
      <c r="I350" s="4"/>
      <c r="J350" s="4"/>
      <c r="K350" s="5"/>
      <c r="L350" s="5"/>
      <c r="M350" s="5"/>
      <c r="N350" s="5"/>
      <c r="O350" s="6"/>
      <c r="P350" s="7"/>
      <c r="Q350" s="7"/>
      <c r="R350" s="7"/>
    </row>
    <row r="351" spans="2:18" ht="15" customHeight="1" x14ac:dyDescent="0.3">
      <c r="B351" s="73"/>
      <c r="C351" s="69"/>
      <c r="D351" s="68"/>
      <c r="E351" s="66"/>
      <c r="F351" s="49"/>
      <c r="G351" s="49"/>
      <c r="H351" s="4"/>
      <c r="I351" s="4"/>
      <c r="J351" s="4"/>
      <c r="K351" s="5"/>
      <c r="L351" s="5"/>
      <c r="M351" s="5"/>
      <c r="N351" s="5"/>
      <c r="O351" s="6"/>
      <c r="P351" s="7"/>
      <c r="Q351" s="7"/>
      <c r="R351" s="7"/>
    </row>
    <row r="352" spans="2:18" ht="15" customHeight="1" x14ac:dyDescent="0.3">
      <c r="B352" s="73"/>
      <c r="C352" s="69"/>
      <c r="D352" s="68"/>
      <c r="E352" s="66"/>
      <c r="F352" s="49"/>
      <c r="G352" s="49"/>
      <c r="H352" s="4"/>
      <c r="I352" s="4"/>
      <c r="J352" s="4"/>
      <c r="K352" s="5"/>
      <c r="L352" s="5"/>
      <c r="M352" s="5"/>
      <c r="N352" s="5"/>
      <c r="O352" s="6"/>
      <c r="P352" s="7"/>
      <c r="Q352" s="7"/>
      <c r="R352" s="7"/>
    </row>
    <row r="353" spans="2:18" ht="15" customHeight="1" x14ac:dyDescent="0.3">
      <c r="B353" s="74"/>
      <c r="C353" s="69"/>
      <c r="D353" s="68"/>
      <c r="E353" s="66"/>
      <c r="F353" s="49"/>
      <c r="G353" s="49"/>
      <c r="H353" s="4"/>
      <c r="I353" s="4"/>
      <c r="J353" s="4"/>
      <c r="K353" s="5"/>
      <c r="L353" s="5"/>
      <c r="M353" s="5"/>
      <c r="N353" s="5"/>
      <c r="O353" s="6"/>
      <c r="P353" s="7"/>
      <c r="Q353" s="7"/>
      <c r="R353" s="7"/>
    </row>
    <row r="354" spans="2:18" ht="15" customHeight="1" x14ac:dyDescent="0.3">
      <c r="B354" s="74"/>
      <c r="C354" s="69"/>
      <c r="D354" s="68"/>
      <c r="E354" s="66"/>
      <c r="F354" s="49"/>
      <c r="G354" s="49"/>
      <c r="H354" s="4"/>
      <c r="I354" s="4"/>
      <c r="J354" s="4"/>
      <c r="K354" s="5"/>
      <c r="L354" s="5"/>
      <c r="M354" s="5"/>
      <c r="N354" s="5"/>
      <c r="O354" s="6"/>
      <c r="P354" s="7"/>
      <c r="Q354" s="7"/>
      <c r="R354" s="7"/>
    </row>
    <row r="355" spans="2:18" ht="15" customHeight="1" x14ac:dyDescent="0.3">
      <c r="B355" s="74"/>
      <c r="C355" s="69"/>
      <c r="D355" s="68"/>
      <c r="E355" s="66"/>
      <c r="F355" s="49"/>
      <c r="G355" s="49"/>
      <c r="H355" s="4"/>
      <c r="I355" s="4"/>
      <c r="J355" s="4"/>
      <c r="K355" s="5"/>
      <c r="L355" s="5"/>
      <c r="M355" s="5"/>
      <c r="N355" s="5"/>
      <c r="O355" s="6"/>
      <c r="P355" s="7"/>
      <c r="Q355" s="7"/>
      <c r="R355" s="7"/>
    </row>
    <row r="356" spans="2:18" ht="15" customHeight="1" x14ac:dyDescent="0.3">
      <c r="B356" s="74"/>
      <c r="C356" s="69"/>
      <c r="D356" s="68"/>
      <c r="E356" s="66"/>
      <c r="F356" s="49"/>
      <c r="G356" s="49"/>
      <c r="H356" s="4"/>
      <c r="I356" s="4"/>
      <c r="J356" s="4"/>
      <c r="K356" s="5"/>
      <c r="L356" s="5"/>
      <c r="M356" s="5"/>
      <c r="N356" s="5"/>
      <c r="O356" s="6"/>
      <c r="P356" s="7"/>
      <c r="Q356" s="7"/>
      <c r="R356" s="7"/>
    </row>
    <row r="357" spans="2:18" ht="15" customHeight="1" x14ac:dyDescent="0.3">
      <c r="B357" s="73"/>
      <c r="C357" s="69"/>
      <c r="D357" s="68"/>
      <c r="E357" s="66"/>
      <c r="F357" s="49"/>
      <c r="G357" s="49"/>
      <c r="H357" s="4"/>
      <c r="I357" s="4"/>
      <c r="J357" s="4"/>
      <c r="K357" s="5"/>
      <c r="L357" s="5"/>
      <c r="M357" s="5"/>
      <c r="N357" s="5"/>
      <c r="O357" s="6"/>
      <c r="P357" s="7"/>
      <c r="Q357" s="7"/>
      <c r="R357" s="7"/>
    </row>
    <row r="358" spans="2:18" ht="15" customHeight="1" x14ac:dyDescent="0.3">
      <c r="B358" s="73"/>
      <c r="C358" s="69"/>
      <c r="D358" s="68"/>
      <c r="E358" s="66"/>
      <c r="F358" s="49"/>
      <c r="G358" s="49"/>
      <c r="H358" s="4"/>
      <c r="I358" s="4"/>
      <c r="J358" s="4"/>
      <c r="K358" s="5"/>
      <c r="L358" s="5"/>
      <c r="M358" s="5"/>
      <c r="N358" s="5"/>
      <c r="O358" s="6"/>
      <c r="P358" s="7"/>
      <c r="Q358" s="7"/>
      <c r="R358" s="7"/>
    </row>
    <row r="359" spans="2:18" ht="15" customHeight="1" x14ac:dyDescent="0.3">
      <c r="B359" s="73"/>
      <c r="C359" s="69"/>
      <c r="D359" s="68"/>
      <c r="E359" s="66"/>
      <c r="F359" s="49"/>
      <c r="G359" s="49"/>
      <c r="H359" s="4"/>
      <c r="I359" s="4"/>
      <c r="J359" s="4"/>
      <c r="K359" s="5"/>
      <c r="L359" s="5"/>
      <c r="M359" s="5"/>
      <c r="N359" s="5"/>
      <c r="O359" s="6"/>
      <c r="P359" s="7"/>
      <c r="Q359" s="7"/>
      <c r="R359" s="7"/>
    </row>
    <row r="360" spans="2:18" ht="15" customHeight="1" x14ac:dyDescent="0.3">
      <c r="B360" s="73"/>
      <c r="C360" s="69"/>
      <c r="D360" s="68"/>
      <c r="E360" s="66"/>
      <c r="F360" s="49"/>
      <c r="G360" s="49"/>
      <c r="H360" s="4"/>
      <c r="I360" s="4"/>
      <c r="J360" s="4"/>
      <c r="K360" s="5"/>
      <c r="L360" s="5"/>
      <c r="M360" s="5"/>
      <c r="N360" s="5"/>
      <c r="O360" s="6"/>
      <c r="P360" s="7"/>
      <c r="Q360" s="7"/>
      <c r="R360" s="7"/>
    </row>
    <row r="361" spans="2:18" ht="15" customHeight="1" x14ac:dyDescent="0.3">
      <c r="B361" s="73"/>
      <c r="C361" s="69"/>
      <c r="D361" s="68"/>
      <c r="E361" s="66"/>
      <c r="F361" s="49"/>
      <c r="G361" s="49"/>
      <c r="H361" s="4"/>
      <c r="I361" s="4"/>
      <c r="J361" s="4"/>
      <c r="K361" s="5"/>
      <c r="L361" s="5"/>
      <c r="M361" s="5"/>
      <c r="N361" s="5"/>
      <c r="O361" s="6"/>
      <c r="P361" s="7"/>
      <c r="Q361" s="7"/>
      <c r="R361" s="7"/>
    </row>
    <row r="362" spans="2:18" ht="15" customHeight="1" x14ac:dyDescent="0.3">
      <c r="B362" s="73"/>
      <c r="C362" s="69"/>
      <c r="D362" s="68"/>
      <c r="E362" s="66"/>
      <c r="F362" s="49"/>
      <c r="G362" s="49"/>
      <c r="H362" s="4"/>
      <c r="I362" s="4"/>
      <c r="J362" s="4"/>
      <c r="K362" s="5"/>
      <c r="L362" s="5"/>
      <c r="M362" s="5"/>
      <c r="N362" s="5"/>
      <c r="O362" s="6"/>
      <c r="P362" s="7"/>
      <c r="Q362" s="7"/>
      <c r="R362" s="7"/>
    </row>
    <row r="363" spans="2:18" ht="15" customHeight="1" x14ac:dyDescent="0.3">
      <c r="B363" s="73"/>
      <c r="C363" s="69"/>
      <c r="D363" s="68"/>
      <c r="E363" s="66"/>
      <c r="F363" s="49"/>
      <c r="G363" s="49"/>
      <c r="H363" s="4"/>
      <c r="I363" s="4"/>
      <c r="J363" s="4"/>
      <c r="K363" s="5"/>
      <c r="L363" s="5"/>
      <c r="M363" s="5"/>
      <c r="N363" s="5"/>
      <c r="O363" s="6"/>
      <c r="P363" s="7"/>
      <c r="Q363" s="7"/>
      <c r="R363" s="7"/>
    </row>
    <row r="364" spans="2:18" ht="15" customHeight="1" x14ac:dyDescent="0.3">
      <c r="B364" s="73"/>
      <c r="C364" s="69"/>
      <c r="D364" s="68"/>
      <c r="E364" s="66"/>
      <c r="F364" s="49"/>
      <c r="G364" s="49"/>
      <c r="H364" s="4"/>
      <c r="I364" s="4"/>
      <c r="J364" s="4"/>
      <c r="K364" s="5"/>
      <c r="L364" s="5"/>
      <c r="M364" s="5"/>
      <c r="N364" s="5"/>
      <c r="O364" s="6"/>
      <c r="P364" s="7"/>
      <c r="Q364" s="7"/>
      <c r="R364" s="7"/>
    </row>
    <row r="365" spans="2:18" ht="15" customHeight="1" x14ac:dyDescent="0.3">
      <c r="B365" s="74"/>
      <c r="C365" s="69"/>
      <c r="D365" s="68"/>
      <c r="E365" s="66"/>
      <c r="F365" s="49"/>
      <c r="G365" s="49"/>
      <c r="H365" s="4"/>
      <c r="I365" s="4"/>
      <c r="J365" s="4"/>
      <c r="K365" s="5"/>
      <c r="L365" s="5"/>
      <c r="M365" s="5"/>
      <c r="N365" s="5"/>
      <c r="O365" s="6"/>
      <c r="P365" s="7"/>
      <c r="Q365" s="7"/>
      <c r="R365" s="7"/>
    </row>
    <row r="366" spans="2:18" ht="15" customHeight="1" x14ac:dyDescent="0.3">
      <c r="B366" s="74"/>
      <c r="C366" s="69"/>
      <c r="D366" s="68"/>
      <c r="E366" s="66"/>
      <c r="F366" s="49"/>
      <c r="G366" s="49"/>
      <c r="H366" s="4"/>
      <c r="I366" s="4"/>
      <c r="J366" s="4"/>
      <c r="K366" s="5"/>
      <c r="L366" s="5"/>
      <c r="M366" s="5"/>
      <c r="N366" s="5"/>
      <c r="O366" s="6"/>
      <c r="P366" s="7"/>
      <c r="Q366" s="7"/>
      <c r="R366" s="7"/>
    </row>
    <row r="367" spans="2:18" ht="15" customHeight="1" x14ac:dyDescent="0.3">
      <c r="B367" s="74"/>
      <c r="C367" s="69"/>
      <c r="D367" s="68"/>
      <c r="E367" s="66"/>
      <c r="F367" s="49"/>
      <c r="G367" s="49"/>
      <c r="H367" s="4"/>
      <c r="I367" s="4"/>
      <c r="J367" s="4"/>
      <c r="K367" s="5"/>
      <c r="L367" s="5"/>
      <c r="M367" s="5"/>
      <c r="N367" s="5"/>
      <c r="O367" s="6"/>
      <c r="P367" s="7"/>
      <c r="Q367" s="7"/>
      <c r="R367" s="7"/>
    </row>
    <row r="368" spans="2:18" ht="15" customHeight="1" x14ac:dyDescent="0.3">
      <c r="B368" s="74"/>
      <c r="C368" s="69"/>
      <c r="D368" s="68"/>
      <c r="E368" s="66"/>
      <c r="F368" s="49"/>
      <c r="G368" s="49"/>
      <c r="H368" s="4"/>
      <c r="I368" s="4"/>
      <c r="J368" s="4"/>
      <c r="K368" s="5"/>
      <c r="L368" s="5"/>
      <c r="M368" s="5"/>
      <c r="N368" s="5"/>
      <c r="O368" s="6"/>
      <c r="P368" s="7"/>
      <c r="Q368" s="7"/>
      <c r="R368" s="7"/>
    </row>
    <row r="369" spans="2:18" ht="15" customHeight="1" x14ac:dyDescent="0.3">
      <c r="B369" s="74"/>
      <c r="C369" s="69"/>
      <c r="D369" s="68"/>
      <c r="E369" s="66"/>
      <c r="F369" s="49"/>
      <c r="G369" s="49"/>
      <c r="H369" s="4"/>
      <c r="I369" s="4"/>
      <c r="J369" s="4"/>
      <c r="K369" s="5"/>
      <c r="L369" s="5"/>
      <c r="M369" s="5"/>
      <c r="N369" s="5"/>
      <c r="O369" s="6"/>
      <c r="P369" s="7"/>
      <c r="Q369" s="7"/>
      <c r="R369" s="7"/>
    </row>
    <row r="370" spans="2:18" ht="15" customHeight="1" x14ac:dyDescent="0.3">
      <c r="B370" s="74"/>
      <c r="C370" s="69"/>
      <c r="D370" s="68"/>
      <c r="E370" s="66"/>
      <c r="F370" s="49"/>
      <c r="G370" s="49"/>
      <c r="H370" s="4"/>
      <c r="I370" s="4"/>
      <c r="J370" s="4"/>
      <c r="K370" s="5"/>
      <c r="L370" s="5"/>
      <c r="M370" s="5"/>
      <c r="N370" s="5"/>
      <c r="O370" s="6"/>
      <c r="P370" s="7"/>
      <c r="Q370" s="7"/>
      <c r="R370" s="7"/>
    </row>
    <row r="371" spans="2:18" ht="15" customHeight="1" x14ac:dyDescent="0.3">
      <c r="B371" s="74"/>
      <c r="C371" s="69"/>
      <c r="D371" s="68"/>
      <c r="E371" s="66"/>
      <c r="F371" s="49"/>
      <c r="G371" s="49"/>
      <c r="H371" s="4"/>
      <c r="I371" s="4"/>
      <c r="J371" s="4"/>
      <c r="K371" s="5"/>
      <c r="L371" s="5"/>
      <c r="M371" s="5"/>
      <c r="N371" s="5"/>
      <c r="O371" s="6"/>
      <c r="P371" s="7"/>
      <c r="Q371" s="7"/>
      <c r="R371" s="7"/>
    </row>
    <row r="372" spans="2:18" ht="15" customHeight="1" x14ac:dyDescent="0.3">
      <c r="B372" s="74"/>
      <c r="C372" s="69"/>
      <c r="D372" s="68"/>
      <c r="E372" s="66"/>
      <c r="F372" s="49"/>
      <c r="G372" s="49"/>
      <c r="H372" s="4"/>
      <c r="I372" s="4"/>
      <c r="J372" s="4"/>
      <c r="K372" s="5"/>
      <c r="L372" s="5"/>
      <c r="M372" s="5"/>
      <c r="N372" s="5"/>
      <c r="O372" s="6"/>
      <c r="P372" s="7"/>
      <c r="Q372" s="7"/>
      <c r="R372" s="7"/>
    </row>
    <row r="373" spans="2:18" ht="15" customHeight="1" x14ac:dyDescent="0.3">
      <c r="B373" s="73"/>
      <c r="C373" s="69"/>
      <c r="D373" s="68"/>
      <c r="E373" s="66"/>
      <c r="F373" s="49"/>
      <c r="G373" s="49"/>
      <c r="H373" s="4"/>
      <c r="I373" s="4"/>
      <c r="J373" s="4"/>
      <c r="K373" s="5"/>
      <c r="L373" s="5"/>
      <c r="M373" s="5"/>
      <c r="N373" s="5"/>
      <c r="O373" s="6"/>
      <c r="P373" s="7"/>
      <c r="Q373" s="7"/>
      <c r="R373" s="7"/>
    </row>
    <row r="374" spans="2:18" ht="15" customHeight="1" x14ac:dyDescent="0.3">
      <c r="B374" s="73"/>
      <c r="C374" s="69"/>
      <c r="D374" s="68"/>
      <c r="E374" s="66"/>
      <c r="F374" s="49"/>
      <c r="G374" s="49"/>
      <c r="H374" s="4"/>
      <c r="I374" s="4"/>
      <c r="J374" s="4"/>
      <c r="K374" s="5"/>
      <c r="L374" s="5"/>
      <c r="M374" s="5"/>
      <c r="N374" s="5"/>
      <c r="O374" s="6"/>
      <c r="P374" s="7"/>
      <c r="Q374" s="7"/>
      <c r="R374" s="7"/>
    </row>
    <row r="375" spans="2:18" ht="15" customHeight="1" x14ac:dyDescent="0.3">
      <c r="B375" s="73"/>
      <c r="C375" s="69"/>
      <c r="D375" s="68"/>
      <c r="E375" s="66"/>
      <c r="F375" s="49"/>
      <c r="G375" s="49"/>
      <c r="H375" s="4"/>
      <c r="I375" s="4"/>
      <c r="J375" s="4"/>
      <c r="K375" s="5"/>
      <c r="L375" s="5"/>
      <c r="M375" s="5"/>
      <c r="N375" s="5"/>
      <c r="O375" s="6"/>
      <c r="P375" s="7"/>
      <c r="Q375" s="7"/>
      <c r="R375" s="7"/>
    </row>
    <row r="376" spans="2:18" ht="15" customHeight="1" x14ac:dyDescent="0.3">
      <c r="B376" s="73"/>
      <c r="C376" s="69"/>
      <c r="D376" s="68"/>
      <c r="E376" s="66"/>
      <c r="F376" s="49"/>
      <c r="G376" s="49"/>
      <c r="H376" s="4"/>
      <c r="I376" s="4"/>
      <c r="J376" s="4"/>
      <c r="K376" s="5"/>
      <c r="L376" s="5"/>
      <c r="M376" s="5"/>
      <c r="N376" s="5"/>
      <c r="O376" s="6"/>
      <c r="P376" s="7"/>
      <c r="Q376" s="7"/>
      <c r="R376" s="7"/>
    </row>
    <row r="377" spans="2:18" ht="15" customHeight="1" x14ac:dyDescent="0.3">
      <c r="B377" s="73"/>
      <c r="C377" s="69"/>
      <c r="D377" s="68"/>
      <c r="E377" s="66"/>
      <c r="F377" s="49"/>
      <c r="G377" s="49"/>
      <c r="H377" s="4"/>
      <c r="I377" s="4"/>
      <c r="J377" s="4"/>
      <c r="K377" s="5"/>
      <c r="L377" s="5"/>
      <c r="M377" s="5"/>
      <c r="N377" s="5"/>
      <c r="O377" s="6"/>
      <c r="P377" s="7"/>
      <c r="Q377" s="7"/>
      <c r="R377" s="7"/>
    </row>
    <row r="378" spans="2:18" ht="15" customHeight="1" x14ac:dyDescent="0.3">
      <c r="B378" s="73"/>
      <c r="C378" s="69"/>
      <c r="D378" s="68"/>
      <c r="E378" s="66"/>
      <c r="F378" s="49"/>
      <c r="G378" s="49"/>
      <c r="H378" s="4"/>
      <c r="I378" s="4"/>
      <c r="J378" s="4"/>
      <c r="K378" s="5"/>
      <c r="L378" s="5"/>
      <c r="M378" s="5"/>
      <c r="N378" s="5"/>
      <c r="O378" s="6"/>
      <c r="P378" s="7"/>
      <c r="Q378" s="7"/>
      <c r="R378" s="7"/>
    </row>
    <row r="379" spans="2:18" ht="15" customHeight="1" x14ac:dyDescent="0.3">
      <c r="B379" s="73"/>
      <c r="C379" s="69"/>
      <c r="D379" s="68"/>
      <c r="E379" s="66"/>
      <c r="F379" s="49"/>
      <c r="G379" s="49"/>
      <c r="H379" s="4"/>
      <c r="I379" s="4"/>
      <c r="J379" s="4"/>
      <c r="K379" s="5"/>
      <c r="L379" s="5"/>
      <c r="M379" s="5"/>
      <c r="N379" s="5"/>
      <c r="O379" s="6"/>
      <c r="P379" s="7"/>
      <c r="Q379" s="7"/>
      <c r="R379" s="7"/>
    </row>
    <row r="380" spans="2:18" ht="15" customHeight="1" x14ac:dyDescent="0.3">
      <c r="B380" s="73"/>
      <c r="C380" s="69"/>
      <c r="D380" s="68"/>
      <c r="E380" s="66"/>
      <c r="F380" s="49"/>
      <c r="G380" s="49"/>
      <c r="H380" s="4"/>
      <c r="I380" s="4"/>
      <c r="J380" s="4"/>
      <c r="K380" s="5"/>
      <c r="L380" s="5"/>
      <c r="M380" s="5"/>
      <c r="N380" s="5"/>
      <c r="O380" s="6"/>
      <c r="P380" s="7"/>
      <c r="Q380" s="7"/>
      <c r="R380" s="7"/>
    </row>
    <row r="381" spans="2:18" ht="15" customHeight="1" x14ac:dyDescent="0.3">
      <c r="B381" s="74"/>
      <c r="C381" s="69"/>
      <c r="D381" s="68"/>
      <c r="E381" s="66"/>
      <c r="F381" s="49"/>
      <c r="G381" s="49"/>
      <c r="H381" s="4"/>
      <c r="I381" s="4"/>
      <c r="J381" s="4"/>
      <c r="K381" s="5"/>
      <c r="L381" s="5"/>
      <c r="M381" s="5"/>
      <c r="N381" s="5"/>
      <c r="O381" s="6"/>
      <c r="P381" s="7"/>
      <c r="Q381" s="7"/>
      <c r="R381" s="7"/>
    </row>
    <row r="382" spans="2:18" ht="15" customHeight="1" x14ac:dyDescent="0.3">
      <c r="B382" s="74"/>
      <c r="C382" s="69"/>
      <c r="D382" s="68"/>
      <c r="E382" s="66"/>
      <c r="F382" s="49"/>
      <c r="G382" s="49"/>
      <c r="H382" s="4"/>
      <c r="I382" s="4"/>
      <c r="J382" s="4"/>
      <c r="K382" s="5"/>
      <c r="L382" s="5"/>
      <c r="M382" s="5"/>
      <c r="N382" s="5"/>
      <c r="O382" s="6"/>
      <c r="P382" s="7"/>
      <c r="Q382" s="7"/>
      <c r="R382" s="7"/>
    </row>
    <row r="383" spans="2:18" ht="15" customHeight="1" x14ac:dyDescent="0.3">
      <c r="B383" s="74"/>
      <c r="C383" s="69"/>
      <c r="D383" s="68"/>
      <c r="E383" s="66"/>
      <c r="F383" s="49"/>
      <c r="G383" s="49"/>
      <c r="H383" s="4"/>
      <c r="I383" s="4"/>
      <c r="J383" s="4"/>
      <c r="K383" s="5"/>
      <c r="L383" s="5"/>
      <c r="M383" s="5"/>
      <c r="N383" s="5"/>
      <c r="O383" s="6"/>
      <c r="P383" s="7"/>
      <c r="Q383" s="7"/>
      <c r="R383" s="7"/>
    </row>
    <row r="384" spans="2:18" ht="15" customHeight="1" x14ac:dyDescent="0.3">
      <c r="B384" s="74"/>
      <c r="C384" s="69"/>
      <c r="D384" s="68"/>
      <c r="E384" s="66"/>
      <c r="F384" s="49"/>
      <c r="G384" s="49"/>
      <c r="H384" s="4"/>
      <c r="I384" s="4"/>
      <c r="J384" s="4"/>
      <c r="K384" s="5"/>
      <c r="L384" s="5"/>
      <c r="M384" s="5"/>
      <c r="N384" s="5"/>
      <c r="O384" s="6"/>
      <c r="P384" s="7"/>
      <c r="Q384" s="7"/>
      <c r="R384" s="7"/>
    </row>
    <row r="385" spans="2:18" ht="15" customHeight="1" x14ac:dyDescent="0.3">
      <c r="B385" s="74"/>
      <c r="C385" s="69"/>
      <c r="D385" s="68"/>
      <c r="E385" s="66"/>
      <c r="F385" s="49"/>
      <c r="G385" s="49"/>
      <c r="H385" s="4"/>
      <c r="I385" s="4"/>
      <c r="J385" s="4"/>
      <c r="K385" s="5"/>
      <c r="L385" s="5"/>
      <c r="M385" s="5"/>
      <c r="N385" s="5"/>
      <c r="O385" s="6"/>
      <c r="P385" s="7"/>
      <c r="Q385" s="7"/>
      <c r="R385" s="7"/>
    </row>
    <row r="386" spans="2:18" ht="15" customHeight="1" x14ac:dyDescent="0.3">
      <c r="B386" s="74"/>
      <c r="C386" s="69"/>
      <c r="D386" s="68"/>
      <c r="E386" s="66"/>
      <c r="F386" s="49"/>
      <c r="G386" s="49"/>
      <c r="H386" s="4"/>
      <c r="I386" s="4"/>
      <c r="J386" s="4"/>
      <c r="K386" s="5"/>
      <c r="L386" s="5"/>
      <c r="M386" s="5"/>
      <c r="N386" s="5"/>
      <c r="O386" s="6"/>
      <c r="P386" s="7"/>
      <c r="Q386" s="7"/>
      <c r="R386" s="7"/>
    </row>
    <row r="387" spans="2:18" ht="15" customHeight="1" x14ac:dyDescent="0.3">
      <c r="B387" s="74"/>
      <c r="C387" s="69"/>
      <c r="D387" s="68"/>
      <c r="E387" s="66"/>
      <c r="F387" s="49"/>
      <c r="G387" s="49"/>
      <c r="H387" s="4"/>
      <c r="I387" s="4"/>
      <c r="J387" s="4"/>
      <c r="K387" s="5"/>
      <c r="L387" s="5"/>
      <c r="M387" s="5"/>
      <c r="N387" s="5"/>
      <c r="O387" s="6"/>
      <c r="P387" s="7"/>
      <c r="Q387" s="7"/>
      <c r="R387" s="7"/>
    </row>
    <row r="388" spans="2:18" ht="15" customHeight="1" x14ac:dyDescent="0.3">
      <c r="B388" s="74"/>
      <c r="C388" s="69"/>
      <c r="D388" s="68"/>
      <c r="E388" s="66"/>
      <c r="F388" s="49"/>
      <c r="G388" s="49"/>
      <c r="H388" s="4"/>
      <c r="I388" s="4"/>
      <c r="J388" s="4"/>
      <c r="K388" s="5"/>
      <c r="L388" s="5"/>
      <c r="M388" s="5"/>
      <c r="N388" s="5"/>
      <c r="O388" s="6"/>
      <c r="P388" s="7"/>
      <c r="Q388" s="7"/>
      <c r="R388" s="7"/>
    </row>
    <row r="389" spans="2:18" ht="15" customHeight="1" x14ac:dyDescent="0.3">
      <c r="B389" s="73"/>
      <c r="C389" s="69"/>
      <c r="D389" s="68"/>
      <c r="E389" s="66"/>
      <c r="F389" s="49"/>
      <c r="G389" s="49"/>
      <c r="H389" s="4"/>
      <c r="I389" s="4"/>
      <c r="J389" s="4"/>
      <c r="K389" s="5"/>
      <c r="L389" s="5"/>
      <c r="M389" s="5"/>
      <c r="N389" s="5"/>
      <c r="O389" s="6"/>
      <c r="P389" s="7"/>
      <c r="Q389" s="7"/>
      <c r="R389" s="7"/>
    </row>
    <row r="390" spans="2:18" ht="15" customHeight="1" x14ac:dyDescent="0.3">
      <c r="B390" s="73"/>
      <c r="C390" s="69"/>
      <c r="D390" s="68"/>
      <c r="E390" s="66"/>
      <c r="F390" s="49"/>
      <c r="G390" s="49"/>
      <c r="H390" s="4"/>
      <c r="I390" s="4"/>
      <c r="J390" s="4"/>
      <c r="K390" s="5"/>
      <c r="L390" s="5"/>
      <c r="M390" s="5"/>
      <c r="N390" s="5"/>
      <c r="O390" s="6"/>
      <c r="P390" s="7"/>
      <c r="Q390" s="7"/>
      <c r="R390" s="7"/>
    </row>
    <row r="391" spans="2:18" ht="15" customHeight="1" x14ac:dyDescent="0.3">
      <c r="B391" s="73"/>
      <c r="C391" s="69"/>
      <c r="D391" s="68"/>
      <c r="E391" s="66"/>
      <c r="F391" s="49"/>
      <c r="G391" s="49"/>
      <c r="H391" s="4"/>
      <c r="I391" s="4"/>
      <c r="J391" s="4"/>
      <c r="K391" s="5"/>
      <c r="L391" s="5"/>
      <c r="M391" s="5"/>
      <c r="N391" s="5"/>
      <c r="O391" s="6"/>
      <c r="P391" s="7"/>
      <c r="Q391" s="7"/>
      <c r="R391" s="7"/>
    </row>
    <row r="392" spans="2:18" ht="15" customHeight="1" x14ac:dyDescent="0.3">
      <c r="B392" s="73"/>
      <c r="C392" s="69"/>
      <c r="D392" s="68"/>
      <c r="E392" s="66"/>
      <c r="F392" s="49"/>
      <c r="G392" s="49"/>
      <c r="H392" s="4"/>
      <c r="I392" s="4"/>
      <c r="J392" s="4"/>
      <c r="K392" s="5"/>
      <c r="L392" s="5"/>
      <c r="M392" s="5"/>
      <c r="N392" s="5"/>
      <c r="O392" s="6"/>
      <c r="P392" s="7"/>
      <c r="Q392" s="7"/>
      <c r="R392" s="7"/>
    </row>
    <row r="393" spans="2:18" ht="15" customHeight="1" x14ac:dyDescent="0.3">
      <c r="B393" s="73"/>
      <c r="C393" s="69"/>
      <c r="D393" s="68"/>
      <c r="E393" s="66"/>
      <c r="F393" s="49"/>
      <c r="G393" s="49"/>
      <c r="H393" s="4"/>
      <c r="I393" s="4"/>
      <c r="J393" s="4"/>
      <c r="K393" s="5"/>
      <c r="L393" s="5"/>
      <c r="M393" s="5"/>
      <c r="N393" s="5"/>
      <c r="O393" s="6"/>
      <c r="P393" s="7"/>
      <c r="Q393" s="7"/>
      <c r="R393" s="7"/>
    </row>
    <row r="394" spans="2:18" ht="15" customHeight="1" x14ac:dyDescent="0.3">
      <c r="B394" s="73"/>
      <c r="C394" s="69"/>
      <c r="D394" s="68"/>
      <c r="E394" s="66"/>
      <c r="F394" s="49"/>
      <c r="G394" s="49"/>
      <c r="H394" s="4"/>
      <c r="I394" s="4"/>
      <c r="J394" s="4"/>
      <c r="K394" s="5"/>
      <c r="L394" s="5"/>
      <c r="M394" s="5"/>
      <c r="N394" s="5"/>
      <c r="O394" s="6"/>
      <c r="P394" s="7"/>
      <c r="Q394" s="7"/>
      <c r="R394" s="7"/>
    </row>
    <row r="395" spans="2:18" ht="15" customHeight="1" x14ac:dyDescent="0.3">
      <c r="B395" s="73"/>
      <c r="C395" s="69"/>
      <c r="D395" s="68"/>
      <c r="E395" s="66"/>
      <c r="F395" s="49"/>
      <c r="G395" s="49"/>
      <c r="H395" s="4"/>
      <c r="I395" s="4"/>
      <c r="J395" s="4"/>
      <c r="K395" s="5"/>
      <c r="L395" s="5"/>
      <c r="M395" s="5"/>
      <c r="N395" s="5"/>
      <c r="O395" s="6"/>
      <c r="P395" s="7"/>
      <c r="Q395" s="7"/>
      <c r="R395" s="7"/>
    </row>
    <row r="396" spans="2:18" ht="15" customHeight="1" x14ac:dyDescent="0.3">
      <c r="B396" s="73"/>
      <c r="C396" s="69"/>
      <c r="D396" s="68"/>
      <c r="E396" s="66"/>
      <c r="F396" s="49"/>
      <c r="G396" s="49"/>
      <c r="H396" s="4"/>
      <c r="I396" s="4"/>
      <c r="J396" s="4"/>
      <c r="K396" s="5"/>
      <c r="L396" s="5"/>
      <c r="M396" s="5"/>
      <c r="N396" s="5"/>
      <c r="O396" s="6"/>
      <c r="P396" s="7"/>
      <c r="Q396" s="7"/>
      <c r="R396" s="7"/>
    </row>
    <row r="397" spans="2:18" ht="15" customHeight="1" x14ac:dyDescent="0.3">
      <c r="B397" s="74"/>
      <c r="C397" s="69"/>
      <c r="D397" s="68"/>
      <c r="E397" s="66"/>
      <c r="F397" s="49"/>
      <c r="G397" s="49"/>
      <c r="H397" s="4"/>
      <c r="I397" s="4"/>
      <c r="J397" s="4"/>
      <c r="K397" s="5"/>
      <c r="L397" s="5"/>
      <c r="M397" s="5"/>
      <c r="N397" s="5"/>
      <c r="O397" s="6"/>
      <c r="P397" s="7"/>
      <c r="Q397" s="7"/>
      <c r="R397" s="7"/>
    </row>
    <row r="398" spans="2:18" ht="15" customHeight="1" x14ac:dyDescent="0.3">
      <c r="B398" s="74"/>
      <c r="C398" s="69"/>
      <c r="D398" s="68"/>
      <c r="E398" s="66"/>
      <c r="F398" s="49"/>
      <c r="G398" s="49"/>
      <c r="H398" s="4"/>
      <c r="I398" s="4"/>
      <c r="J398" s="4"/>
      <c r="K398" s="5"/>
      <c r="L398" s="5"/>
      <c r="M398" s="5"/>
      <c r="N398" s="5"/>
      <c r="O398" s="6"/>
      <c r="P398" s="7"/>
      <c r="Q398" s="7"/>
      <c r="R398" s="7"/>
    </row>
    <row r="399" spans="2:18" ht="15" customHeight="1" x14ac:dyDescent="0.3">
      <c r="B399" s="74"/>
      <c r="C399" s="69"/>
      <c r="D399" s="68"/>
      <c r="E399" s="66"/>
      <c r="F399" s="49"/>
      <c r="G399" s="49"/>
      <c r="H399" s="4"/>
      <c r="I399" s="4"/>
      <c r="J399" s="4"/>
      <c r="K399" s="5"/>
      <c r="L399" s="5"/>
      <c r="M399" s="5"/>
      <c r="N399" s="5"/>
      <c r="O399" s="6"/>
      <c r="P399" s="7"/>
      <c r="Q399" s="7"/>
      <c r="R399" s="7"/>
    </row>
    <row r="400" spans="2:18" ht="15" customHeight="1" x14ac:dyDescent="0.3">
      <c r="B400" s="74"/>
      <c r="C400" s="69"/>
      <c r="D400" s="68"/>
      <c r="E400" s="66"/>
      <c r="F400" s="49"/>
      <c r="G400" s="49"/>
      <c r="H400" s="4"/>
      <c r="I400" s="4"/>
      <c r="J400" s="4"/>
      <c r="K400" s="5"/>
      <c r="L400" s="5"/>
      <c r="M400" s="5"/>
      <c r="N400" s="5"/>
      <c r="O400" s="6"/>
      <c r="P400" s="7"/>
      <c r="Q400" s="7"/>
      <c r="R400" s="7"/>
    </row>
    <row r="401" spans="2:18" ht="15" customHeight="1" x14ac:dyDescent="0.3">
      <c r="B401" s="74"/>
      <c r="C401" s="69"/>
      <c r="D401" s="68"/>
      <c r="E401" s="66"/>
      <c r="F401" s="49"/>
      <c r="G401" s="49"/>
      <c r="H401" s="4"/>
      <c r="I401" s="4"/>
      <c r="J401" s="4"/>
      <c r="K401" s="5"/>
      <c r="L401" s="5"/>
      <c r="M401" s="5"/>
      <c r="N401" s="5"/>
      <c r="O401" s="6"/>
      <c r="P401" s="7"/>
      <c r="Q401" s="7"/>
      <c r="R401" s="7"/>
    </row>
    <row r="402" spans="2:18" ht="15" customHeight="1" x14ac:dyDescent="0.3">
      <c r="B402" s="74"/>
      <c r="C402" s="69"/>
      <c r="D402" s="68"/>
      <c r="E402" s="66"/>
      <c r="F402" s="49"/>
      <c r="G402" s="49"/>
      <c r="H402" s="4"/>
      <c r="I402" s="4"/>
      <c r="J402" s="4"/>
      <c r="K402" s="5"/>
      <c r="L402" s="5"/>
      <c r="M402" s="5"/>
      <c r="N402" s="5"/>
      <c r="O402" s="6"/>
      <c r="P402" s="7"/>
      <c r="Q402" s="7"/>
      <c r="R402" s="7"/>
    </row>
    <row r="403" spans="2:18" ht="15" customHeight="1" x14ac:dyDescent="0.3">
      <c r="B403" s="74"/>
      <c r="C403" s="69"/>
      <c r="D403" s="68"/>
      <c r="E403" s="66"/>
      <c r="F403" s="49"/>
      <c r="G403" s="49"/>
      <c r="H403" s="4"/>
      <c r="I403" s="4"/>
      <c r="J403" s="4"/>
      <c r="K403" s="5"/>
      <c r="L403" s="5"/>
      <c r="M403" s="5"/>
      <c r="N403" s="5"/>
      <c r="O403" s="6"/>
      <c r="P403" s="7"/>
      <c r="Q403" s="7"/>
      <c r="R403" s="7"/>
    </row>
    <row r="404" spans="2:18" ht="15" customHeight="1" x14ac:dyDescent="0.3">
      <c r="B404" s="74"/>
      <c r="C404" s="69"/>
      <c r="D404" s="68"/>
      <c r="E404" s="66"/>
      <c r="F404" s="49"/>
      <c r="G404" s="49"/>
      <c r="H404" s="4"/>
      <c r="I404" s="4"/>
      <c r="J404" s="4"/>
      <c r="K404" s="5"/>
      <c r="L404" s="5"/>
      <c r="M404" s="5"/>
      <c r="N404" s="5"/>
      <c r="O404" s="6"/>
      <c r="P404" s="7"/>
      <c r="Q404" s="7"/>
      <c r="R404" s="7"/>
    </row>
    <row r="405" spans="2:18" ht="15" customHeight="1" x14ac:dyDescent="0.3">
      <c r="B405" s="73"/>
      <c r="C405" s="69"/>
      <c r="D405" s="68"/>
      <c r="E405" s="66"/>
      <c r="F405" s="49"/>
      <c r="G405" s="49"/>
      <c r="H405" s="4"/>
      <c r="I405" s="4"/>
      <c r="J405" s="4"/>
      <c r="K405" s="5"/>
      <c r="L405" s="5"/>
      <c r="M405" s="5"/>
      <c r="N405" s="5"/>
      <c r="O405" s="6"/>
      <c r="P405" s="7"/>
      <c r="Q405" s="7"/>
      <c r="R405" s="7"/>
    </row>
    <row r="406" spans="2:18" ht="15" customHeight="1" x14ac:dyDescent="0.3">
      <c r="B406" s="73"/>
      <c r="C406" s="69"/>
      <c r="D406" s="68"/>
      <c r="E406" s="66"/>
      <c r="F406" s="49"/>
      <c r="G406" s="49"/>
      <c r="H406" s="4"/>
      <c r="I406" s="4"/>
      <c r="J406" s="4"/>
      <c r="K406" s="5"/>
      <c r="L406" s="5"/>
      <c r="M406" s="5"/>
      <c r="N406" s="5"/>
      <c r="O406" s="6"/>
      <c r="P406" s="7"/>
      <c r="Q406" s="7"/>
      <c r="R406" s="7"/>
    </row>
    <row r="407" spans="2:18" ht="15" customHeight="1" x14ac:dyDescent="0.3">
      <c r="B407" s="73"/>
      <c r="C407" s="69"/>
      <c r="D407" s="68"/>
      <c r="E407" s="66"/>
      <c r="F407" s="49"/>
      <c r="G407" s="49"/>
      <c r="H407" s="4"/>
      <c r="I407" s="4"/>
      <c r="J407" s="4"/>
      <c r="K407" s="5"/>
      <c r="L407" s="5"/>
      <c r="M407" s="5"/>
      <c r="N407" s="5"/>
      <c r="O407" s="6"/>
      <c r="P407" s="7"/>
      <c r="Q407" s="7"/>
      <c r="R407" s="7"/>
    </row>
    <row r="408" spans="2:18" ht="15" customHeight="1" x14ac:dyDescent="0.3">
      <c r="B408" s="73"/>
      <c r="C408" s="69"/>
      <c r="D408" s="68"/>
      <c r="E408" s="66"/>
      <c r="F408" s="49"/>
      <c r="G408" s="49"/>
      <c r="H408" s="4"/>
      <c r="I408" s="4"/>
      <c r="J408" s="4"/>
      <c r="K408" s="5"/>
      <c r="L408" s="5"/>
      <c r="M408" s="5"/>
      <c r="N408" s="5"/>
      <c r="O408" s="6"/>
      <c r="P408" s="7"/>
      <c r="Q408" s="7"/>
      <c r="R408" s="7"/>
    </row>
    <row r="409" spans="2:18" ht="15" customHeight="1" x14ac:dyDescent="0.3">
      <c r="B409" s="74"/>
      <c r="C409" s="69"/>
      <c r="D409" s="68"/>
      <c r="E409" s="66"/>
      <c r="F409" s="49"/>
      <c r="G409" s="49"/>
      <c r="H409" s="4"/>
      <c r="I409" s="4"/>
      <c r="J409" s="4"/>
      <c r="K409" s="5"/>
      <c r="L409" s="5"/>
      <c r="M409" s="5"/>
      <c r="N409" s="5"/>
      <c r="O409" s="6"/>
      <c r="P409" s="7"/>
      <c r="Q409" s="7"/>
      <c r="R409" s="7"/>
    </row>
    <row r="410" spans="2:18" ht="15" customHeight="1" x14ac:dyDescent="0.3">
      <c r="B410" s="74"/>
      <c r="C410" s="69"/>
      <c r="D410" s="68"/>
      <c r="E410" s="66"/>
      <c r="F410" s="49"/>
      <c r="G410" s="49"/>
      <c r="H410" s="4"/>
      <c r="I410" s="4"/>
      <c r="J410" s="4"/>
      <c r="K410" s="5"/>
      <c r="L410" s="5"/>
      <c r="M410" s="5"/>
      <c r="N410" s="5"/>
      <c r="O410" s="6"/>
      <c r="P410" s="7"/>
      <c r="Q410" s="7"/>
      <c r="R410" s="7"/>
    </row>
    <row r="411" spans="2:18" ht="15" customHeight="1" x14ac:dyDescent="0.3">
      <c r="B411" s="74"/>
      <c r="C411" s="69"/>
      <c r="D411" s="68"/>
      <c r="E411" s="66"/>
      <c r="F411" s="49"/>
      <c r="G411" s="49"/>
      <c r="H411" s="4"/>
      <c r="I411" s="4"/>
      <c r="J411" s="4"/>
      <c r="K411" s="5"/>
      <c r="L411" s="5"/>
      <c r="M411" s="5"/>
      <c r="N411" s="5"/>
      <c r="O411" s="6"/>
      <c r="P411" s="7"/>
      <c r="Q411" s="7"/>
      <c r="R411" s="7"/>
    </row>
    <row r="412" spans="2:18" ht="15" customHeight="1" x14ac:dyDescent="0.3">
      <c r="B412" s="74"/>
      <c r="C412" s="69"/>
      <c r="D412" s="68"/>
      <c r="E412" s="66"/>
      <c r="F412" s="49"/>
      <c r="G412" s="49"/>
      <c r="H412" s="4"/>
      <c r="I412" s="4"/>
      <c r="J412" s="4"/>
      <c r="K412" s="5"/>
      <c r="L412" s="5"/>
      <c r="M412" s="5"/>
      <c r="N412" s="5"/>
      <c r="O412" s="6"/>
      <c r="P412" s="7"/>
      <c r="Q412" s="7"/>
      <c r="R412" s="7"/>
    </row>
    <row r="413" spans="2:18" ht="15" customHeight="1" x14ac:dyDescent="0.3">
      <c r="B413" s="74"/>
      <c r="C413" s="69"/>
      <c r="D413" s="68"/>
      <c r="E413" s="66"/>
      <c r="F413" s="49"/>
      <c r="G413" s="49"/>
      <c r="H413" s="4"/>
      <c r="I413" s="4"/>
      <c r="J413" s="4"/>
      <c r="K413" s="5"/>
      <c r="L413" s="5"/>
      <c r="M413" s="5"/>
      <c r="N413" s="5"/>
      <c r="O413" s="6"/>
      <c r="P413" s="7"/>
      <c r="Q413" s="7"/>
      <c r="R413" s="7"/>
    </row>
    <row r="414" spans="2:18" ht="15" customHeight="1" x14ac:dyDescent="0.3">
      <c r="B414" s="74"/>
      <c r="C414" s="69"/>
      <c r="D414" s="68"/>
      <c r="E414" s="66"/>
      <c r="F414" s="49"/>
      <c r="G414" s="49"/>
      <c r="H414" s="4"/>
      <c r="I414" s="4"/>
      <c r="J414" s="4"/>
      <c r="K414" s="5"/>
      <c r="L414" s="5"/>
      <c r="M414" s="5"/>
      <c r="N414" s="5"/>
      <c r="O414" s="6"/>
      <c r="P414" s="7"/>
      <c r="Q414" s="7"/>
      <c r="R414" s="7"/>
    </row>
    <row r="415" spans="2:18" ht="15" customHeight="1" x14ac:dyDescent="0.3">
      <c r="B415" s="74"/>
      <c r="C415" s="69"/>
      <c r="D415" s="68"/>
      <c r="E415" s="66"/>
      <c r="F415" s="49"/>
      <c r="G415" s="49"/>
      <c r="H415" s="4"/>
      <c r="I415" s="4"/>
      <c r="J415" s="4"/>
      <c r="K415" s="5"/>
      <c r="L415" s="5"/>
      <c r="M415" s="5"/>
      <c r="N415" s="5"/>
      <c r="O415" s="6"/>
      <c r="P415" s="7"/>
      <c r="Q415" s="7"/>
      <c r="R415" s="7"/>
    </row>
    <row r="416" spans="2:18" ht="15" customHeight="1" x14ac:dyDescent="0.3">
      <c r="B416" s="74"/>
      <c r="C416" s="69"/>
      <c r="D416" s="68"/>
      <c r="E416" s="66"/>
      <c r="F416" s="49"/>
      <c r="G416" s="49"/>
      <c r="H416" s="4"/>
      <c r="I416" s="4"/>
      <c r="J416" s="4"/>
      <c r="K416" s="5"/>
      <c r="L416" s="5"/>
      <c r="M416" s="5"/>
      <c r="N416" s="5"/>
      <c r="O416" s="6"/>
      <c r="P416" s="7"/>
      <c r="Q416" s="7"/>
      <c r="R416" s="7"/>
    </row>
    <row r="417" spans="2:18" ht="15" customHeight="1" x14ac:dyDescent="0.3">
      <c r="B417" s="73"/>
      <c r="C417" s="69"/>
      <c r="D417" s="68"/>
      <c r="E417" s="66"/>
      <c r="F417" s="49"/>
      <c r="G417" s="49"/>
      <c r="H417" s="4"/>
      <c r="I417" s="4"/>
      <c r="J417" s="4"/>
      <c r="K417" s="5"/>
      <c r="L417" s="5"/>
      <c r="M417" s="5"/>
      <c r="N417" s="5"/>
      <c r="O417" s="6"/>
      <c r="P417" s="7"/>
      <c r="Q417" s="7"/>
      <c r="R417" s="7"/>
    </row>
    <row r="418" spans="2:18" ht="15" customHeight="1" x14ac:dyDescent="0.3">
      <c r="B418" s="73"/>
      <c r="C418" s="69"/>
      <c r="D418" s="68"/>
      <c r="E418" s="66"/>
      <c r="F418" s="49"/>
      <c r="G418" s="49"/>
      <c r="H418" s="4"/>
      <c r="I418" s="4"/>
      <c r="J418" s="4"/>
      <c r="K418" s="5"/>
      <c r="L418" s="5"/>
      <c r="M418" s="5"/>
      <c r="N418" s="5"/>
      <c r="O418" s="6"/>
      <c r="P418" s="7"/>
      <c r="Q418" s="7"/>
      <c r="R418" s="7"/>
    </row>
    <row r="419" spans="2:18" ht="15" customHeight="1" x14ac:dyDescent="0.3">
      <c r="B419" s="73"/>
      <c r="C419" s="69"/>
      <c r="D419" s="68"/>
      <c r="E419" s="66"/>
      <c r="F419" s="49"/>
      <c r="G419" s="49"/>
      <c r="H419" s="4"/>
      <c r="I419" s="4"/>
      <c r="J419" s="4"/>
      <c r="K419" s="5"/>
      <c r="L419" s="5"/>
      <c r="M419" s="5"/>
      <c r="N419" s="5"/>
      <c r="O419" s="6"/>
      <c r="P419" s="7"/>
      <c r="Q419" s="7"/>
      <c r="R419" s="7"/>
    </row>
    <row r="420" spans="2:18" ht="15" customHeight="1" x14ac:dyDescent="0.3">
      <c r="B420" s="73"/>
      <c r="C420" s="69"/>
      <c r="D420" s="68"/>
      <c r="E420" s="66"/>
      <c r="F420" s="49"/>
      <c r="G420" s="49"/>
      <c r="H420" s="4"/>
      <c r="I420" s="4"/>
      <c r="J420" s="4"/>
      <c r="K420" s="5"/>
      <c r="L420" s="5"/>
      <c r="M420" s="5"/>
      <c r="N420" s="5"/>
      <c r="O420" s="6"/>
      <c r="P420" s="7"/>
      <c r="Q420" s="7"/>
      <c r="R420" s="7"/>
    </row>
    <row r="421" spans="2:18" ht="15" customHeight="1" x14ac:dyDescent="0.3">
      <c r="B421" s="73"/>
      <c r="C421" s="69"/>
      <c r="D421" s="68"/>
      <c r="E421" s="66"/>
      <c r="F421" s="49"/>
      <c r="G421" s="49"/>
      <c r="H421" s="4"/>
      <c r="I421" s="4"/>
      <c r="J421" s="4"/>
      <c r="K421" s="5"/>
      <c r="L421" s="5"/>
      <c r="M421" s="5"/>
      <c r="N421" s="5"/>
      <c r="O421" s="6"/>
      <c r="P421" s="7"/>
      <c r="Q421" s="7"/>
      <c r="R421" s="7"/>
    </row>
    <row r="422" spans="2:18" ht="15" customHeight="1" x14ac:dyDescent="0.3">
      <c r="B422" s="73"/>
      <c r="C422" s="69"/>
      <c r="D422" s="68"/>
      <c r="E422" s="66"/>
      <c r="F422" s="49"/>
      <c r="G422" s="49"/>
      <c r="H422" s="4"/>
      <c r="I422" s="4"/>
      <c r="J422" s="4"/>
      <c r="K422" s="5"/>
      <c r="L422" s="5"/>
      <c r="M422" s="5"/>
      <c r="N422" s="5"/>
      <c r="O422" s="6"/>
      <c r="P422" s="7"/>
      <c r="Q422" s="7"/>
      <c r="R422" s="7"/>
    </row>
    <row r="423" spans="2:18" ht="15" customHeight="1" x14ac:dyDescent="0.3">
      <c r="B423" s="73"/>
      <c r="C423" s="69"/>
      <c r="D423" s="68"/>
      <c r="E423" s="66"/>
      <c r="F423" s="49"/>
      <c r="G423" s="49"/>
      <c r="H423" s="4"/>
      <c r="I423" s="4"/>
      <c r="J423" s="4"/>
      <c r="K423" s="5"/>
      <c r="L423" s="5"/>
      <c r="M423" s="5"/>
      <c r="N423" s="5"/>
      <c r="O423" s="6"/>
      <c r="P423" s="7"/>
      <c r="Q423" s="7"/>
      <c r="R423" s="7"/>
    </row>
    <row r="424" spans="2:18" ht="15" customHeight="1" x14ac:dyDescent="0.3">
      <c r="B424" s="73"/>
      <c r="C424" s="69"/>
      <c r="D424" s="68"/>
      <c r="E424" s="66"/>
      <c r="F424" s="49"/>
      <c r="G424" s="49"/>
      <c r="H424" s="4"/>
      <c r="I424" s="4"/>
      <c r="J424" s="4"/>
      <c r="K424" s="5"/>
      <c r="L424" s="5"/>
      <c r="M424" s="5"/>
      <c r="N424" s="5"/>
      <c r="O424" s="6"/>
      <c r="P424" s="7"/>
      <c r="Q424" s="7"/>
      <c r="R424" s="7"/>
    </row>
    <row r="425" spans="2:18" ht="15" customHeight="1" x14ac:dyDescent="0.3">
      <c r="B425" s="74"/>
      <c r="C425" s="69"/>
      <c r="D425" s="68"/>
      <c r="E425" s="66"/>
      <c r="F425" s="49"/>
      <c r="G425" s="49"/>
      <c r="H425" s="4"/>
      <c r="I425" s="4"/>
      <c r="J425" s="4"/>
      <c r="K425" s="5"/>
      <c r="L425" s="5"/>
      <c r="M425" s="5"/>
      <c r="N425" s="5"/>
      <c r="O425" s="6"/>
      <c r="P425" s="7"/>
      <c r="Q425" s="7"/>
      <c r="R425" s="7"/>
    </row>
    <row r="426" spans="2:18" ht="15" customHeight="1" x14ac:dyDescent="0.3">
      <c r="B426" s="74"/>
      <c r="C426" s="69"/>
      <c r="D426" s="68"/>
      <c r="E426" s="66"/>
      <c r="F426" s="49"/>
      <c r="G426" s="49"/>
      <c r="H426" s="4"/>
      <c r="I426" s="4"/>
      <c r="J426" s="4"/>
      <c r="K426" s="5"/>
      <c r="L426" s="5"/>
      <c r="M426" s="5"/>
      <c r="N426" s="5"/>
      <c r="O426" s="6"/>
      <c r="P426" s="7"/>
      <c r="Q426" s="7"/>
      <c r="R426" s="7"/>
    </row>
    <row r="427" spans="2:18" ht="15" customHeight="1" x14ac:dyDescent="0.3">
      <c r="B427" s="74"/>
      <c r="C427" s="69"/>
      <c r="D427" s="68"/>
      <c r="E427" s="66"/>
      <c r="F427" s="49"/>
      <c r="G427" s="49"/>
      <c r="H427" s="4"/>
      <c r="I427" s="4"/>
      <c r="J427" s="4"/>
      <c r="K427" s="5"/>
      <c r="L427" s="5"/>
      <c r="M427" s="5"/>
      <c r="N427" s="5"/>
      <c r="O427" s="6"/>
      <c r="P427" s="7"/>
      <c r="Q427" s="7"/>
      <c r="R427" s="7"/>
    </row>
    <row r="428" spans="2:18" ht="15" customHeight="1" x14ac:dyDescent="0.3">
      <c r="B428" s="74"/>
      <c r="C428" s="69"/>
      <c r="D428" s="68"/>
      <c r="E428" s="66"/>
      <c r="F428" s="49"/>
      <c r="G428" s="49"/>
      <c r="H428" s="4"/>
      <c r="I428" s="4"/>
      <c r="J428" s="4"/>
      <c r="K428" s="5"/>
      <c r="L428" s="5"/>
      <c r="M428" s="5"/>
      <c r="N428" s="5"/>
      <c r="O428" s="6"/>
      <c r="P428" s="7"/>
      <c r="Q428" s="7"/>
      <c r="R428" s="7"/>
    </row>
    <row r="429" spans="2:18" ht="15" customHeight="1" x14ac:dyDescent="0.3">
      <c r="B429" s="74"/>
      <c r="C429" s="69"/>
      <c r="D429" s="68"/>
      <c r="E429" s="66"/>
      <c r="F429" s="49"/>
      <c r="G429" s="49"/>
      <c r="H429" s="4"/>
      <c r="I429" s="4"/>
      <c r="J429" s="4"/>
      <c r="K429" s="5"/>
      <c r="L429" s="5"/>
      <c r="M429" s="5"/>
      <c r="N429" s="5"/>
      <c r="O429" s="6"/>
      <c r="P429" s="7"/>
      <c r="Q429" s="7"/>
      <c r="R429" s="7"/>
    </row>
    <row r="430" spans="2:18" ht="15" customHeight="1" x14ac:dyDescent="0.3">
      <c r="B430" s="74"/>
      <c r="C430" s="69"/>
      <c r="D430" s="68"/>
      <c r="E430" s="66"/>
      <c r="F430" s="49"/>
      <c r="G430" s="49"/>
      <c r="H430" s="4"/>
      <c r="I430" s="4"/>
      <c r="J430" s="4"/>
      <c r="K430" s="5"/>
      <c r="L430" s="5"/>
      <c r="M430" s="5"/>
      <c r="N430" s="5"/>
      <c r="O430" s="6"/>
      <c r="P430" s="7"/>
      <c r="Q430" s="7"/>
      <c r="R430" s="7"/>
    </row>
    <row r="431" spans="2:18" ht="15" customHeight="1" x14ac:dyDescent="0.3">
      <c r="B431" s="74"/>
      <c r="C431" s="69"/>
      <c r="D431" s="68"/>
      <c r="E431" s="66"/>
      <c r="F431" s="49"/>
      <c r="G431" s="49"/>
      <c r="H431" s="4"/>
      <c r="I431" s="4"/>
      <c r="J431" s="4"/>
      <c r="K431" s="5"/>
      <c r="L431" s="5"/>
      <c r="M431" s="5"/>
      <c r="N431" s="5"/>
      <c r="O431" s="6"/>
      <c r="P431" s="7"/>
      <c r="Q431" s="7"/>
      <c r="R431" s="7"/>
    </row>
    <row r="432" spans="2:18" ht="15" customHeight="1" x14ac:dyDescent="0.3">
      <c r="B432" s="74"/>
      <c r="C432" s="69"/>
      <c r="D432" s="68"/>
      <c r="E432" s="66"/>
      <c r="F432" s="49"/>
      <c r="G432" s="49"/>
      <c r="H432" s="4"/>
      <c r="I432" s="4"/>
      <c r="J432" s="4"/>
      <c r="K432" s="5"/>
      <c r="L432" s="5"/>
      <c r="M432" s="5"/>
      <c r="N432" s="5"/>
      <c r="O432" s="6"/>
      <c r="P432" s="7"/>
      <c r="Q432" s="7"/>
      <c r="R432" s="7"/>
    </row>
    <row r="433" spans="2:18" ht="15" customHeight="1" x14ac:dyDescent="0.3">
      <c r="B433" s="73"/>
      <c r="C433" s="69"/>
      <c r="D433" s="68"/>
      <c r="E433" s="66"/>
      <c r="F433" s="49"/>
      <c r="G433" s="49"/>
      <c r="H433" s="4"/>
      <c r="I433" s="4"/>
      <c r="J433" s="4"/>
      <c r="K433" s="5"/>
      <c r="L433" s="5"/>
      <c r="M433" s="5"/>
      <c r="N433" s="5"/>
      <c r="O433" s="6"/>
      <c r="P433" s="7"/>
      <c r="Q433" s="7"/>
      <c r="R433" s="7"/>
    </row>
    <row r="434" spans="2:18" ht="15" customHeight="1" x14ac:dyDescent="0.3">
      <c r="B434" s="73"/>
      <c r="C434" s="69"/>
      <c r="D434" s="68"/>
      <c r="E434" s="66"/>
      <c r="F434" s="49"/>
      <c r="G434" s="49"/>
      <c r="H434" s="4"/>
      <c r="I434" s="4"/>
      <c r="J434" s="4"/>
      <c r="K434" s="5"/>
      <c r="L434" s="5"/>
      <c r="M434" s="5"/>
      <c r="N434" s="5"/>
      <c r="O434" s="6"/>
      <c r="P434" s="7"/>
      <c r="Q434" s="7"/>
      <c r="R434" s="7"/>
    </row>
    <row r="435" spans="2:18" ht="15" customHeight="1" x14ac:dyDescent="0.3">
      <c r="B435" s="73"/>
      <c r="C435" s="69"/>
      <c r="D435" s="68"/>
      <c r="E435" s="66"/>
      <c r="F435" s="49"/>
      <c r="G435" s="49"/>
      <c r="H435" s="4"/>
      <c r="I435" s="4"/>
      <c r="J435" s="4"/>
      <c r="K435" s="5"/>
      <c r="L435" s="5"/>
      <c r="M435" s="5"/>
      <c r="N435" s="5"/>
      <c r="O435" s="6"/>
      <c r="P435" s="7"/>
      <c r="Q435" s="7"/>
      <c r="R435" s="7"/>
    </row>
    <row r="436" spans="2:18" ht="15" customHeight="1" x14ac:dyDescent="0.3">
      <c r="B436" s="73"/>
      <c r="C436" s="69"/>
      <c r="D436" s="68"/>
      <c r="E436" s="66"/>
      <c r="F436" s="49"/>
      <c r="G436" s="49"/>
      <c r="H436" s="4"/>
      <c r="I436" s="4"/>
      <c r="J436" s="4"/>
      <c r="K436" s="5"/>
      <c r="L436" s="5"/>
      <c r="M436" s="5"/>
      <c r="N436" s="5"/>
      <c r="O436" s="6"/>
      <c r="P436" s="7"/>
      <c r="Q436" s="7"/>
      <c r="R436" s="7"/>
    </row>
    <row r="437" spans="2:18" ht="15" customHeight="1" x14ac:dyDescent="0.3">
      <c r="B437" s="73"/>
      <c r="C437" s="69"/>
      <c r="D437" s="68"/>
      <c r="E437" s="66"/>
      <c r="F437" s="49"/>
      <c r="G437" s="49"/>
      <c r="H437" s="4"/>
      <c r="I437" s="4"/>
      <c r="J437" s="4"/>
      <c r="K437" s="5"/>
      <c r="L437" s="5"/>
      <c r="M437" s="5"/>
      <c r="N437" s="5"/>
      <c r="O437" s="6"/>
      <c r="P437" s="7"/>
      <c r="Q437" s="7"/>
      <c r="R437" s="7"/>
    </row>
    <row r="438" spans="2:18" ht="15" customHeight="1" x14ac:dyDescent="0.3">
      <c r="B438" s="73"/>
      <c r="C438" s="69"/>
      <c r="D438" s="68"/>
      <c r="E438" s="66"/>
      <c r="F438" s="49"/>
      <c r="G438" s="49"/>
      <c r="H438" s="4"/>
      <c r="I438" s="4"/>
      <c r="J438" s="4"/>
      <c r="K438" s="5"/>
      <c r="L438" s="5"/>
      <c r="M438" s="5"/>
      <c r="N438" s="5"/>
      <c r="O438" s="6"/>
      <c r="P438" s="7"/>
      <c r="Q438" s="7"/>
      <c r="R438" s="7"/>
    </row>
    <row r="439" spans="2:18" ht="15" customHeight="1" x14ac:dyDescent="0.3">
      <c r="B439" s="73"/>
      <c r="C439" s="69"/>
      <c r="D439" s="68"/>
      <c r="E439" s="66"/>
      <c r="F439" s="49"/>
      <c r="G439" s="49"/>
      <c r="H439" s="4"/>
      <c r="I439" s="4"/>
      <c r="J439" s="4"/>
      <c r="K439" s="5"/>
      <c r="L439" s="5"/>
      <c r="M439" s="5"/>
      <c r="N439" s="5"/>
      <c r="O439" s="6"/>
      <c r="P439" s="7"/>
      <c r="Q439" s="7"/>
      <c r="R439" s="7"/>
    </row>
    <row r="440" spans="2:18" ht="15" customHeight="1" x14ac:dyDescent="0.3">
      <c r="B440" s="73"/>
      <c r="C440" s="69"/>
      <c r="D440" s="68"/>
      <c r="E440" s="66"/>
      <c r="F440" s="49"/>
      <c r="G440" s="49"/>
      <c r="H440" s="4"/>
      <c r="I440" s="4"/>
      <c r="J440" s="4"/>
      <c r="K440" s="5"/>
      <c r="L440" s="5"/>
      <c r="M440" s="5"/>
      <c r="N440" s="5"/>
      <c r="O440" s="6"/>
      <c r="P440" s="7"/>
      <c r="Q440" s="7"/>
      <c r="R440" s="7"/>
    </row>
    <row r="441" spans="2:18" ht="15" customHeight="1" x14ac:dyDescent="0.3">
      <c r="B441" s="74"/>
      <c r="C441" s="69"/>
      <c r="D441" s="68"/>
      <c r="E441" s="66"/>
      <c r="F441" s="49"/>
      <c r="G441" s="49"/>
      <c r="H441" s="4"/>
      <c r="I441" s="4"/>
      <c r="J441" s="4"/>
      <c r="K441" s="5"/>
      <c r="L441" s="5"/>
      <c r="M441" s="5"/>
      <c r="N441" s="5"/>
      <c r="O441" s="6"/>
      <c r="P441" s="7"/>
      <c r="Q441" s="7"/>
      <c r="R441" s="7"/>
    </row>
    <row r="442" spans="2:18" ht="15" customHeight="1" x14ac:dyDescent="0.3">
      <c r="B442" s="74"/>
      <c r="C442" s="69"/>
      <c r="D442" s="68"/>
      <c r="E442" s="66"/>
      <c r="F442" s="49"/>
      <c r="G442" s="49"/>
      <c r="H442" s="4"/>
      <c r="I442" s="4"/>
      <c r="J442" s="4"/>
      <c r="K442" s="5"/>
      <c r="L442" s="5"/>
      <c r="M442" s="5"/>
      <c r="N442" s="5"/>
      <c r="O442" s="6"/>
      <c r="P442" s="7"/>
      <c r="Q442" s="7"/>
      <c r="R442" s="7"/>
    </row>
    <row r="443" spans="2:18" ht="15" customHeight="1" x14ac:dyDescent="0.3">
      <c r="B443" s="74"/>
      <c r="C443" s="69"/>
      <c r="D443" s="68"/>
      <c r="E443" s="66"/>
      <c r="F443" s="49"/>
      <c r="G443" s="49"/>
      <c r="H443" s="4"/>
      <c r="I443" s="4"/>
      <c r="J443" s="4"/>
      <c r="K443" s="5"/>
      <c r="L443" s="5"/>
      <c r="M443" s="5"/>
      <c r="N443" s="5"/>
      <c r="O443" s="6"/>
      <c r="P443" s="7"/>
      <c r="Q443" s="7"/>
      <c r="R443" s="7"/>
    </row>
    <row r="444" spans="2:18" ht="15" customHeight="1" x14ac:dyDescent="0.3">
      <c r="B444" s="74"/>
      <c r="C444" s="69"/>
      <c r="D444" s="68"/>
      <c r="E444" s="66"/>
      <c r="F444" s="49"/>
      <c r="G444" s="49"/>
      <c r="H444" s="4"/>
      <c r="I444" s="4"/>
      <c r="J444" s="4"/>
      <c r="K444" s="5"/>
      <c r="L444" s="5"/>
      <c r="M444" s="5"/>
      <c r="N444" s="5"/>
      <c r="O444" s="6"/>
      <c r="P444" s="7"/>
      <c r="Q444" s="7"/>
      <c r="R444" s="7"/>
    </row>
    <row r="445" spans="2:18" ht="15" customHeight="1" x14ac:dyDescent="0.3">
      <c r="B445" s="74"/>
      <c r="C445" s="69"/>
      <c r="D445" s="68"/>
      <c r="E445" s="66"/>
      <c r="F445" s="49"/>
      <c r="G445" s="49"/>
      <c r="H445" s="4"/>
      <c r="I445" s="4"/>
      <c r="J445" s="4"/>
      <c r="K445" s="5"/>
      <c r="L445" s="5"/>
      <c r="M445" s="5"/>
      <c r="N445" s="5"/>
      <c r="O445" s="6"/>
      <c r="P445" s="7"/>
      <c r="Q445" s="7"/>
      <c r="R445" s="7"/>
    </row>
    <row r="446" spans="2:18" ht="15" customHeight="1" x14ac:dyDescent="0.3">
      <c r="B446" s="74"/>
      <c r="C446" s="69"/>
      <c r="D446" s="68"/>
      <c r="E446" s="66"/>
      <c r="F446" s="49"/>
      <c r="G446" s="49"/>
      <c r="H446" s="4"/>
      <c r="I446" s="4"/>
      <c r="J446" s="4"/>
      <c r="K446" s="5"/>
      <c r="L446" s="5"/>
      <c r="M446" s="5"/>
      <c r="N446" s="5"/>
      <c r="O446" s="6"/>
      <c r="P446" s="7"/>
      <c r="Q446" s="7"/>
      <c r="R446" s="7"/>
    </row>
    <row r="447" spans="2:18" ht="15" customHeight="1" x14ac:dyDescent="0.3">
      <c r="B447" s="74"/>
      <c r="C447" s="69"/>
      <c r="D447" s="68"/>
      <c r="E447" s="66"/>
      <c r="F447" s="49"/>
      <c r="G447" s="49"/>
      <c r="H447" s="4"/>
      <c r="I447" s="4"/>
      <c r="J447" s="4"/>
      <c r="K447" s="5"/>
      <c r="L447" s="5"/>
      <c r="M447" s="5"/>
      <c r="N447" s="5"/>
      <c r="O447" s="6"/>
      <c r="P447" s="7"/>
      <c r="Q447" s="7"/>
      <c r="R447" s="7"/>
    </row>
    <row r="448" spans="2:18" ht="15" customHeight="1" x14ac:dyDescent="0.3">
      <c r="B448" s="74"/>
      <c r="C448" s="69"/>
      <c r="D448" s="68"/>
      <c r="E448" s="66"/>
      <c r="F448" s="49"/>
      <c r="G448" s="49"/>
      <c r="H448" s="4"/>
      <c r="I448" s="4"/>
      <c r="J448" s="4"/>
      <c r="K448" s="5"/>
      <c r="L448" s="5"/>
      <c r="M448" s="5"/>
      <c r="N448" s="5"/>
      <c r="O448" s="6"/>
      <c r="P448" s="7"/>
      <c r="Q448" s="7"/>
      <c r="R448" s="7"/>
    </row>
    <row r="449" spans="2:18" ht="15" customHeight="1" x14ac:dyDescent="0.3">
      <c r="B449" s="73"/>
      <c r="C449" s="69"/>
      <c r="D449" s="68"/>
      <c r="E449" s="66"/>
      <c r="F449" s="49"/>
      <c r="G449" s="49"/>
      <c r="H449" s="4"/>
      <c r="I449" s="4"/>
      <c r="J449" s="4"/>
      <c r="K449" s="5"/>
      <c r="L449" s="5"/>
      <c r="M449" s="5"/>
      <c r="N449" s="5"/>
      <c r="O449" s="6"/>
      <c r="P449" s="7"/>
      <c r="Q449" s="7"/>
      <c r="R449" s="7"/>
    </row>
    <row r="450" spans="2:18" ht="15" customHeight="1" x14ac:dyDescent="0.3">
      <c r="B450" s="73"/>
      <c r="C450" s="69"/>
      <c r="D450" s="68"/>
      <c r="E450" s="66"/>
      <c r="F450" s="49"/>
      <c r="G450" s="49"/>
      <c r="H450" s="4"/>
      <c r="I450" s="4"/>
      <c r="J450" s="4"/>
      <c r="K450" s="5"/>
      <c r="L450" s="5"/>
      <c r="M450" s="5"/>
      <c r="N450" s="5"/>
      <c r="O450" s="6"/>
      <c r="P450" s="7"/>
      <c r="Q450" s="7"/>
      <c r="R450" s="7"/>
    </row>
    <row r="451" spans="2:18" ht="15" customHeight="1" x14ac:dyDescent="0.3">
      <c r="B451" s="73"/>
      <c r="C451" s="69"/>
      <c r="D451" s="68"/>
      <c r="E451" s="66"/>
      <c r="F451" s="49"/>
      <c r="G451" s="49"/>
      <c r="H451" s="4"/>
      <c r="I451" s="4"/>
      <c r="J451" s="4"/>
      <c r="K451" s="5"/>
      <c r="L451" s="5"/>
      <c r="M451" s="5"/>
      <c r="N451" s="5"/>
      <c r="O451" s="6"/>
      <c r="P451" s="7"/>
      <c r="Q451" s="7"/>
      <c r="R451" s="7"/>
    </row>
    <row r="452" spans="2:18" ht="15" customHeight="1" x14ac:dyDescent="0.3">
      <c r="B452" s="73"/>
      <c r="C452" s="69"/>
      <c r="D452" s="68"/>
      <c r="E452" s="66"/>
      <c r="F452" s="49"/>
      <c r="G452" s="49"/>
      <c r="H452" s="4"/>
      <c r="I452" s="4"/>
      <c r="J452" s="4"/>
      <c r="K452" s="5"/>
      <c r="L452" s="5"/>
      <c r="M452" s="5"/>
      <c r="N452" s="5"/>
      <c r="O452" s="6"/>
      <c r="P452" s="7"/>
      <c r="Q452" s="7"/>
      <c r="R452" s="7"/>
    </row>
    <row r="453" spans="2:18" ht="15" customHeight="1" x14ac:dyDescent="0.3">
      <c r="B453" s="73"/>
      <c r="C453" s="69"/>
      <c r="D453" s="68"/>
      <c r="E453" s="66"/>
      <c r="F453" s="49"/>
      <c r="G453" s="49"/>
      <c r="H453" s="4"/>
      <c r="I453" s="4"/>
      <c r="J453" s="4"/>
      <c r="K453" s="5"/>
      <c r="L453" s="5"/>
      <c r="M453" s="5"/>
      <c r="N453" s="5"/>
      <c r="O453" s="6"/>
      <c r="P453" s="7"/>
      <c r="Q453" s="7"/>
      <c r="R453" s="7"/>
    </row>
    <row r="454" spans="2:18" ht="15" customHeight="1" x14ac:dyDescent="0.3">
      <c r="B454" s="73"/>
      <c r="C454" s="69"/>
      <c r="D454" s="68"/>
      <c r="E454" s="66"/>
      <c r="F454" s="49"/>
      <c r="G454" s="49"/>
      <c r="H454" s="4"/>
      <c r="I454" s="4"/>
      <c r="J454" s="4"/>
      <c r="K454" s="5"/>
      <c r="L454" s="5"/>
      <c r="M454" s="5"/>
      <c r="N454" s="5"/>
      <c r="O454" s="6"/>
      <c r="P454" s="7"/>
      <c r="Q454" s="7"/>
      <c r="R454" s="7"/>
    </row>
    <row r="455" spans="2:18" ht="15" customHeight="1" x14ac:dyDescent="0.3">
      <c r="B455" s="73"/>
      <c r="C455" s="69"/>
      <c r="D455" s="68"/>
      <c r="E455" s="66"/>
      <c r="F455" s="49"/>
      <c r="G455" s="49"/>
      <c r="H455" s="4"/>
      <c r="I455" s="4"/>
      <c r="J455" s="4"/>
      <c r="K455" s="5"/>
      <c r="L455" s="5"/>
      <c r="M455" s="5"/>
      <c r="N455" s="5"/>
      <c r="O455" s="6"/>
      <c r="P455" s="7"/>
      <c r="Q455" s="7"/>
      <c r="R455" s="7"/>
    </row>
    <row r="456" spans="2:18" ht="15" customHeight="1" x14ac:dyDescent="0.3">
      <c r="B456" s="73"/>
      <c r="C456" s="69"/>
      <c r="D456" s="68"/>
      <c r="E456" s="66"/>
      <c r="F456" s="49"/>
      <c r="G456" s="49"/>
      <c r="H456" s="4"/>
      <c r="I456" s="4"/>
      <c r="J456" s="4"/>
      <c r="K456" s="5"/>
      <c r="L456" s="5"/>
      <c r="M456" s="5"/>
      <c r="N456" s="5"/>
      <c r="O456" s="6"/>
      <c r="P456" s="7"/>
      <c r="Q456" s="7"/>
      <c r="R456" s="7"/>
    </row>
    <row r="457" spans="2:18" ht="15" customHeight="1" x14ac:dyDescent="0.3">
      <c r="B457" s="74"/>
      <c r="C457" s="69"/>
      <c r="D457" s="68"/>
      <c r="E457" s="66"/>
      <c r="F457" s="49"/>
      <c r="G457" s="49"/>
      <c r="H457" s="4"/>
      <c r="I457" s="4"/>
      <c r="J457" s="4"/>
      <c r="K457" s="5"/>
      <c r="L457" s="5"/>
      <c r="M457" s="5"/>
      <c r="N457" s="5"/>
      <c r="O457" s="6"/>
      <c r="P457" s="7"/>
      <c r="Q457" s="7"/>
      <c r="R457" s="7"/>
    </row>
    <row r="458" spans="2:18" ht="15" customHeight="1" x14ac:dyDescent="0.3">
      <c r="B458" s="74"/>
      <c r="C458" s="69"/>
      <c r="D458" s="68"/>
      <c r="E458" s="66"/>
      <c r="F458" s="49"/>
      <c r="G458" s="49"/>
      <c r="H458" s="4"/>
      <c r="I458" s="4"/>
      <c r="J458" s="4"/>
      <c r="K458" s="5"/>
      <c r="L458" s="5"/>
      <c r="M458" s="5"/>
      <c r="N458" s="5"/>
      <c r="O458" s="6"/>
      <c r="P458" s="7"/>
      <c r="Q458" s="7"/>
      <c r="R458" s="7"/>
    </row>
    <row r="459" spans="2:18" ht="15" customHeight="1" x14ac:dyDescent="0.3">
      <c r="B459" s="74"/>
      <c r="C459" s="69"/>
      <c r="D459" s="68"/>
      <c r="E459" s="66"/>
      <c r="F459" s="49"/>
      <c r="G459" s="49"/>
      <c r="H459" s="4"/>
      <c r="I459" s="4"/>
      <c r="J459" s="4"/>
      <c r="K459" s="5"/>
      <c r="L459" s="5"/>
      <c r="M459" s="5"/>
      <c r="N459" s="5"/>
      <c r="O459" s="6"/>
      <c r="P459" s="7"/>
      <c r="Q459" s="7"/>
      <c r="R459" s="7"/>
    </row>
    <row r="460" spans="2:18" ht="15" customHeight="1" x14ac:dyDescent="0.3">
      <c r="B460" s="74"/>
      <c r="C460" s="69"/>
      <c r="D460" s="68"/>
      <c r="E460" s="66"/>
      <c r="F460" s="49"/>
      <c r="G460" s="49"/>
      <c r="H460" s="4"/>
      <c r="I460" s="4"/>
      <c r="J460" s="4"/>
      <c r="K460" s="5"/>
      <c r="L460" s="5"/>
      <c r="M460" s="5"/>
      <c r="N460" s="5"/>
      <c r="O460" s="6"/>
      <c r="P460" s="7"/>
      <c r="Q460" s="7"/>
      <c r="R460" s="7"/>
    </row>
    <row r="461" spans="2:18" ht="15" customHeight="1" x14ac:dyDescent="0.3">
      <c r="B461" s="73"/>
      <c r="C461" s="69"/>
      <c r="D461" s="68"/>
      <c r="E461" s="66"/>
      <c r="F461" s="49"/>
      <c r="G461" s="49"/>
      <c r="H461" s="4"/>
      <c r="I461" s="4"/>
      <c r="J461" s="4"/>
      <c r="K461" s="5"/>
      <c r="L461" s="5"/>
      <c r="M461" s="5"/>
      <c r="N461" s="5"/>
      <c r="O461" s="6"/>
      <c r="P461" s="7"/>
      <c r="Q461" s="7"/>
      <c r="R461" s="7"/>
    </row>
    <row r="462" spans="2:18" ht="15" customHeight="1" x14ac:dyDescent="0.3">
      <c r="B462" s="73"/>
      <c r="C462" s="69"/>
      <c r="D462" s="68"/>
      <c r="E462" s="66"/>
      <c r="F462" s="49"/>
      <c r="G462" s="49"/>
      <c r="H462" s="4"/>
      <c r="I462" s="4"/>
      <c r="J462" s="4"/>
      <c r="K462" s="5"/>
      <c r="L462" s="5"/>
      <c r="M462" s="5"/>
      <c r="N462" s="5"/>
      <c r="O462" s="6"/>
      <c r="P462" s="7"/>
      <c r="Q462" s="7"/>
      <c r="R462" s="7"/>
    </row>
    <row r="463" spans="2:18" ht="15" customHeight="1" x14ac:dyDescent="0.3">
      <c r="B463" s="73"/>
      <c r="C463" s="69"/>
      <c r="D463" s="68"/>
      <c r="E463" s="66"/>
      <c r="F463" s="49"/>
      <c r="G463" s="49"/>
      <c r="H463" s="4"/>
      <c r="I463" s="4"/>
      <c r="J463" s="4"/>
      <c r="K463" s="5"/>
      <c r="L463" s="5"/>
      <c r="M463" s="5"/>
      <c r="N463" s="5"/>
      <c r="O463" s="6"/>
      <c r="P463" s="7"/>
      <c r="Q463" s="7"/>
      <c r="R463" s="7"/>
    </row>
    <row r="464" spans="2:18" ht="15" customHeight="1" x14ac:dyDescent="0.3">
      <c r="B464" s="73"/>
      <c r="C464" s="69"/>
      <c r="D464" s="68"/>
      <c r="E464" s="66"/>
      <c r="F464" s="49"/>
      <c r="G464" s="49"/>
      <c r="H464" s="4"/>
      <c r="I464" s="4"/>
      <c r="J464" s="4"/>
      <c r="K464" s="5"/>
      <c r="L464" s="5"/>
      <c r="M464" s="5"/>
      <c r="N464" s="5"/>
      <c r="O464" s="6"/>
      <c r="P464" s="7"/>
      <c r="Q464" s="7"/>
      <c r="R464" s="7"/>
    </row>
    <row r="465" spans="2:18" ht="15" customHeight="1" x14ac:dyDescent="0.3">
      <c r="B465" s="73"/>
      <c r="C465" s="69"/>
      <c r="D465" s="68"/>
      <c r="E465" s="66"/>
      <c r="F465" s="49"/>
      <c r="G465" s="49"/>
      <c r="H465" s="4"/>
      <c r="I465" s="4"/>
      <c r="J465" s="4"/>
      <c r="K465" s="5"/>
      <c r="L465" s="5"/>
      <c r="M465" s="5"/>
      <c r="N465" s="5"/>
      <c r="O465" s="6"/>
      <c r="P465" s="7"/>
      <c r="Q465" s="7"/>
      <c r="R465" s="7"/>
    </row>
    <row r="466" spans="2:18" ht="15" customHeight="1" x14ac:dyDescent="0.3">
      <c r="B466" s="73"/>
      <c r="C466" s="69"/>
      <c r="D466" s="68"/>
      <c r="E466" s="66"/>
      <c r="F466" s="49"/>
      <c r="G466" s="49"/>
      <c r="H466" s="4"/>
      <c r="I466" s="4"/>
      <c r="J466" s="4"/>
      <c r="K466" s="5"/>
      <c r="L466" s="5"/>
      <c r="M466" s="5"/>
      <c r="N466" s="5"/>
      <c r="O466" s="6"/>
      <c r="P466" s="7"/>
      <c r="Q466" s="7"/>
      <c r="R466" s="7"/>
    </row>
    <row r="467" spans="2:18" ht="15" customHeight="1" x14ac:dyDescent="0.3">
      <c r="B467" s="73"/>
      <c r="C467" s="69"/>
      <c r="D467" s="68"/>
      <c r="E467" s="66"/>
      <c r="F467" s="49"/>
      <c r="G467" s="49"/>
      <c r="H467" s="4"/>
      <c r="I467" s="4"/>
      <c r="J467" s="4"/>
      <c r="K467" s="5"/>
      <c r="L467" s="5"/>
      <c r="M467" s="5"/>
      <c r="N467" s="5"/>
      <c r="O467" s="6"/>
      <c r="P467" s="7"/>
      <c r="Q467" s="7"/>
      <c r="R467" s="7"/>
    </row>
    <row r="468" spans="2:18" ht="15" customHeight="1" x14ac:dyDescent="0.3">
      <c r="B468" s="73"/>
      <c r="C468" s="69"/>
      <c r="D468" s="68"/>
      <c r="E468" s="66"/>
      <c r="F468" s="49"/>
      <c r="G468" s="49"/>
      <c r="H468" s="4"/>
      <c r="I468" s="4"/>
      <c r="J468" s="4"/>
      <c r="K468" s="5"/>
      <c r="L468" s="5"/>
      <c r="M468" s="5"/>
      <c r="N468" s="5"/>
      <c r="O468" s="6"/>
      <c r="P468" s="7"/>
      <c r="Q468" s="7"/>
      <c r="R468" s="7"/>
    </row>
    <row r="469" spans="2:18" ht="15" customHeight="1" x14ac:dyDescent="0.3">
      <c r="B469" s="74"/>
      <c r="C469" s="69"/>
      <c r="D469" s="68"/>
      <c r="E469" s="66"/>
      <c r="F469" s="49"/>
      <c r="G469" s="49"/>
      <c r="H469" s="4"/>
      <c r="I469" s="4"/>
      <c r="J469" s="4"/>
      <c r="K469" s="5"/>
      <c r="L469" s="5"/>
      <c r="M469" s="5"/>
      <c r="N469" s="5"/>
      <c r="O469" s="6"/>
      <c r="P469" s="7"/>
      <c r="Q469" s="7"/>
      <c r="R469" s="7"/>
    </row>
    <row r="470" spans="2:18" ht="15" customHeight="1" x14ac:dyDescent="0.3">
      <c r="B470" s="74"/>
      <c r="C470" s="69"/>
      <c r="D470" s="68"/>
      <c r="E470" s="66"/>
      <c r="F470" s="49"/>
      <c r="G470" s="49"/>
      <c r="H470" s="4"/>
      <c r="I470" s="4"/>
      <c r="J470" s="4"/>
      <c r="K470" s="5"/>
      <c r="L470" s="5"/>
      <c r="M470" s="5"/>
      <c r="N470" s="5"/>
      <c r="O470" s="6"/>
      <c r="P470" s="7"/>
      <c r="Q470" s="7"/>
      <c r="R470" s="7"/>
    </row>
    <row r="471" spans="2:18" ht="15" customHeight="1" x14ac:dyDescent="0.3">
      <c r="B471" s="74"/>
      <c r="C471" s="69"/>
      <c r="D471" s="68"/>
      <c r="E471" s="66"/>
      <c r="F471" s="49"/>
      <c r="G471" s="49"/>
      <c r="H471" s="4"/>
      <c r="I471" s="4"/>
      <c r="J471" s="4"/>
      <c r="K471" s="5"/>
      <c r="L471" s="5"/>
      <c r="M471" s="5"/>
      <c r="N471" s="5"/>
      <c r="O471" s="6"/>
      <c r="P471" s="7"/>
      <c r="Q471" s="7"/>
      <c r="R471" s="7"/>
    </row>
    <row r="472" spans="2:18" ht="15" customHeight="1" x14ac:dyDescent="0.3">
      <c r="B472" s="74"/>
      <c r="C472" s="69"/>
      <c r="D472" s="68"/>
      <c r="E472" s="66"/>
      <c r="F472" s="49"/>
      <c r="G472" s="49"/>
      <c r="H472" s="4"/>
      <c r="I472" s="4"/>
      <c r="J472" s="4"/>
      <c r="K472" s="5"/>
      <c r="L472" s="5"/>
      <c r="M472" s="5"/>
      <c r="N472" s="5"/>
      <c r="O472" s="6"/>
      <c r="P472" s="7"/>
      <c r="Q472" s="7"/>
      <c r="R472" s="7"/>
    </row>
    <row r="473" spans="2:18" ht="15" customHeight="1" x14ac:dyDescent="0.3">
      <c r="B473" s="74"/>
      <c r="C473" s="69"/>
      <c r="D473" s="68"/>
      <c r="E473" s="66"/>
      <c r="F473" s="49"/>
      <c r="G473" s="49"/>
      <c r="H473" s="4"/>
      <c r="I473" s="4"/>
      <c r="J473" s="4"/>
      <c r="K473" s="5"/>
      <c r="L473" s="5"/>
      <c r="M473" s="5"/>
      <c r="N473" s="5"/>
      <c r="O473" s="6"/>
      <c r="P473" s="7"/>
      <c r="Q473" s="7"/>
      <c r="R473" s="7"/>
    </row>
    <row r="474" spans="2:18" ht="15" customHeight="1" x14ac:dyDescent="0.3">
      <c r="B474" s="74"/>
      <c r="C474" s="69"/>
      <c r="D474" s="68"/>
      <c r="E474" s="66"/>
      <c r="F474" s="49"/>
      <c r="G474" s="49"/>
      <c r="H474" s="4"/>
      <c r="I474" s="4"/>
      <c r="J474" s="4"/>
      <c r="K474" s="5"/>
      <c r="L474" s="5"/>
      <c r="M474" s="5"/>
      <c r="N474" s="5"/>
      <c r="O474" s="6"/>
      <c r="P474" s="7"/>
      <c r="Q474" s="7"/>
      <c r="R474" s="7"/>
    </row>
    <row r="475" spans="2:18" ht="15" customHeight="1" x14ac:dyDescent="0.3">
      <c r="B475" s="74"/>
      <c r="C475" s="69"/>
      <c r="D475" s="68"/>
      <c r="E475" s="66"/>
      <c r="F475" s="49"/>
      <c r="G475" s="49"/>
      <c r="H475" s="4"/>
      <c r="I475" s="4"/>
      <c r="J475" s="4"/>
      <c r="K475" s="5"/>
      <c r="L475" s="5"/>
      <c r="M475" s="5"/>
      <c r="N475" s="5"/>
      <c r="O475" s="6"/>
      <c r="P475" s="7"/>
      <c r="Q475" s="7"/>
      <c r="R475" s="7"/>
    </row>
    <row r="476" spans="2:18" ht="15" customHeight="1" x14ac:dyDescent="0.3">
      <c r="B476" s="74"/>
      <c r="C476" s="69"/>
      <c r="D476" s="68"/>
      <c r="E476" s="66"/>
      <c r="F476" s="49"/>
      <c r="G476" s="49"/>
      <c r="H476" s="4"/>
      <c r="I476" s="4"/>
      <c r="J476" s="4"/>
      <c r="K476" s="5"/>
      <c r="L476" s="5"/>
      <c r="M476" s="5"/>
      <c r="N476" s="5"/>
      <c r="O476" s="6"/>
      <c r="P476" s="7"/>
      <c r="Q476" s="7"/>
      <c r="R476" s="7"/>
    </row>
    <row r="477" spans="2:18" ht="15" customHeight="1" x14ac:dyDescent="0.3">
      <c r="B477" s="73"/>
      <c r="C477" s="69"/>
      <c r="D477" s="68"/>
      <c r="E477" s="66"/>
      <c r="F477" s="49"/>
      <c r="G477" s="49"/>
      <c r="H477" s="4"/>
      <c r="I477" s="4"/>
      <c r="J477" s="4"/>
      <c r="K477" s="5"/>
      <c r="L477" s="5"/>
      <c r="M477" s="5"/>
      <c r="N477" s="5"/>
      <c r="O477" s="6"/>
      <c r="P477" s="7"/>
      <c r="Q477" s="7"/>
      <c r="R477" s="7"/>
    </row>
    <row r="478" spans="2:18" ht="15" customHeight="1" x14ac:dyDescent="0.3">
      <c r="B478" s="73"/>
      <c r="C478" s="69"/>
      <c r="D478" s="68"/>
      <c r="E478" s="66"/>
      <c r="F478" s="49"/>
      <c r="G478" s="49"/>
      <c r="H478" s="4"/>
      <c r="I478" s="4"/>
      <c r="J478" s="4"/>
      <c r="K478" s="5"/>
      <c r="L478" s="5"/>
      <c r="M478" s="5"/>
      <c r="N478" s="5"/>
      <c r="O478" s="6"/>
      <c r="P478" s="7"/>
      <c r="Q478" s="7"/>
      <c r="R478" s="7"/>
    </row>
    <row r="479" spans="2:18" ht="15" customHeight="1" x14ac:dyDescent="0.3">
      <c r="B479" s="73"/>
      <c r="C479" s="69"/>
      <c r="D479" s="68"/>
      <c r="E479" s="66"/>
      <c r="F479" s="49"/>
      <c r="G479" s="49"/>
      <c r="H479" s="4"/>
      <c r="I479" s="4"/>
      <c r="J479" s="4"/>
      <c r="K479" s="5"/>
      <c r="L479" s="5"/>
      <c r="M479" s="5"/>
      <c r="N479" s="5"/>
      <c r="O479" s="6"/>
      <c r="P479" s="7"/>
      <c r="Q479" s="7"/>
      <c r="R479" s="7"/>
    </row>
    <row r="480" spans="2:18" ht="15" customHeight="1" x14ac:dyDescent="0.3">
      <c r="B480" s="73"/>
      <c r="C480" s="69"/>
      <c r="D480" s="68"/>
      <c r="E480" s="66"/>
      <c r="F480" s="49"/>
      <c r="G480" s="49"/>
      <c r="H480" s="4"/>
      <c r="I480" s="4"/>
      <c r="J480" s="4"/>
      <c r="K480" s="5"/>
      <c r="L480" s="5"/>
      <c r="M480" s="5"/>
      <c r="N480" s="5"/>
      <c r="O480" s="6"/>
      <c r="P480" s="7"/>
      <c r="Q480" s="7"/>
      <c r="R480" s="7"/>
    </row>
    <row r="481" spans="2:18" ht="15" customHeight="1" x14ac:dyDescent="0.3">
      <c r="B481" s="73"/>
      <c r="C481" s="69"/>
      <c r="D481" s="68"/>
      <c r="E481" s="66"/>
      <c r="F481" s="49"/>
      <c r="G481" s="49"/>
      <c r="H481" s="4"/>
      <c r="I481" s="4"/>
      <c r="J481" s="4"/>
      <c r="K481" s="5"/>
      <c r="L481" s="5"/>
      <c r="M481" s="5"/>
      <c r="N481" s="5"/>
      <c r="O481" s="6"/>
      <c r="P481" s="7"/>
      <c r="Q481" s="7"/>
      <c r="R481" s="7"/>
    </row>
    <row r="482" spans="2:18" ht="15" customHeight="1" x14ac:dyDescent="0.3">
      <c r="B482" s="73"/>
      <c r="C482" s="69"/>
      <c r="D482" s="68"/>
      <c r="E482" s="66"/>
      <c r="F482" s="49"/>
      <c r="G482" s="49"/>
      <c r="H482" s="4"/>
      <c r="I482" s="4"/>
      <c r="J482" s="4"/>
      <c r="K482" s="5"/>
      <c r="L482" s="5"/>
      <c r="M482" s="5"/>
      <c r="N482" s="5"/>
      <c r="O482" s="6"/>
      <c r="P482" s="7"/>
      <c r="Q482" s="7"/>
      <c r="R482" s="7"/>
    </row>
    <row r="483" spans="2:18" ht="15" customHeight="1" x14ac:dyDescent="0.3">
      <c r="B483" s="73"/>
      <c r="C483" s="69"/>
      <c r="D483" s="68"/>
      <c r="E483" s="66"/>
      <c r="F483" s="49"/>
      <c r="G483" s="49"/>
      <c r="H483" s="4"/>
      <c r="I483" s="4"/>
      <c r="J483" s="4"/>
      <c r="K483" s="5"/>
      <c r="L483" s="5"/>
      <c r="M483" s="5"/>
      <c r="N483" s="5"/>
      <c r="O483" s="6"/>
      <c r="P483" s="7"/>
      <c r="Q483" s="7"/>
      <c r="R483" s="7"/>
    </row>
    <row r="484" spans="2:18" ht="15" customHeight="1" x14ac:dyDescent="0.3">
      <c r="B484" s="73"/>
      <c r="C484" s="69"/>
      <c r="D484" s="68"/>
      <c r="E484" s="66"/>
      <c r="F484" s="49"/>
      <c r="G484" s="49"/>
      <c r="H484" s="4"/>
      <c r="I484" s="4"/>
      <c r="J484" s="4"/>
      <c r="K484" s="5"/>
      <c r="L484" s="5"/>
      <c r="M484" s="5"/>
      <c r="N484" s="5"/>
      <c r="O484" s="6"/>
      <c r="P484" s="7"/>
      <c r="Q484" s="7"/>
      <c r="R484" s="7"/>
    </row>
    <row r="485" spans="2:18" ht="15" customHeight="1" x14ac:dyDescent="0.3">
      <c r="B485" s="74"/>
      <c r="C485" s="69"/>
      <c r="D485" s="68"/>
      <c r="E485" s="66"/>
      <c r="F485" s="49"/>
      <c r="G485" s="49"/>
      <c r="H485" s="4"/>
      <c r="I485" s="4"/>
      <c r="J485" s="4"/>
      <c r="K485" s="5"/>
      <c r="L485" s="5"/>
      <c r="M485" s="5"/>
      <c r="N485" s="5"/>
      <c r="O485" s="6"/>
      <c r="P485" s="7"/>
      <c r="Q485" s="7"/>
      <c r="R485" s="7"/>
    </row>
    <row r="486" spans="2:18" ht="15" customHeight="1" x14ac:dyDescent="0.3">
      <c r="B486" s="74"/>
      <c r="C486" s="69"/>
      <c r="D486" s="68"/>
      <c r="E486" s="66"/>
      <c r="F486" s="49"/>
      <c r="G486" s="49"/>
      <c r="H486" s="4"/>
      <c r="I486" s="4"/>
      <c r="J486" s="4"/>
      <c r="K486" s="5"/>
      <c r="L486" s="5"/>
      <c r="M486" s="5"/>
      <c r="N486" s="5"/>
      <c r="O486" s="6"/>
      <c r="P486" s="7"/>
      <c r="Q486" s="7"/>
      <c r="R486" s="7"/>
    </row>
    <row r="487" spans="2:18" ht="15" customHeight="1" x14ac:dyDescent="0.3">
      <c r="B487" s="74"/>
      <c r="C487" s="69"/>
      <c r="D487" s="68"/>
      <c r="E487" s="66"/>
      <c r="F487" s="49"/>
      <c r="G487" s="49"/>
      <c r="H487" s="4"/>
      <c r="I487" s="4"/>
      <c r="J487" s="4"/>
      <c r="K487" s="5"/>
      <c r="L487" s="5"/>
      <c r="M487" s="5"/>
      <c r="N487" s="5"/>
      <c r="O487" s="6"/>
      <c r="P487" s="7"/>
      <c r="Q487" s="7"/>
      <c r="R487" s="7"/>
    </row>
    <row r="488" spans="2:18" ht="15" customHeight="1" x14ac:dyDescent="0.3">
      <c r="B488" s="74"/>
      <c r="C488" s="69"/>
      <c r="D488" s="68"/>
      <c r="E488" s="66"/>
      <c r="F488" s="49"/>
      <c r="G488" s="49"/>
      <c r="H488" s="4"/>
      <c r="I488" s="4"/>
      <c r="J488" s="4"/>
      <c r="K488" s="5"/>
      <c r="L488" s="5"/>
      <c r="M488" s="5"/>
      <c r="N488" s="5"/>
      <c r="O488" s="6"/>
      <c r="P488" s="7"/>
      <c r="Q488" s="7"/>
      <c r="R488" s="7"/>
    </row>
    <row r="489" spans="2:18" ht="15" customHeight="1" x14ac:dyDescent="0.3">
      <c r="B489" s="74"/>
      <c r="C489" s="69"/>
      <c r="D489" s="68"/>
      <c r="E489" s="66"/>
      <c r="F489" s="49"/>
      <c r="G489" s="49"/>
      <c r="H489" s="4"/>
      <c r="I489" s="4"/>
      <c r="J489" s="4"/>
      <c r="K489" s="5"/>
      <c r="L489" s="5"/>
      <c r="M489" s="5"/>
      <c r="N489" s="5"/>
      <c r="O489" s="6"/>
      <c r="P489" s="7"/>
      <c r="Q489" s="7"/>
      <c r="R489" s="7"/>
    </row>
    <row r="490" spans="2:18" ht="15" customHeight="1" x14ac:dyDescent="0.3">
      <c r="B490" s="74"/>
      <c r="C490" s="69"/>
      <c r="D490" s="68"/>
      <c r="E490" s="66"/>
      <c r="F490" s="49"/>
      <c r="G490" s="49"/>
      <c r="H490" s="4"/>
      <c r="I490" s="4"/>
      <c r="J490" s="4"/>
      <c r="K490" s="5"/>
      <c r="L490" s="5"/>
      <c r="M490" s="5"/>
      <c r="N490" s="5"/>
      <c r="O490" s="6"/>
      <c r="P490" s="7"/>
      <c r="Q490" s="7"/>
      <c r="R490" s="7"/>
    </row>
    <row r="491" spans="2:18" ht="15" customHeight="1" x14ac:dyDescent="0.3">
      <c r="B491" s="74"/>
      <c r="C491" s="69"/>
      <c r="D491" s="68"/>
      <c r="E491" s="66"/>
      <c r="F491" s="49"/>
      <c r="G491" s="49"/>
      <c r="H491" s="4"/>
      <c r="I491" s="4"/>
      <c r="J491" s="4"/>
      <c r="K491" s="5"/>
      <c r="L491" s="5"/>
      <c r="M491" s="5"/>
      <c r="N491" s="5"/>
      <c r="O491" s="6"/>
      <c r="P491" s="7"/>
      <c r="Q491" s="7"/>
      <c r="R491" s="7"/>
    </row>
    <row r="492" spans="2:18" ht="15" customHeight="1" x14ac:dyDescent="0.3">
      <c r="B492" s="74"/>
      <c r="C492" s="69"/>
      <c r="D492" s="68"/>
      <c r="E492" s="66"/>
      <c r="F492" s="49"/>
      <c r="G492" s="49"/>
      <c r="H492" s="4"/>
      <c r="I492" s="4"/>
      <c r="J492" s="4"/>
      <c r="K492" s="5"/>
      <c r="L492" s="5"/>
      <c r="M492" s="5"/>
      <c r="N492" s="5"/>
      <c r="O492" s="6"/>
      <c r="P492" s="7"/>
      <c r="Q492" s="7"/>
      <c r="R492" s="7"/>
    </row>
    <row r="493" spans="2:18" ht="15" customHeight="1" x14ac:dyDescent="0.3">
      <c r="F493" s="49"/>
      <c r="G493" s="49"/>
      <c r="H493" s="4"/>
      <c r="I493" s="4"/>
      <c r="J493" s="4"/>
      <c r="K493" s="5"/>
      <c r="L493" s="5"/>
      <c r="M493" s="5"/>
      <c r="N493" s="5"/>
      <c r="O493" s="6"/>
      <c r="P493" s="7"/>
      <c r="Q493" s="7"/>
      <c r="R493" s="7"/>
    </row>
    <row r="494" spans="2:18" ht="15" customHeight="1" x14ac:dyDescent="0.3">
      <c r="G494" s="49"/>
      <c r="H494" s="4"/>
      <c r="I494" s="4"/>
      <c r="J494" s="4"/>
      <c r="K494" s="5"/>
      <c r="L494" s="5"/>
      <c r="M494" s="5"/>
      <c r="N494" s="5"/>
      <c r="O494" s="6"/>
      <c r="P494" s="7"/>
      <c r="Q494" s="7"/>
      <c r="R494" s="7"/>
    </row>
  </sheetData>
  <protectedRanges>
    <protectedRange sqref="C3" name="thang"/>
    <protectedRange sqref="B9" name="Tổ TL"/>
  </protectedRanges>
  <conditionalFormatting sqref="H10:J494">
    <cfRule type="cellIs" dxfId="0" priority="1" operator="equal">
      <formula>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43937D5-C558-45BD-836F-A8DE3E249747}">
          <x14:formula1>
            <xm:f>Setup!$A$1:$A$6</xm:f>
          </x14:formula1>
          <xm:sqref>B9</xm:sqref>
        </x14:dataValidation>
        <x14:dataValidation type="list" allowBlank="1" showInputMessage="1" showErrorMessage="1" xr:uid="{F03FE12C-7F60-47D2-9CB0-5647B13882F9}">
          <x14:formula1>
            <xm:f>Setup!$B$1:$B$3</xm:f>
          </x14:formula1>
          <xm:sqref>C3</xm:sqref>
        </x14:dataValidation>
        <x14:dataValidation type="list" allowBlank="1" showInputMessage="1" showErrorMessage="1" xr:uid="{D82687F0-EA2E-4485-AA83-B199E8B49BE9}">
          <x14:formula1>
            <xm:f>Setup!$C$1:$C$4</xm:f>
          </x14:formula1>
          <xm:sqref>B8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BC65-82B4-432F-86F1-BEB132BC2984}">
  <dimension ref="A1:T308"/>
  <sheetViews>
    <sheetView workbookViewId="0">
      <selection activeCell="K20" sqref="K20"/>
    </sheetView>
  </sheetViews>
  <sheetFormatPr defaultRowHeight="14.4" x14ac:dyDescent="0.3"/>
  <cols>
    <col min="1" max="1" width="9" bestFit="1" customWidth="1"/>
    <col min="2" max="2" width="14.109375" bestFit="1" customWidth="1"/>
    <col min="3" max="3" width="10.5546875" bestFit="1" customWidth="1"/>
    <col min="4" max="4" width="8.109375" bestFit="1" customWidth="1"/>
    <col min="5" max="5" width="12.33203125" bestFit="1" customWidth="1"/>
    <col min="6" max="7" width="14.6640625" bestFit="1" customWidth="1"/>
    <col min="8" max="8" width="14" customWidth="1"/>
    <col min="9" max="9" width="13.33203125" bestFit="1" customWidth="1"/>
    <col min="10" max="10" width="9.88671875" bestFit="1" customWidth="1"/>
    <col min="11" max="11" width="11" bestFit="1" customWidth="1"/>
    <col min="12" max="12" width="12" bestFit="1" customWidth="1"/>
    <col min="13" max="13" width="18.5546875" bestFit="1" customWidth="1"/>
    <col min="14" max="14" width="23.33203125" bestFit="1" customWidth="1"/>
    <col min="15" max="15" width="28.33203125" bestFit="1" customWidth="1"/>
    <col min="16" max="16" width="29.109375" bestFit="1" customWidth="1"/>
    <col min="17" max="18" width="28.77734375" bestFit="1" customWidth="1"/>
    <col min="19" max="19" width="12" bestFit="1" customWidth="1"/>
    <col min="20" max="20" width="8.33203125" bestFit="1" customWidth="1"/>
    <col min="21" max="21" width="28.109375" bestFit="1" customWidth="1"/>
    <col min="22" max="22" width="16.5546875" bestFit="1" customWidth="1"/>
    <col min="23" max="23" width="17.33203125" bestFit="1" customWidth="1"/>
    <col min="24" max="24" width="18.5546875" bestFit="1" customWidth="1"/>
    <col min="25" max="25" width="12" bestFit="1" customWidth="1"/>
    <col min="26" max="26" width="23.33203125" bestFit="1" customWidth="1"/>
    <col min="27" max="27" width="28.33203125" bestFit="1" customWidth="1"/>
    <col min="28" max="29" width="28.77734375" bestFit="1" customWidth="1"/>
    <col min="30" max="30" width="12" bestFit="1" customWidth="1"/>
    <col min="31" max="31" width="9" bestFit="1" customWidth="1"/>
  </cols>
  <sheetData>
    <row r="1" spans="1:20" x14ac:dyDescent="0.3">
      <c r="A1" t="s">
        <v>416</v>
      </c>
      <c r="B1" t="s">
        <v>417</v>
      </c>
      <c r="C1" t="s">
        <v>375</v>
      </c>
      <c r="D1" t="s">
        <v>376</v>
      </c>
      <c r="E1" t="s">
        <v>377</v>
      </c>
      <c r="F1" t="s">
        <v>378</v>
      </c>
      <c r="G1" t="s">
        <v>379</v>
      </c>
      <c r="H1" t="s">
        <v>418</v>
      </c>
      <c r="I1" t="s">
        <v>381</v>
      </c>
      <c r="J1" t="s">
        <v>382</v>
      </c>
      <c r="K1" t="s">
        <v>383</v>
      </c>
      <c r="L1" t="s">
        <v>384</v>
      </c>
      <c r="M1" t="s">
        <v>411</v>
      </c>
      <c r="N1" t="s">
        <v>412</v>
      </c>
      <c r="O1" t="s">
        <v>387</v>
      </c>
      <c r="P1" t="s">
        <v>419</v>
      </c>
      <c r="Q1" t="s">
        <v>389</v>
      </c>
      <c r="R1" t="s">
        <v>413</v>
      </c>
      <c r="S1" t="s">
        <v>24</v>
      </c>
      <c r="T1" t="s">
        <v>19</v>
      </c>
    </row>
    <row r="2" spans="1:20" x14ac:dyDescent="0.3">
      <c r="A2">
        <v>1</v>
      </c>
      <c r="B2" t="s">
        <v>401</v>
      </c>
      <c r="C2" s="99">
        <v>46023</v>
      </c>
      <c r="D2" t="s">
        <v>392</v>
      </c>
      <c r="E2">
        <v>95</v>
      </c>
      <c r="F2" s="101">
        <v>46023.291666666664</v>
      </c>
      <c r="G2" s="101">
        <v>46024.291666666664</v>
      </c>
      <c r="H2" s="100">
        <v>0.14583333333333334</v>
      </c>
      <c r="I2" s="100"/>
      <c r="J2" s="100"/>
      <c r="K2" s="100">
        <v>8.3333333333333329E-2</v>
      </c>
      <c r="L2">
        <v>20.5</v>
      </c>
      <c r="M2">
        <v>24</v>
      </c>
      <c r="N2">
        <v>1947.5</v>
      </c>
      <c r="O2">
        <v>2280</v>
      </c>
      <c r="P2">
        <v>1531</v>
      </c>
      <c r="Q2">
        <v>1.2720444154147617</v>
      </c>
      <c r="R2">
        <v>1.4892227302416721</v>
      </c>
      <c r="S2">
        <v>0.67149122807017547</v>
      </c>
      <c r="T2">
        <v>23.999999999999996</v>
      </c>
    </row>
    <row r="3" spans="1:20" x14ac:dyDescent="0.3">
      <c r="A3">
        <v>1</v>
      </c>
      <c r="B3" t="s">
        <v>401</v>
      </c>
      <c r="C3" s="99">
        <v>46024</v>
      </c>
      <c r="D3" t="s">
        <v>392</v>
      </c>
      <c r="E3">
        <v>93</v>
      </c>
      <c r="F3" s="101">
        <v>46024.291666666664</v>
      </c>
      <c r="G3" s="101">
        <v>46025.291666666664</v>
      </c>
      <c r="H3" s="100">
        <v>0.14583333333333334</v>
      </c>
      <c r="I3" s="100">
        <v>1.3888888888888888E-2</v>
      </c>
      <c r="J3" s="100">
        <v>3.125E-2</v>
      </c>
      <c r="K3" s="100">
        <v>0.10416666666666667</v>
      </c>
      <c r="L3">
        <v>20.166666666666668</v>
      </c>
      <c r="M3">
        <v>24</v>
      </c>
      <c r="N3">
        <v>1875.5</v>
      </c>
      <c r="O3">
        <v>2232</v>
      </c>
      <c r="P3">
        <v>1403</v>
      </c>
      <c r="Q3">
        <v>1.3367783321454028</v>
      </c>
      <c r="R3">
        <v>1.5908766928011404</v>
      </c>
      <c r="S3">
        <v>0.62858422939068104</v>
      </c>
      <c r="T3">
        <v>23.999999999999996</v>
      </c>
    </row>
    <row r="4" spans="1:20" x14ac:dyDescent="0.3">
      <c r="A4">
        <v>1</v>
      </c>
      <c r="B4" t="s">
        <v>401</v>
      </c>
      <c r="C4" s="99">
        <v>46025</v>
      </c>
      <c r="D4" t="s">
        <v>392</v>
      </c>
      <c r="E4">
        <v>81</v>
      </c>
      <c r="F4" s="101">
        <v>46025.291666666664</v>
      </c>
      <c r="G4" s="101">
        <v>46026.291666666664</v>
      </c>
      <c r="H4" s="100">
        <v>0.14583333333333334</v>
      </c>
      <c r="I4" s="100"/>
      <c r="J4" s="100">
        <v>6.25E-2</v>
      </c>
      <c r="K4" s="100">
        <v>0.44791666666666669</v>
      </c>
      <c r="L4">
        <v>20.5</v>
      </c>
      <c r="M4">
        <v>24</v>
      </c>
      <c r="N4">
        <v>1660.5</v>
      </c>
      <c r="O4">
        <v>1944</v>
      </c>
      <c r="P4">
        <v>1721</v>
      </c>
      <c r="Q4">
        <v>0.96484601975595585</v>
      </c>
      <c r="R4">
        <v>1.1295758280069728</v>
      </c>
      <c r="S4">
        <v>0.8852880658436213</v>
      </c>
      <c r="T4">
        <v>23.999999999999996</v>
      </c>
    </row>
    <row r="5" spans="1:20" x14ac:dyDescent="0.3">
      <c r="A5">
        <v>1</v>
      </c>
      <c r="B5" t="s">
        <v>401</v>
      </c>
      <c r="C5" s="99">
        <v>46026</v>
      </c>
      <c r="D5" t="s">
        <v>392</v>
      </c>
      <c r="E5">
        <v>73</v>
      </c>
      <c r="F5" s="101">
        <v>46026.291666666664</v>
      </c>
      <c r="G5" s="101">
        <v>46027.291666666664</v>
      </c>
      <c r="H5" s="100">
        <v>0.14583333333333334</v>
      </c>
      <c r="I5" s="100">
        <v>5.5555555555555552E-2</v>
      </c>
      <c r="J5" s="100"/>
      <c r="K5" s="100">
        <v>3.4722222222222224E-2</v>
      </c>
      <c r="L5">
        <v>19.166666666666668</v>
      </c>
      <c r="M5">
        <v>24</v>
      </c>
      <c r="N5">
        <v>1399.1666666666667</v>
      </c>
      <c r="O5">
        <v>1752</v>
      </c>
      <c r="P5">
        <v>1167</v>
      </c>
      <c r="Q5">
        <v>1.1989431590974009</v>
      </c>
      <c r="R5">
        <v>1.5012853470437018</v>
      </c>
      <c r="S5">
        <v>0.66609589041095896</v>
      </c>
      <c r="T5">
        <v>23.999999999999996</v>
      </c>
    </row>
    <row r="6" spans="1:20" x14ac:dyDescent="0.3">
      <c r="A6">
        <v>1</v>
      </c>
      <c r="B6" t="s">
        <v>401</v>
      </c>
      <c r="C6" s="99">
        <v>46027</v>
      </c>
      <c r="D6" t="s">
        <v>392</v>
      </c>
      <c r="E6">
        <v>84</v>
      </c>
      <c r="F6" s="101">
        <v>46027.291666666664</v>
      </c>
      <c r="G6" s="101">
        <v>46028.291666666664</v>
      </c>
      <c r="H6" s="100">
        <v>0.14583333333333334</v>
      </c>
      <c r="I6" s="100"/>
      <c r="J6" s="100"/>
      <c r="K6" s="100"/>
      <c r="L6">
        <v>20.5</v>
      </c>
      <c r="M6">
        <v>24</v>
      </c>
      <c r="N6">
        <v>1722</v>
      </c>
      <c r="O6">
        <v>2016</v>
      </c>
      <c r="P6">
        <v>1425</v>
      </c>
      <c r="Q6">
        <v>1.2084210526315788</v>
      </c>
      <c r="R6">
        <v>1.4147368421052631</v>
      </c>
      <c r="S6">
        <v>0.70684523809523814</v>
      </c>
      <c r="T6">
        <v>23.999999999999996</v>
      </c>
    </row>
    <row r="7" spans="1:20" x14ac:dyDescent="0.3">
      <c r="A7">
        <v>1</v>
      </c>
      <c r="B7" t="s">
        <v>401</v>
      </c>
      <c r="C7" s="99">
        <v>46028</v>
      </c>
      <c r="D7" t="s">
        <v>392</v>
      </c>
      <c r="E7">
        <v>88</v>
      </c>
      <c r="F7" s="101">
        <v>46028.291666666664</v>
      </c>
      <c r="G7" s="101">
        <v>46029.291666666664</v>
      </c>
      <c r="H7" s="100">
        <v>0.14583333333333334</v>
      </c>
      <c r="I7" s="100"/>
      <c r="J7" s="100">
        <v>9.0277777777777776E-2</v>
      </c>
      <c r="K7" s="100">
        <v>0.2638888888888889</v>
      </c>
      <c r="L7">
        <v>20.5</v>
      </c>
      <c r="M7">
        <v>24</v>
      </c>
      <c r="N7">
        <v>1804</v>
      </c>
      <c r="O7">
        <v>2112</v>
      </c>
      <c r="P7">
        <v>1387</v>
      </c>
      <c r="Q7">
        <v>1.300648882480173</v>
      </c>
      <c r="R7">
        <v>1.5227108868060562</v>
      </c>
      <c r="S7">
        <v>0.65672348484848486</v>
      </c>
      <c r="T7">
        <v>23.999999999999996</v>
      </c>
    </row>
    <row r="8" spans="1:20" x14ac:dyDescent="0.3">
      <c r="A8">
        <v>1</v>
      </c>
      <c r="B8" t="s">
        <v>401</v>
      </c>
      <c r="C8" s="99">
        <v>46029</v>
      </c>
      <c r="D8" t="s">
        <v>392</v>
      </c>
      <c r="E8">
        <v>90</v>
      </c>
      <c r="F8" s="101">
        <v>46029.291666666664</v>
      </c>
      <c r="G8" s="101">
        <v>46030.291666666664</v>
      </c>
      <c r="H8" s="100">
        <v>0.14583333333333334</v>
      </c>
      <c r="I8" s="100">
        <v>3.4722222222222224E-2</v>
      </c>
      <c r="J8" s="100"/>
      <c r="K8" s="100">
        <v>0.10416666666666667</v>
      </c>
      <c r="L8">
        <v>19.666666666666668</v>
      </c>
      <c r="M8">
        <v>24</v>
      </c>
      <c r="N8">
        <v>1770</v>
      </c>
      <c r="O8">
        <v>2160</v>
      </c>
      <c r="P8">
        <v>1475</v>
      </c>
      <c r="Q8">
        <v>1.2</v>
      </c>
      <c r="R8">
        <v>1.464406779661017</v>
      </c>
      <c r="S8">
        <v>0.68287037037037035</v>
      </c>
      <c r="T8">
        <v>23.999999999999996</v>
      </c>
    </row>
    <row r="9" spans="1:20" x14ac:dyDescent="0.3">
      <c r="A9">
        <v>1</v>
      </c>
      <c r="B9" t="s">
        <v>401</v>
      </c>
      <c r="C9" s="99">
        <v>46030</v>
      </c>
      <c r="D9" t="s">
        <v>392</v>
      </c>
      <c r="E9">
        <v>90</v>
      </c>
      <c r="F9" s="101">
        <v>46030.291666666664</v>
      </c>
      <c r="G9" s="101">
        <v>46031.291666666664</v>
      </c>
      <c r="H9" s="100">
        <v>0.14583333333333334</v>
      </c>
      <c r="I9" s="100">
        <v>1.3888888888888888E-2</v>
      </c>
      <c r="J9" s="100"/>
      <c r="K9" s="100">
        <v>8.3333333333333329E-2</v>
      </c>
      <c r="L9">
        <v>20.166666666666668</v>
      </c>
      <c r="M9">
        <v>24</v>
      </c>
      <c r="N9">
        <v>1815</v>
      </c>
      <c r="O9">
        <v>2160</v>
      </c>
      <c r="P9">
        <v>1476</v>
      </c>
      <c r="Q9">
        <v>1.2296747967479675</v>
      </c>
      <c r="R9">
        <v>1.4634146341463414</v>
      </c>
      <c r="S9">
        <v>0.68333333333333335</v>
      </c>
      <c r="T9">
        <v>23.999999999999996</v>
      </c>
    </row>
    <row r="10" spans="1:20" x14ac:dyDescent="0.3">
      <c r="A10">
        <v>1</v>
      </c>
      <c r="B10" t="s">
        <v>401</v>
      </c>
      <c r="C10" s="99">
        <v>46031</v>
      </c>
      <c r="D10" t="s">
        <v>392</v>
      </c>
      <c r="E10">
        <v>80</v>
      </c>
      <c r="F10" s="101">
        <v>46031.291666666664</v>
      </c>
      <c r="G10" s="101">
        <v>46032.291666666664</v>
      </c>
      <c r="H10" s="100">
        <v>0.14583333333333334</v>
      </c>
      <c r="I10" s="100"/>
      <c r="J10" s="100">
        <v>2.0833333333333332E-2</v>
      </c>
      <c r="K10" s="100">
        <v>0.11805555555555555</v>
      </c>
      <c r="L10">
        <v>20.5</v>
      </c>
      <c r="M10">
        <v>24</v>
      </c>
      <c r="N10">
        <v>1640</v>
      </c>
      <c r="O10">
        <v>1920</v>
      </c>
      <c r="P10">
        <v>990</v>
      </c>
      <c r="Q10">
        <v>1.6565656565656566</v>
      </c>
      <c r="R10">
        <v>1.9393939393939394</v>
      </c>
      <c r="S10">
        <v>0.515625</v>
      </c>
      <c r="T10">
        <v>23.999999999999996</v>
      </c>
    </row>
    <row r="11" spans="1:20" x14ac:dyDescent="0.3">
      <c r="A11">
        <v>1</v>
      </c>
      <c r="B11" t="s">
        <v>401</v>
      </c>
      <c r="C11" s="99">
        <v>46032</v>
      </c>
      <c r="D11" t="s">
        <v>392</v>
      </c>
      <c r="E11">
        <v>86</v>
      </c>
      <c r="F11" s="101">
        <v>46032.291666666664</v>
      </c>
      <c r="G11" s="101">
        <v>46033.291666666664</v>
      </c>
      <c r="H11" s="100">
        <v>0.14583333333333334</v>
      </c>
      <c r="I11" s="100"/>
      <c r="J11" s="100">
        <v>4.1666666666666664E-2</v>
      </c>
      <c r="K11" s="100">
        <v>0.41666666666666669</v>
      </c>
      <c r="L11">
        <v>20.5</v>
      </c>
      <c r="M11">
        <v>24</v>
      </c>
      <c r="N11">
        <v>1763</v>
      </c>
      <c r="O11">
        <v>2064</v>
      </c>
      <c r="P11">
        <v>1266</v>
      </c>
      <c r="Q11">
        <v>1.3925750394944707</v>
      </c>
      <c r="R11">
        <v>1.6303317535545023</v>
      </c>
      <c r="S11">
        <v>0.61337209302325579</v>
      </c>
      <c r="T11">
        <v>23.999999999999996</v>
      </c>
    </row>
    <row r="12" spans="1:20" x14ac:dyDescent="0.3">
      <c r="A12">
        <v>1</v>
      </c>
      <c r="B12" t="s">
        <v>401</v>
      </c>
      <c r="C12" s="99">
        <v>46033</v>
      </c>
      <c r="D12" t="s">
        <v>392</v>
      </c>
      <c r="E12">
        <v>67</v>
      </c>
      <c r="F12" s="101">
        <v>46033.291666666664</v>
      </c>
      <c r="G12" s="101">
        <v>46034.291666666664</v>
      </c>
      <c r="H12" s="100">
        <v>0.14583333333333334</v>
      </c>
      <c r="I12" s="100"/>
      <c r="J12" s="100"/>
      <c r="K12" s="100"/>
      <c r="L12">
        <v>20.5</v>
      </c>
      <c r="M12">
        <v>24</v>
      </c>
      <c r="N12">
        <v>1373.5</v>
      </c>
      <c r="O12">
        <v>1608</v>
      </c>
      <c r="P12">
        <v>914</v>
      </c>
      <c r="Q12">
        <v>1.5027352297592997</v>
      </c>
      <c r="R12">
        <v>1.7592997811816193</v>
      </c>
      <c r="S12">
        <v>0.56840796019900497</v>
      </c>
      <c r="T12">
        <v>23.999999999999996</v>
      </c>
    </row>
    <row r="13" spans="1:20" x14ac:dyDescent="0.3">
      <c r="A13">
        <v>1</v>
      </c>
      <c r="B13" t="s">
        <v>401</v>
      </c>
      <c r="C13" s="99">
        <v>46034</v>
      </c>
      <c r="D13" t="s">
        <v>392</v>
      </c>
      <c r="E13">
        <v>82</v>
      </c>
      <c r="F13" s="101">
        <v>46034.291666666664</v>
      </c>
      <c r="G13" s="101">
        <v>46035.291666666664</v>
      </c>
      <c r="H13" s="100">
        <v>0.14583333333333334</v>
      </c>
      <c r="I13" s="100"/>
      <c r="J13" s="100">
        <v>2.0833333333333332E-2</v>
      </c>
      <c r="K13" s="100">
        <v>0.20833333333333334</v>
      </c>
      <c r="L13">
        <v>20.5</v>
      </c>
      <c r="M13">
        <v>24</v>
      </c>
      <c r="N13">
        <v>1681</v>
      </c>
      <c r="O13">
        <v>1968</v>
      </c>
      <c r="P13">
        <v>1320</v>
      </c>
      <c r="Q13">
        <v>1.2734848484848484</v>
      </c>
      <c r="R13">
        <v>1.490909090909091</v>
      </c>
      <c r="S13">
        <v>0.6707317073170731</v>
      </c>
      <c r="T13">
        <v>23.999999999999996</v>
      </c>
    </row>
    <row r="14" spans="1:20" x14ac:dyDescent="0.3">
      <c r="A14">
        <v>1</v>
      </c>
      <c r="B14" t="s">
        <v>401</v>
      </c>
      <c r="C14" s="99">
        <v>46035</v>
      </c>
      <c r="D14" t="s">
        <v>392</v>
      </c>
      <c r="E14">
        <v>85</v>
      </c>
      <c r="F14" s="101">
        <v>46035.291666666664</v>
      </c>
      <c r="G14" s="101">
        <v>46036.291666666664</v>
      </c>
      <c r="H14" s="100">
        <v>0.14583333333333334</v>
      </c>
      <c r="I14" s="100">
        <v>1.7361111111111112E-2</v>
      </c>
      <c r="J14" s="100">
        <v>4.8611111111111112E-2</v>
      </c>
      <c r="K14" s="100">
        <v>0.4375</v>
      </c>
      <c r="L14">
        <v>20.083333333333332</v>
      </c>
      <c r="M14">
        <v>24</v>
      </c>
      <c r="N14">
        <v>1707.0833333333333</v>
      </c>
      <c r="O14">
        <v>2040</v>
      </c>
      <c r="P14">
        <v>1225</v>
      </c>
      <c r="Q14">
        <v>1.3935374149659863</v>
      </c>
      <c r="R14">
        <v>1.6653061224489796</v>
      </c>
      <c r="S14">
        <v>0.60049019607843135</v>
      </c>
      <c r="T14">
        <v>23.999999999999996</v>
      </c>
    </row>
    <row r="15" spans="1:20" x14ac:dyDescent="0.3">
      <c r="A15">
        <v>1</v>
      </c>
      <c r="B15" t="s">
        <v>401</v>
      </c>
      <c r="C15" s="99">
        <v>46036</v>
      </c>
      <c r="D15" t="s">
        <v>392</v>
      </c>
      <c r="E15">
        <v>90</v>
      </c>
      <c r="F15" s="101">
        <v>46036.291666666664</v>
      </c>
      <c r="G15" s="101">
        <v>46037.291666666664</v>
      </c>
      <c r="H15" s="100">
        <v>0.14583333333333334</v>
      </c>
      <c r="I15" s="100">
        <v>2.0833333333333332E-2</v>
      </c>
      <c r="J15" s="100">
        <v>2.7777777777777776E-2</v>
      </c>
      <c r="K15" s="100">
        <v>0.53472222222222221</v>
      </c>
      <c r="L15">
        <v>20</v>
      </c>
      <c r="M15">
        <v>24</v>
      </c>
      <c r="N15">
        <v>1800</v>
      </c>
      <c r="O15">
        <v>2160</v>
      </c>
      <c r="P15">
        <v>1207</v>
      </c>
      <c r="Q15">
        <v>1.4913007456503728</v>
      </c>
      <c r="R15">
        <v>1.7895608947804473</v>
      </c>
      <c r="S15">
        <v>0.55879629629629635</v>
      </c>
      <c r="T15">
        <v>23.999999999999996</v>
      </c>
    </row>
    <row r="16" spans="1:20" x14ac:dyDescent="0.3">
      <c r="A16">
        <v>1</v>
      </c>
      <c r="B16" t="s">
        <v>401</v>
      </c>
      <c r="C16" s="99">
        <v>46037</v>
      </c>
      <c r="D16" t="s">
        <v>392</v>
      </c>
      <c r="E16">
        <v>84</v>
      </c>
      <c r="F16" s="101">
        <v>46037.291666666664</v>
      </c>
      <c r="G16" s="101">
        <v>46038.291666666664</v>
      </c>
      <c r="H16" s="100">
        <v>0.14583333333333334</v>
      </c>
      <c r="I16" s="100">
        <v>0.10416666666666667</v>
      </c>
      <c r="J16" s="100">
        <v>3.4722222222222224E-2</v>
      </c>
      <c r="K16" s="100">
        <v>0.25</v>
      </c>
      <c r="L16">
        <v>18</v>
      </c>
      <c r="M16">
        <v>24</v>
      </c>
      <c r="N16">
        <v>1512</v>
      </c>
      <c r="O16">
        <v>2016</v>
      </c>
      <c r="P16">
        <v>1464</v>
      </c>
      <c r="Q16">
        <v>1.0327868852459017</v>
      </c>
      <c r="R16">
        <v>1.3770491803278688</v>
      </c>
      <c r="S16">
        <v>0.72619047619047616</v>
      </c>
      <c r="T16">
        <v>23.999999999999996</v>
      </c>
    </row>
    <row r="17" spans="1:20" x14ac:dyDescent="0.3">
      <c r="A17">
        <v>1</v>
      </c>
      <c r="B17" t="s">
        <v>401</v>
      </c>
      <c r="C17" s="99">
        <v>46038</v>
      </c>
      <c r="D17" t="s">
        <v>392</v>
      </c>
      <c r="E17">
        <v>83</v>
      </c>
      <c r="F17" s="101">
        <v>46038.291666666664</v>
      </c>
      <c r="G17" s="101">
        <v>46039.291666666664</v>
      </c>
      <c r="H17" s="100">
        <v>0.14583333333333334</v>
      </c>
      <c r="I17" s="100"/>
      <c r="J17" s="100">
        <v>6.25E-2</v>
      </c>
      <c r="K17" s="100"/>
      <c r="L17">
        <v>20.5</v>
      </c>
      <c r="M17">
        <v>24</v>
      </c>
      <c r="N17">
        <v>1701.5</v>
      </c>
      <c r="O17">
        <v>1992</v>
      </c>
      <c r="P17">
        <v>1472</v>
      </c>
      <c r="Q17">
        <v>1.1559103260869565</v>
      </c>
      <c r="R17">
        <v>1.3532608695652173</v>
      </c>
      <c r="S17">
        <v>0.73895582329317278</v>
      </c>
      <c r="T17">
        <v>23.999999999999996</v>
      </c>
    </row>
    <row r="18" spans="1:20" x14ac:dyDescent="0.3">
      <c r="A18">
        <v>1</v>
      </c>
      <c r="B18" t="s">
        <v>401</v>
      </c>
      <c r="C18" s="99">
        <v>46039</v>
      </c>
      <c r="D18" t="s">
        <v>392</v>
      </c>
      <c r="E18">
        <v>75</v>
      </c>
      <c r="F18" s="101">
        <v>46039.291666666664</v>
      </c>
      <c r="G18" s="101">
        <v>46040.291666666664</v>
      </c>
      <c r="H18" s="100">
        <v>0.14583333333333334</v>
      </c>
      <c r="I18" s="100">
        <v>5.9027777777777776E-2</v>
      </c>
      <c r="J18" s="100"/>
      <c r="K18" s="100"/>
      <c r="L18">
        <v>19.083333333333332</v>
      </c>
      <c r="M18">
        <v>24</v>
      </c>
      <c r="N18">
        <v>1431.25</v>
      </c>
      <c r="O18">
        <v>1800</v>
      </c>
      <c r="P18">
        <v>1455</v>
      </c>
      <c r="Q18">
        <v>0.98367697594501713</v>
      </c>
      <c r="R18">
        <v>1.2371134020618557</v>
      </c>
      <c r="S18">
        <v>0.80833333333333335</v>
      </c>
      <c r="T18">
        <v>23.999999999999996</v>
      </c>
    </row>
    <row r="19" spans="1:20" x14ac:dyDescent="0.3">
      <c r="A19">
        <v>1</v>
      </c>
      <c r="B19" t="s">
        <v>401</v>
      </c>
      <c r="C19" s="99">
        <v>46040</v>
      </c>
      <c r="D19" t="s">
        <v>392</v>
      </c>
      <c r="E19">
        <v>34</v>
      </c>
      <c r="F19" s="101">
        <v>46040</v>
      </c>
      <c r="G19" s="101">
        <v>46040.791666666664</v>
      </c>
      <c r="H19" s="100">
        <v>7.2916666666666671E-2</v>
      </c>
      <c r="I19" s="100"/>
      <c r="J19" s="100">
        <v>2.7777777777777776E-2</v>
      </c>
      <c r="K19" s="100"/>
      <c r="L19">
        <v>17.25</v>
      </c>
      <c r="M19">
        <v>19</v>
      </c>
      <c r="N19">
        <v>586.5</v>
      </c>
      <c r="O19">
        <v>646</v>
      </c>
      <c r="P19">
        <v>405</v>
      </c>
      <c r="Q19">
        <v>1.4481481481481482</v>
      </c>
      <c r="R19">
        <v>1.5950617283950617</v>
      </c>
      <c r="S19">
        <v>0.62693498452012386</v>
      </c>
      <c r="T19">
        <v>11.999999999999998</v>
      </c>
    </row>
    <row r="20" spans="1:20" x14ac:dyDescent="0.3">
      <c r="A20">
        <v>1</v>
      </c>
      <c r="B20" t="s">
        <v>401</v>
      </c>
      <c r="C20" s="99">
        <v>46041</v>
      </c>
      <c r="D20" t="s">
        <v>392</v>
      </c>
      <c r="E20">
        <v>78</v>
      </c>
      <c r="F20" s="101">
        <v>46041.291666666664</v>
      </c>
      <c r="G20" s="101">
        <v>46042.291666666664</v>
      </c>
      <c r="H20" s="100">
        <v>0.14583333333333334</v>
      </c>
      <c r="I20" s="100">
        <v>0.1111111111111111</v>
      </c>
      <c r="J20" s="100">
        <v>6.9444444444444448E-2</v>
      </c>
      <c r="K20" s="100"/>
      <c r="L20">
        <v>17.833333333333332</v>
      </c>
      <c r="M20">
        <v>24</v>
      </c>
      <c r="N20">
        <v>1391</v>
      </c>
      <c r="O20">
        <v>1872</v>
      </c>
      <c r="P20">
        <v>1379</v>
      </c>
      <c r="Q20">
        <v>1.0087019579405365</v>
      </c>
      <c r="R20">
        <v>1.3575054387237129</v>
      </c>
      <c r="S20">
        <v>0.73664529914529908</v>
      </c>
      <c r="T20">
        <v>23.999999999999996</v>
      </c>
    </row>
    <row r="21" spans="1:20" x14ac:dyDescent="0.3">
      <c r="A21">
        <v>1</v>
      </c>
      <c r="B21" t="s">
        <v>401</v>
      </c>
      <c r="C21" s="99">
        <v>46042</v>
      </c>
      <c r="D21" t="s">
        <v>392</v>
      </c>
      <c r="E21">
        <v>81</v>
      </c>
      <c r="F21" s="101">
        <v>46042.291666666664</v>
      </c>
      <c r="G21" s="101">
        <v>46043.291666666664</v>
      </c>
      <c r="H21" s="100">
        <v>0.14583333333333334</v>
      </c>
      <c r="I21" s="100"/>
      <c r="J21" s="100"/>
      <c r="K21" s="100">
        <v>0.41666666666666669</v>
      </c>
      <c r="L21">
        <v>20.5</v>
      </c>
      <c r="M21">
        <v>24</v>
      </c>
      <c r="N21">
        <v>1660.5</v>
      </c>
      <c r="O21">
        <v>1944</v>
      </c>
      <c r="P21">
        <v>1643</v>
      </c>
      <c r="Q21">
        <v>1.0106512477175897</v>
      </c>
      <c r="R21">
        <v>1.1832014607425441</v>
      </c>
      <c r="S21">
        <v>0.84516460905349799</v>
      </c>
      <c r="T21">
        <v>23.999999999999996</v>
      </c>
    </row>
    <row r="22" spans="1:20" x14ac:dyDescent="0.3">
      <c r="A22">
        <v>1</v>
      </c>
      <c r="B22" t="s">
        <v>401</v>
      </c>
      <c r="C22" s="99">
        <v>46043</v>
      </c>
      <c r="D22" t="s">
        <v>392</v>
      </c>
      <c r="E22">
        <v>81</v>
      </c>
      <c r="F22" s="101">
        <v>46043.291666666664</v>
      </c>
      <c r="G22" s="101">
        <v>46044.291666666664</v>
      </c>
      <c r="H22" s="100">
        <v>0.14583333333333334</v>
      </c>
      <c r="I22" s="100"/>
      <c r="J22" s="100"/>
      <c r="K22" s="100">
        <v>0.85416666666666663</v>
      </c>
      <c r="L22">
        <v>20.5</v>
      </c>
      <c r="M22">
        <v>24</v>
      </c>
      <c r="N22">
        <v>1660.5</v>
      </c>
      <c r="O22">
        <v>1944</v>
      </c>
      <c r="P22">
        <v>1346</v>
      </c>
      <c r="Q22">
        <v>1.2336552748885588</v>
      </c>
      <c r="R22">
        <v>1.4442793462109955</v>
      </c>
      <c r="S22">
        <v>0.6923868312757202</v>
      </c>
      <c r="T22">
        <v>23.999999999999996</v>
      </c>
    </row>
    <row r="23" spans="1:20" x14ac:dyDescent="0.3">
      <c r="A23">
        <v>1</v>
      </c>
      <c r="B23" t="s">
        <v>401</v>
      </c>
      <c r="C23" s="99">
        <v>46044</v>
      </c>
      <c r="D23" t="s">
        <v>392</v>
      </c>
      <c r="E23">
        <v>81</v>
      </c>
      <c r="F23" s="101">
        <v>46044.291666666664</v>
      </c>
      <c r="G23" s="101">
        <v>46045.291666666664</v>
      </c>
      <c r="H23" s="100">
        <v>0.14583333333333334</v>
      </c>
      <c r="I23" s="100"/>
      <c r="J23" s="100">
        <v>4.1666666666666664E-2</v>
      </c>
      <c r="K23" s="100">
        <v>0.35416666666666669</v>
      </c>
      <c r="L23">
        <v>20.5</v>
      </c>
      <c r="M23">
        <v>24</v>
      </c>
      <c r="N23">
        <v>1660.5</v>
      </c>
      <c r="O23">
        <v>1944</v>
      </c>
      <c r="P23">
        <v>1568</v>
      </c>
      <c r="Q23">
        <v>1.0589923469387754</v>
      </c>
      <c r="R23">
        <v>1.239795918367347</v>
      </c>
      <c r="S23">
        <v>0.80658436213991758</v>
      </c>
      <c r="T23">
        <v>23.999999999999996</v>
      </c>
    </row>
    <row r="24" spans="1:20" x14ac:dyDescent="0.3">
      <c r="A24">
        <v>1</v>
      </c>
      <c r="B24" t="s">
        <v>401</v>
      </c>
      <c r="C24" s="99">
        <v>46045</v>
      </c>
      <c r="D24" t="s">
        <v>392</v>
      </c>
      <c r="E24">
        <v>80</v>
      </c>
      <c r="F24" s="101">
        <v>46045.291666666664</v>
      </c>
      <c r="G24" s="101">
        <v>46046.291666666664</v>
      </c>
      <c r="H24" s="100">
        <v>0.14583333333333334</v>
      </c>
      <c r="I24" s="100"/>
      <c r="J24" s="100">
        <v>6.9444444444444448E-2</v>
      </c>
      <c r="K24" s="100">
        <v>7.6388888888888895E-2</v>
      </c>
      <c r="L24">
        <v>20.5</v>
      </c>
      <c r="M24">
        <v>24</v>
      </c>
      <c r="N24">
        <v>1640</v>
      </c>
      <c r="O24">
        <v>1920</v>
      </c>
      <c r="P24">
        <v>1528</v>
      </c>
      <c r="Q24">
        <v>1.0732984293193717</v>
      </c>
      <c r="R24">
        <v>1.256544502617801</v>
      </c>
      <c r="S24">
        <v>0.79583333333333339</v>
      </c>
      <c r="T24">
        <v>23.999999999999996</v>
      </c>
    </row>
    <row r="25" spans="1:20" x14ac:dyDescent="0.3">
      <c r="A25">
        <v>1</v>
      </c>
      <c r="B25" t="s">
        <v>401</v>
      </c>
      <c r="C25" s="99">
        <v>46046</v>
      </c>
      <c r="D25" t="s">
        <v>392</v>
      </c>
      <c r="E25">
        <v>76</v>
      </c>
      <c r="F25" s="101">
        <v>46046.291666666664</v>
      </c>
      <c r="G25" s="101">
        <v>46047.291666666664</v>
      </c>
      <c r="H25" s="100">
        <v>0.14583333333333334</v>
      </c>
      <c r="I25" s="100"/>
      <c r="J25" s="100">
        <v>2.7777777777777776E-2</v>
      </c>
      <c r="K25" s="100"/>
      <c r="L25">
        <v>20.5</v>
      </c>
      <c r="M25">
        <v>24</v>
      </c>
      <c r="N25">
        <v>1558</v>
      </c>
      <c r="O25">
        <v>1824</v>
      </c>
      <c r="P25">
        <v>1472</v>
      </c>
      <c r="Q25">
        <v>1.0584239130434783</v>
      </c>
      <c r="R25">
        <v>1.2391304347826086</v>
      </c>
      <c r="S25">
        <v>0.80701754385964919</v>
      </c>
      <c r="T25">
        <v>23.999999999999996</v>
      </c>
    </row>
    <row r="26" spans="1:20" x14ac:dyDescent="0.3">
      <c r="A26">
        <v>1</v>
      </c>
      <c r="B26" t="s">
        <v>401</v>
      </c>
      <c r="C26" s="99">
        <v>46047</v>
      </c>
      <c r="D26" t="s">
        <v>392</v>
      </c>
      <c r="E26">
        <v>30</v>
      </c>
      <c r="F26" s="101">
        <v>46047</v>
      </c>
      <c r="G26" s="101">
        <v>46047.625</v>
      </c>
      <c r="H26" s="100">
        <v>6.25E-2</v>
      </c>
      <c r="I26" s="100"/>
      <c r="J26" s="100"/>
      <c r="K26" s="100"/>
      <c r="L26">
        <v>13.5</v>
      </c>
      <c r="M26">
        <v>15</v>
      </c>
      <c r="N26">
        <v>405</v>
      </c>
      <c r="O26">
        <v>450</v>
      </c>
      <c r="P26">
        <v>268</v>
      </c>
      <c r="Q26">
        <v>1.5111940298507462</v>
      </c>
      <c r="R26">
        <v>1.6791044776119404</v>
      </c>
      <c r="S26">
        <v>0.5955555555555555</v>
      </c>
      <c r="T26">
        <v>8</v>
      </c>
    </row>
    <row r="27" spans="1:20" x14ac:dyDescent="0.3">
      <c r="A27">
        <v>1</v>
      </c>
      <c r="B27" t="s">
        <v>401</v>
      </c>
      <c r="C27" s="99">
        <v>46048</v>
      </c>
      <c r="D27" t="s">
        <v>392</v>
      </c>
      <c r="E27">
        <v>77</v>
      </c>
      <c r="F27" s="101">
        <v>46048.291666666664</v>
      </c>
      <c r="G27" s="101">
        <v>46049.291666666664</v>
      </c>
      <c r="H27" s="100">
        <v>0.14583333333333334</v>
      </c>
      <c r="I27" s="100">
        <v>4.1666666666666664E-2</v>
      </c>
      <c r="J27" s="100"/>
      <c r="K27" s="100">
        <v>0.67708333333333337</v>
      </c>
      <c r="L27">
        <v>19.5</v>
      </c>
      <c r="M27">
        <v>24</v>
      </c>
      <c r="N27">
        <v>1501.5</v>
      </c>
      <c r="O27">
        <v>1848</v>
      </c>
      <c r="P27">
        <v>1481</v>
      </c>
      <c r="Q27">
        <v>1.013841998649561</v>
      </c>
      <c r="R27">
        <v>1.2478055367994598</v>
      </c>
      <c r="S27">
        <v>0.80140692640692646</v>
      </c>
      <c r="T27">
        <v>23.999999999999996</v>
      </c>
    </row>
    <row r="28" spans="1:20" x14ac:dyDescent="0.3">
      <c r="A28">
        <v>1</v>
      </c>
      <c r="B28" t="s">
        <v>401</v>
      </c>
      <c r="C28" s="99">
        <v>46049</v>
      </c>
      <c r="D28" t="s">
        <v>392</v>
      </c>
      <c r="E28">
        <v>75</v>
      </c>
      <c r="F28" s="101">
        <v>46049.291666666664</v>
      </c>
      <c r="G28" s="101">
        <v>46050.291666666664</v>
      </c>
      <c r="H28" s="100">
        <v>0.14583333333333334</v>
      </c>
      <c r="I28" s="100">
        <v>1.7361111111111112E-2</v>
      </c>
      <c r="J28" s="100">
        <v>9.7222222222222224E-2</v>
      </c>
      <c r="K28" s="100">
        <v>0.14583333333333334</v>
      </c>
      <c r="L28">
        <v>20.083333333333332</v>
      </c>
      <c r="M28">
        <v>24</v>
      </c>
      <c r="N28">
        <v>1506.25</v>
      </c>
      <c r="O28">
        <v>1800</v>
      </c>
      <c r="P28">
        <v>1309</v>
      </c>
      <c r="Q28">
        <v>1.1506875477463714</v>
      </c>
      <c r="R28">
        <v>1.3750954927425516</v>
      </c>
      <c r="S28">
        <v>0.72722222222222221</v>
      </c>
      <c r="T28">
        <v>23.999999999999996</v>
      </c>
    </row>
    <row r="29" spans="1:20" x14ac:dyDescent="0.3">
      <c r="A29">
        <v>1</v>
      </c>
      <c r="B29" t="s">
        <v>401</v>
      </c>
      <c r="C29" s="99">
        <v>46050</v>
      </c>
      <c r="D29" t="s">
        <v>392</v>
      </c>
      <c r="E29">
        <v>76</v>
      </c>
      <c r="F29" s="101">
        <v>46050.291666666664</v>
      </c>
      <c r="G29" s="101">
        <v>46051.291666666664</v>
      </c>
      <c r="H29" s="100">
        <v>0.14583333333333334</v>
      </c>
      <c r="I29" s="100">
        <v>8.3333333333333329E-2</v>
      </c>
      <c r="J29" s="100">
        <v>4.1666666666666664E-2</v>
      </c>
      <c r="K29" s="100"/>
      <c r="L29">
        <v>18.5</v>
      </c>
      <c r="M29">
        <v>24</v>
      </c>
      <c r="N29">
        <v>1406</v>
      </c>
      <c r="O29">
        <v>1824</v>
      </c>
      <c r="P29">
        <v>1592</v>
      </c>
      <c r="Q29">
        <v>0.88316582914572861</v>
      </c>
      <c r="R29">
        <v>1.1457286432160805</v>
      </c>
      <c r="S29">
        <v>0.87280701754385959</v>
      </c>
      <c r="T29">
        <v>23.999999999999996</v>
      </c>
    </row>
    <row r="30" spans="1:20" x14ac:dyDescent="0.3">
      <c r="A30">
        <v>1</v>
      </c>
      <c r="B30" t="s">
        <v>401</v>
      </c>
      <c r="C30" s="99">
        <v>46051</v>
      </c>
      <c r="D30" t="s">
        <v>392</v>
      </c>
      <c r="E30">
        <v>80</v>
      </c>
      <c r="F30" s="101">
        <v>46051.291666666664</v>
      </c>
      <c r="G30" s="101">
        <v>46052.291666666664</v>
      </c>
      <c r="H30" s="100">
        <v>0.14583333333333334</v>
      </c>
      <c r="I30" s="100"/>
      <c r="J30" s="100">
        <v>4.8611111111111112E-2</v>
      </c>
      <c r="K30" s="100"/>
      <c r="L30">
        <v>20.5</v>
      </c>
      <c r="M30">
        <v>24</v>
      </c>
      <c r="N30">
        <v>1640</v>
      </c>
      <c r="O30">
        <v>1920</v>
      </c>
      <c r="P30">
        <v>1708</v>
      </c>
      <c r="Q30">
        <v>0.96018735362997654</v>
      </c>
      <c r="R30">
        <v>1.1241217798594847</v>
      </c>
      <c r="S30">
        <v>0.88958333333333339</v>
      </c>
      <c r="T30">
        <v>23.999999999999996</v>
      </c>
    </row>
    <row r="31" spans="1:20" x14ac:dyDescent="0.3">
      <c r="A31">
        <v>1</v>
      </c>
      <c r="B31" t="s">
        <v>401</v>
      </c>
      <c r="C31" s="99">
        <v>46052</v>
      </c>
      <c r="D31" t="s">
        <v>392</v>
      </c>
      <c r="E31">
        <v>75</v>
      </c>
      <c r="F31" s="101">
        <v>46052.291666666664</v>
      </c>
      <c r="G31" s="101">
        <v>46053.291666666664</v>
      </c>
      <c r="H31" s="100">
        <v>0.14583333333333334</v>
      </c>
      <c r="I31" s="100"/>
      <c r="J31" s="100">
        <v>6.5972222222222224E-2</v>
      </c>
      <c r="K31" s="100">
        <v>0.32291666666666669</v>
      </c>
      <c r="L31">
        <v>20.5</v>
      </c>
      <c r="M31">
        <v>24</v>
      </c>
      <c r="N31">
        <v>1537.5</v>
      </c>
      <c r="O31">
        <v>1800</v>
      </c>
      <c r="P31">
        <v>1518</v>
      </c>
      <c r="Q31">
        <v>1.0128458498023716</v>
      </c>
      <c r="R31">
        <v>1.1857707509881423</v>
      </c>
      <c r="S31">
        <v>0.84333333333333327</v>
      </c>
      <c r="T31">
        <v>23.999999999999996</v>
      </c>
    </row>
    <row r="32" spans="1:20" x14ac:dyDescent="0.3">
      <c r="A32">
        <v>1</v>
      </c>
      <c r="B32" t="s">
        <v>401</v>
      </c>
      <c r="C32" s="99">
        <v>46053</v>
      </c>
      <c r="D32" t="s">
        <v>392</v>
      </c>
      <c r="E32">
        <v>76</v>
      </c>
      <c r="F32" s="101">
        <v>46053.291666666664</v>
      </c>
      <c r="G32" s="101">
        <v>46054.291666666664</v>
      </c>
      <c r="H32" s="100">
        <v>0.14583333333333334</v>
      </c>
      <c r="I32" s="100">
        <v>4.1666666666666664E-2</v>
      </c>
      <c r="J32" s="100">
        <v>2.0833333333333332E-2</v>
      </c>
      <c r="K32" s="100">
        <v>8.3333333333333329E-2</v>
      </c>
      <c r="L32">
        <v>19.5</v>
      </c>
      <c r="M32">
        <v>24</v>
      </c>
      <c r="N32">
        <v>1482</v>
      </c>
      <c r="O32">
        <v>1824</v>
      </c>
      <c r="P32">
        <v>1203</v>
      </c>
      <c r="Q32">
        <v>1.231920199501247</v>
      </c>
      <c r="R32">
        <v>1.5162094763092269</v>
      </c>
      <c r="S32">
        <v>0.65953947368421051</v>
      </c>
      <c r="T32">
        <v>23.999999999999996</v>
      </c>
    </row>
    <row r="33" spans="1:20" x14ac:dyDescent="0.3">
      <c r="A33">
        <v>2</v>
      </c>
      <c r="B33" t="s">
        <v>401</v>
      </c>
      <c r="C33" s="99">
        <v>46054</v>
      </c>
      <c r="D33" t="s">
        <v>392</v>
      </c>
      <c r="E33">
        <v>27</v>
      </c>
      <c r="F33" s="101">
        <v>46054</v>
      </c>
      <c r="G33" s="101">
        <v>46054.708333333336</v>
      </c>
      <c r="H33" s="100">
        <v>6.25E-2</v>
      </c>
      <c r="I33" s="100"/>
      <c r="J33" s="100"/>
      <c r="K33" s="100"/>
      <c r="L33">
        <v>15.5</v>
      </c>
      <c r="M33">
        <v>17</v>
      </c>
      <c r="N33">
        <v>418.5</v>
      </c>
      <c r="O33">
        <v>459</v>
      </c>
      <c r="P33">
        <v>415</v>
      </c>
      <c r="Q33">
        <v>1.008433734939759</v>
      </c>
      <c r="R33">
        <v>1.1060240963855421</v>
      </c>
      <c r="S33">
        <v>0.9041394335511983</v>
      </c>
      <c r="T33">
        <v>10</v>
      </c>
    </row>
    <row r="34" spans="1:20" x14ac:dyDescent="0.3">
      <c r="A34">
        <v>2</v>
      </c>
      <c r="B34" t="s">
        <v>401</v>
      </c>
      <c r="C34" s="99">
        <v>46055</v>
      </c>
      <c r="D34" t="s">
        <v>392</v>
      </c>
      <c r="E34">
        <v>66</v>
      </c>
      <c r="F34" s="101">
        <v>46055.291666666664</v>
      </c>
      <c r="G34" s="101">
        <v>46056.291666666664</v>
      </c>
      <c r="H34" s="100">
        <v>0.14583333333333334</v>
      </c>
      <c r="I34" s="100">
        <v>7.9861111111111105E-2</v>
      </c>
      <c r="J34" s="100">
        <v>4.1666666666666664E-2</v>
      </c>
      <c r="K34" s="100">
        <v>0.14583333333333334</v>
      </c>
      <c r="L34">
        <v>18.583333333333332</v>
      </c>
      <c r="M34">
        <v>24</v>
      </c>
      <c r="N34">
        <v>1226.5</v>
      </c>
      <c r="O34">
        <v>1584</v>
      </c>
      <c r="P34">
        <v>880</v>
      </c>
      <c r="Q34">
        <v>1.39375</v>
      </c>
      <c r="R34">
        <v>1.8</v>
      </c>
      <c r="S34">
        <v>0.55555555555555558</v>
      </c>
      <c r="T34">
        <v>23.999999999999996</v>
      </c>
    </row>
    <row r="35" spans="1:20" x14ac:dyDescent="0.3">
      <c r="A35">
        <v>2</v>
      </c>
      <c r="B35" t="s">
        <v>401</v>
      </c>
      <c r="C35" s="99">
        <v>46056</v>
      </c>
      <c r="D35" t="s">
        <v>392</v>
      </c>
      <c r="E35">
        <v>72</v>
      </c>
      <c r="F35" s="101">
        <v>46056.291666666664</v>
      </c>
      <c r="G35" s="101">
        <v>46057.291666666664</v>
      </c>
      <c r="H35" s="100">
        <v>0.14583333333333334</v>
      </c>
      <c r="I35" s="100"/>
      <c r="J35" s="100"/>
      <c r="K35" s="100"/>
      <c r="L35">
        <v>20.5</v>
      </c>
      <c r="M35">
        <v>24</v>
      </c>
      <c r="N35">
        <v>1476</v>
      </c>
      <c r="O35">
        <v>1728</v>
      </c>
      <c r="P35">
        <v>1082</v>
      </c>
      <c r="Q35">
        <v>1.3641404805914972</v>
      </c>
      <c r="R35">
        <v>1.5970425138632163</v>
      </c>
      <c r="S35">
        <v>0.62615740740740744</v>
      </c>
      <c r="T35">
        <v>23.999999999999996</v>
      </c>
    </row>
    <row r="36" spans="1:20" x14ac:dyDescent="0.3">
      <c r="A36">
        <v>2</v>
      </c>
      <c r="B36" t="s">
        <v>401</v>
      </c>
      <c r="C36" s="99">
        <v>46057</v>
      </c>
      <c r="D36" t="s">
        <v>392</v>
      </c>
      <c r="E36">
        <v>73</v>
      </c>
      <c r="F36" s="101">
        <v>46057.291666666664</v>
      </c>
      <c r="G36" s="101">
        <v>46058.291666666664</v>
      </c>
      <c r="H36" s="100">
        <v>0.14583333333333334</v>
      </c>
      <c r="I36" s="100"/>
      <c r="J36" s="100"/>
      <c r="K36" s="100">
        <v>0.41666666666666669</v>
      </c>
      <c r="L36">
        <v>20.5</v>
      </c>
      <c r="M36">
        <v>24</v>
      </c>
      <c r="N36">
        <v>1496.5</v>
      </c>
      <c r="O36">
        <v>1752</v>
      </c>
      <c r="P36">
        <v>1173</v>
      </c>
      <c r="Q36">
        <v>1.2757885763000854</v>
      </c>
      <c r="R36">
        <v>1.4936061381074168</v>
      </c>
      <c r="S36">
        <v>0.66952054794520555</v>
      </c>
      <c r="T36">
        <v>23.999999999999996</v>
      </c>
    </row>
    <row r="37" spans="1:20" x14ac:dyDescent="0.3">
      <c r="A37">
        <v>2</v>
      </c>
      <c r="B37" t="s">
        <v>401</v>
      </c>
      <c r="C37" s="99">
        <v>46058</v>
      </c>
      <c r="D37" t="s">
        <v>392</v>
      </c>
      <c r="E37">
        <v>73</v>
      </c>
      <c r="F37" s="101">
        <v>46058.291666666664</v>
      </c>
      <c r="G37" s="101">
        <v>46059.291666666664</v>
      </c>
      <c r="H37" s="100">
        <v>0.14583333333333334</v>
      </c>
      <c r="I37" s="100"/>
      <c r="J37" s="100"/>
      <c r="K37" s="100">
        <v>0.125</v>
      </c>
      <c r="L37">
        <v>20.5</v>
      </c>
      <c r="M37">
        <v>24</v>
      </c>
      <c r="N37">
        <v>1496.5</v>
      </c>
      <c r="O37">
        <v>1752</v>
      </c>
      <c r="P37">
        <v>1349</v>
      </c>
      <c r="Q37">
        <v>1.1093402520385471</v>
      </c>
      <c r="R37">
        <v>1.2987398072646406</v>
      </c>
      <c r="S37">
        <v>0.76997716894977164</v>
      </c>
      <c r="T37">
        <v>23.999999999999996</v>
      </c>
    </row>
    <row r="38" spans="1:20" x14ac:dyDescent="0.3">
      <c r="A38">
        <v>1</v>
      </c>
      <c r="B38" t="s">
        <v>402</v>
      </c>
      <c r="C38" s="99">
        <v>46023</v>
      </c>
      <c r="D38" t="s">
        <v>96</v>
      </c>
      <c r="E38">
        <v>24</v>
      </c>
      <c r="F38" s="101">
        <v>46023.291666666664</v>
      </c>
      <c r="G38" s="101">
        <v>46023.791666666664</v>
      </c>
      <c r="H38" s="100">
        <v>7.2916666666666671E-2</v>
      </c>
      <c r="I38" s="100"/>
      <c r="J38" s="100"/>
      <c r="K38" s="100"/>
      <c r="L38">
        <v>10.25</v>
      </c>
      <c r="M38">
        <v>12</v>
      </c>
      <c r="N38">
        <v>246</v>
      </c>
      <c r="O38">
        <v>288</v>
      </c>
      <c r="P38">
        <v>350</v>
      </c>
      <c r="Q38">
        <v>0.70285714285714285</v>
      </c>
      <c r="R38">
        <v>0.82285714285714284</v>
      </c>
      <c r="S38">
        <v>1.2152777777777779</v>
      </c>
      <c r="T38">
        <v>11.999999999999998</v>
      </c>
    </row>
    <row r="39" spans="1:20" x14ac:dyDescent="0.3">
      <c r="A39">
        <v>1</v>
      </c>
      <c r="B39" t="s">
        <v>402</v>
      </c>
      <c r="C39" s="99">
        <v>46023</v>
      </c>
      <c r="D39" t="s">
        <v>97</v>
      </c>
      <c r="E39">
        <v>5</v>
      </c>
      <c r="F39" s="101">
        <v>46023.291666666664</v>
      </c>
      <c r="G39" s="101">
        <v>46023.791666666664</v>
      </c>
      <c r="H39" s="100">
        <v>7.2916666666666671E-2</v>
      </c>
      <c r="I39" s="100"/>
      <c r="J39" s="100"/>
      <c r="K39" s="100"/>
      <c r="L39">
        <v>10.25</v>
      </c>
      <c r="M39">
        <v>12</v>
      </c>
      <c r="N39">
        <v>51.25</v>
      </c>
      <c r="O39">
        <v>60</v>
      </c>
      <c r="P39">
        <v>355</v>
      </c>
      <c r="Q39">
        <v>0.14436619718309859</v>
      </c>
      <c r="R39">
        <v>0.16901408450704225</v>
      </c>
      <c r="S39">
        <v>5.916666666666667</v>
      </c>
      <c r="T39">
        <v>11.999999999999998</v>
      </c>
    </row>
    <row r="40" spans="1:20" x14ac:dyDescent="0.3">
      <c r="A40">
        <v>1</v>
      </c>
      <c r="B40" t="s">
        <v>402</v>
      </c>
      <c r="C40" s="99">
        <v>46023</v>
      </c>
      <c r="D40" t="s">
        <v>98</v>
      </c>
      <c r="E40">
        <v>23</v>
      </c>
      <c r="F40" s="101">
        <v>46023.291666666664</v>
      </c>
      <c r="G40" s="101">
        <v>46023.791666666664</v>
      </c>
      <c r="H40" s="100">
        <v>7.2916666666666671E-2</v>
      </c>
      <c r="I40" s="100"/>
      <c r="J40" s="100"/>
      <c r="K40" s="100"/>
      <c r="L40">
        <v>10.25</v>
      </c>
      <c r="M40">
        <v>12</v>
      </c>
      <c r="N40">
        <v>235.75</v>
      </c>
      <c r="O40">
        <v>276</v>
      </c>
      <c r="P40">
        <v>362</v>
      </c>
      <c r="Q40">
        <v>0.65124309392265189</v>
      </c>
      <c r="R40">
        <v>0.76243093922651939</v>
      </c>
      <c r="S40">
        <v>1.3115942028985506</v>
      </c>
      <c r="T40">
        <v>11.999999999999998</v>
      </c>
    </row>
    <row r="41" spans="1:20" x14ac:dyDescent="0.3">
      <c r="A41">
        <v>1</v>
      </c>
      <c r="B41" t="s">
        <v>402</v>
      </c>
      <c r="C41" s="99">
        <v>46023</v>
      </c>
      <c r="D41" t="s">
        <v>99</v>
      </c>
      <c r="E41">
        <v>24</v>
      </c>
      <c r="F41" s="101">
        <v>46023.291666666664</v>
      </c>
      <c r="G41" s="101">
        <v>46023.791666666664</v>
      </c>
      <c r="H41" s="100">
        <v>7.2916666666666671E-2</v>
      </c>
      <c r="I41" s="100"/>
      <c r="J41" s="100"/>
      <c r="K41" s="100"/>
      <c r="L41">
        <v>10.25</v>
      </c>
      <c r="M41">
        <v>12</v>
      </c>
      <c r="N41">
        <v>246</v>
      </c>
      <c r="O41">
        <v>288</v>
      </c>
      <c r="P41">
        <v>254</v>
      </c>
      <c r="Q41">
        <v>0.96850393700787396</v>
      </c>
      <c r="R41">
        <v>1.1338582677165354</v>
      </c>
      <c r="S41">
        <v>0.88194444444444442</v>
      </c>
      <c r="T41">
        <v>11.999999999999998</v>
      </c>
    </row>
    <row r="42" spans="1:20" x14ac:dyDescent="0.3">
      <c r="A42">
        <v>1</v>
      </c>
      <c r="B42" t="s">
        <v>402</v>
      </c>
      <c r="C42" s="99">
        <v>46024</v>
      </c>
      <c r="D42" t="s">
        <v>96</v>
      </c>
      <c r="E42">
        <v>25</v>
      </c>
      <c r="F42" s="101">
        <v>46024.291666666664</v>
      </c>
      <c r="G42" s="101">
        <v>46024.791666666664</v>
      </c>
      <c r="H42" s="100">
        <v>7.2916666666666671E-2</v>
      </c>
      <c r="I42" s="100"/>
      <c r="J42" s="100"/>
      <c r="K42" s="100"/>
      <c r="L42">
        <v>10.25</v>
      </c>
      <c r="M42">
        <v>12</v>
      </c>
      <c r="N42">
        <v>256.25</v>
      </c>
      <c r="O42">
        <v>300</v>
      </c>
      <c r="P42">
        <v>452</v>
      </c>
      <c r="Q42">
        <v>0.56692477876106195</v>
      </c>
      <c r="R42">
        <v>0.66371681415929207</v>
      </c>
      <c r="S42">
        <v>1.5066666666666666</v>
      </c>
      <c r="T42">
        <v>11.999999999999998</v>
      </c>
    </row>
    <row r="43" spans="1:20" x14ac:dyDescent="0.3">
      <c r="A43">
        <v>1</v>
      </c>
      <c r="B43" t="s">
        <v>402</v>
      </c>
      <c r="C43" s="99">
        <v>46024</v>
      </c>
      <c r="D43" t="s">
        <v>97</v>
      </c>
      <c r="E43">
        <v>5</v>
      </c>
      <c r="F43" s="101">
        <v>46024.291666666664</v>
      </c>
      <c r="G43" s="101">
        <v>46024.791666666664</v>
      </c>
      <c r="H43" s="100">
        <v>7.2916666666666671E-2</v>
      </c>
      <c r="I43" s="100"/>
      <c r="J43" s="100"/>
      <c r="K43" s="100"/>
      <c r="L43">
        <v>10.25</v>
      </c>
      <c r="M43">
        <v>12</v>
      </c>
      <c r="N43">
        <v>51.25</v>
      </c>
      <c r="O43">
        <v>60</v>
      </c>
      <c r="P43">
        <v>384</v>
      </c>
      <c r="Q43">
        <v>0.13346354166666666</v>
      </c>
      <c r="R43">
        <v>0.15625</v>
      </c>
      <c r="S43">
        <v>6.4</v>
      </c>
      <c r="T43">
        <v>11.999999999999998</v>
      </c>
    </row>
    <row r="44" spans="1:20" x14ac:dyDescent="0.3">
      <c r="A44">
        <v>1</v>
      </c>
      <c r="B44" t="s">
        <v>402</v>
      </c>
      <c r="C44" s="99">
        <v>46024</v>
      </c>
      <c r="D44" t="s">
        <v>98</v>
      </c>
      <c r="E44">
        <v>22</v>
      </c>
      <c r="F44" s="101">
        <v>46024.291666666664</v>
      </c>
      <c r="G44" s="101">
        <v>46024.791666666664</v>
      </c>
      <c r="H44" s="100">
        <v>7.2916666666666671E-2</v>
      </c>
      <c r="I44" s="100"/>
      <c r="J44" s="100"/>
      <c r="K44" s="100"/>
      <c r="L44">
        <v>10.25</v>
      </c>
      <c r="M44">
        <v>12</v>
      </c>
      <c r="N44">
        <v>225.5</v>
      </c>
      <c r="O44">
        <v>264</v>
      </c>
      <c r="P44">
        <v>346</v>
      </c>
      <c r="Q44">
        <v>0.65173410404624277</v>
      </c>
      <c r="R44">
        <v>0.76300578034682076</v>
      </c>
      <c r="S44">
        <v>1.3106060606060608</v>
      </c>
      <c r="T44">
        <v>11.999999999999998</v>
      </c>
    </row>
    <row r="45" spans="1:20" x14ac:dyDescent="0.3">
      <c r="A45">
        <v>1</v>
      </c>
      <c r="B45" t="s">
        <v>402</v>
      </c>
      <c r="C45" s="99">
        <v>46024</v>
      </c>
      <c r="D45" t="s">
        <v>99</v>
      </c>
      <c r="E45">
        <v>25</v>
      </c>
      <c r="F45" s="101">
        <v>46024.291666666664</v>
      </c>
      <c r="G45" s="101">
        <v>46024.791666666664</v>
      </c>
      <c r="H45" s="100">
        <v>7.2916666666666671E-2</v>
      </c>
      <c r="I45" s="100"/>
      <c r="J45" s="100"/>
      <c r="K45" s="100"/>
      <c r="L45">
        <v>10.25</v>
      </c>
      <c r="M45">
        <v>12</v>
      </c>
      <c r="N45">
        <v>256.25</v>
      </c>
      <c r="O45">
        <v>300</v>
      </c>
      <c r="P45">
        <v>290</v>
      </c>
      <c r="Q45">
        <v>0.88362068965517238</v>
      </c>
      <c r="R45">
        <v>1.0344827586206897</v>
      </c>
      <c r="S45">
        <v>0.96666666666666656</v>
      </c>
      <c r="T45">
        <v>11.999999999999998</v>
      </c>
    </row>
    <row r="46" spans="1:20" x14ac:dyDescent="0.3">
      <c r="A46">
        <v>1</v>
      </c>
      <c r="B46" t="s">
        <v>402</v>
      </c>
      <c r="C46" s="99">
        <v>46025</v>
      </c>
      <c r="D46" t="s">
        <v>97</v>
      </c>
      <c r="E46">
        <v>5</v>
      </c>
      <c r="F46" s="101">
        <v>46025.291666666664</v>
      </c>
      <c r="G46" s="101">
        <v>46025.791666666664</v>
      </c>
      <c r="H46" s="100">
        <v>7.2916666666666671E-2</v>
      </c>
      <c r="I46" s="100"/>
      <c r="J46" s="100"/>
      <c r="K46" s="100"/>
      <c r="L46">
        <v>10.25</v>
      </c>
      <c r="M46">
        <v>12</v>
      </c>
      <c r="N46">
        <v>51.25</v>
      </c>
      <c r="O46">
        <v>60</v>
      </c>
      <c r="P46">
        <v>412</v>
      </c>
      <c r="Q46">
        <v>0.12439320388349515</v>
      </c>
      <c r="R46">
        <v>0.14563106796116504</v>
      </c>
      <c r="S46">
        <v>6.8666666666666671</v>
      </c>
      <c r="T46">
        <v>11.999999999999998</v>
      </c>
    </row>
    <row r="47" spans="1:20" x14ac:dyDescent="0.3">
      <c r="A47">
        <v>1</v>
      </c>
      <c r="B47" t="s">
        <v>402</v>
      </c>
      <c r="C47" s="99">
        <v>46025</v>
      </c>
      <c r="D47" t="s">
        <v>98</v>
      </c>
      <c r="E47">
        <v>23</v>
      </c>
      <c r="F47" s="101">
        <v>46025.291666666664</v>
      </c>
      <c r="G47" s="101">
        <v>46025.875</v>
      </c>
      <c r="H47" s="100">
        <v>0.10416666666666667</v>
      </c>
      <c r="I47" s="100">
        <v>0.12083333333333333</v>
      </c>
      <c r="J47" s="100"/>
      <c r="K47" s="100"/>
      <c r="L47">
        <v>8.6</v>
      </c>
      <c r="M47">
        <v>14</v>
      </c>
      <c r="N47">
        <v>197.79999999999998</v>
      </c>
      <c r="O47">
        <v>322</v>
      </c>
      <c r="P47">
        <v>348</v>
      </c>
      <c r="Q47">
        <v>0.56839080459770108</v>
      </c>
      <c r="R47">
        <v>0.92528735632183912</v>
      </c>
      <c r="S47">
        <v>1.0807453416149069</v>
      </c>
      <c r="T47">
        <v>13.999999999999998</v>
      </c>
    </row>
    <row r="48" spans="1:20" x14ac:dyDescent="0.3">
      <c r="A48">
        <v>1</v>
      </c>
      <c r="B48" t="s">
        <v>402</v>
      </c>
      <c r="C48" s="99">
        <v>46025</v>
      </c>
      <c r="D48" t="s">
        <v>99</v>
      </c>
      <c r="E48">
        <v>23</v>
      </c>
      <c r="F48" s="101">
        <v>46025.291666666664</v>
      </c>
      <c r="G48" s="101">
        <v>46025.875</v>
      </c>
      <c r="H48" s="100">
        <v>0.10416666666666667</v>
      </c>
      <c r="I48" s="100"/>
      <c r="J48" s="100"/>
      <c r="K48" s="100"/>
      <c r="L48">
        <v>11.5</v>
      </c>
      <c r="M48">
        <v>14</v>
      </c>
      <c r="N48">
        <v>264.5</v>
      </c>
      <c r="O48">
        <v>322</v>
      </c>
      <c r="P48">
        <v>340</v>
      </c>
      <c r="Q48">
        <v>0.77794117647058825</v>
      </c>
      <c r="R48">
        <v>0.94705882352941173</v>
      </c>
      <c r="S48">
        <v>1.0559006211180124</v>
      </c>
      <c r="T48">
        <v>13.999999999999998</v>
      </c>
    </row>
    <row r="49" spans="1:20" x14ac:dyDescent="0.3">
      <c r="A49">
        <v>1</v>
      </c>
      <c r="B49" t="s">
        <v>402</v>
      </c>
      <c r="C49" s="99">
        <v>46026</v>
      </c>
      <c r="D49" t="s">
        <v>99</v>
      </c>
      <c r="E49">
        <v>21</v>
      </c>
      <c r="F49" s="101">
        <v>46026.291666666664</v>
      </c>
      <c r="G49" s="101">
        <v>46026.791666666664</v>
      </c>
      <c r="H49" s="100">
        <v>7.2916666666666671E-2</v>
      </c>
      <c r="I49" s="100"/>
      <c r="J49" s="100"/>
      <c r="K49" s="100"/>
      <c r="L49">
        <v>10.25</v>
      </c>
      <c r="M49">
        <v>12</v>
      </c>
      <c r="N49">
        <v>215.25</v>
      </c>
      <c r="O49">
        <v>252</v>
      </c>
      <c r="P49">
        <v>225</v>
      </c>
      <c r="Q49">
        <v>0.95666666666666667</v>
      </c>
      <c r="R49">
        <v>1.1200000000000001</v>
      </c>
      <c r="S49">
        <v>0.89285714285714279</v>
      </c>
      <c r="T49">
        <v>11.999999999999998</v>
      </c>
    </row>
    <row r="50" spans="1:20" x14ac:dyDescent="0.3">
      <c r="A50">
        <v>1</v>
      </c>
      <c r="B50" t="s">
        <v>402</v>
      </c>
      <c r="C50" s="99">
        <v>46027</v>
      </c>
      <c r="D50" t="s">
        <v>96</v>
      </c>
      <c r="E50">
        <v>21</v>
      </c>
      <c r="F50" s="101">
        <v>46027.291666666664</v>
      </c>
      <c r="G50" s="101">
        <v>46027.791666666664</v>
      </c>
      <c r="H50" s="100">
        <v>7.2916666666666671E-2</v>
      </c>
      <c r="I50" s="100"/>
      <c r="J50" s="100"/>
      <c r="K50" s="100"/>
      <c r="L50">
        <v>10.25</v>
      </c>
      <c r="M50">
        <v>12</v>
      </c>
      <c r="N50">
        <v>215.25</v>
      </c>
      <c r="O50">
        <v>252</v>
      </c>
      <c r="P50">
        <v>508</v>
      </c>
      <c r="Q50">
        <v>0.42372047244094491</v>
      </c>
      <c r="R50">
        <v>0.49606299212598426</v>
      </c>
      <c r="S50">
        <v>2.0158730158730158</v>
      </c>
      <c r="T50">
        <v>11.999999999999998</v>
      </c>
    </row>
    <row r="51" spans="1:20" x14ac:dyDescent="0.3">
      <c r="A51">
        <v>1</v>
      </c>
      <c r="B51" t="s">
        <v>402</v>
      </c>
      <c r="C51" s="99">
        <v>46027</v>
      </c>
      <c r="D51" t="s">
        <v>97</v>
      </c>
      <c r="E51">
        <v>5</v>
      </c>
      <c r="F51" s="101">
        <v>46027.291666666664</v>
      </c>
      <c r="G51" s="101">
        <v>46027.791666666664</v>
      </c>
      <c r="H51" s="100">
        <v>7.2916666666666671E-2</v>
      </c>
      <c r="I51" s="100"/>
      <c r="J51" s="100"/>
      <c r="K51" s="100"/>
      <c r="L51">
        <v>10.25</v>
      </c>
      <c r="M51">
        <v>12</v>
      </c>
      <c r="N51">
        <v>51.25</v>
      </c>
      <c r="O51">
        <v>60</v>
      </c>
      <c r="P51">
        <v>407</v>
      </c>
      <c r="Q51">
        <v>0.12592137592137592</v>
      </c>
      <c r="R51">
        <v>0.14742014742014742</v>
      </c>
      <c r="S51">
        <v>6.7833333333333332</v>
      </c>
      <c r="T51">
        <v>11.999999999999998</v>
      </c>
    </row>
    <row r="52" spans="1:20" x14ac:dyDescent="0.3">
      <c r="A52">
        <v>1</v>
      </c>
      <c r="B52" t="s">
        <v>402</v>
      </c>
      <c r="C52" s="99">
        <v>46027</v>
      </c>
      <c r="D52" t="s">
        <v>98</v>
      </c>
      <c r="E52">
        <v>24</v>
      </c>
      <c r="F52" s="101">
        <v>46027.291666666664</v>
      </c>
      <c r="G52" s="101">
        <v>46027.791666666664</v>
      </c>
      <c r="H52" s="100">
        <v>7.2916666666666671E-2</v>
      </c>
      <c r="I52" s="100"/>
      <c r="J52" s="100"/>
      <c r="K52" s="100"/>
      <c r="L52">
        <v>10.25</v>
      </c>
      <c r="M52">
        <v>12</v>
      </c>
      <c r="N52">
        <v>246</v>
      </c>
      <c r="O52">
        <v>288</v>
      </c>
      <c r="P52">
        <v>279</v>
      </c>
      <c r="Q52">
        <v>0.88172043010752688</v>
      </c>
      <c r="R52">
        <v>1.032258064516129</v>
      </c>
      <c r="S52">
        <v>0.96875</v>
      </c>
      <c r="T52">
        <v>11.999999999999998</v>
      </c>
    </row>
    <row r="53" spans="1:20" x14ac:dyDescent="0.3">
      <c r="A53">
        <v>1</v>
      </c>
      <c r="B53" t="s">
        <v>402</v>
      </c>
      <c r="C53" s="99">
        <v>46027</v>
      </c>
      <c r="D53" t="s">
        <v>99</v>
      </c>
      <c r="E53">
        <v>23</v>
      </c>
      <c r="F53" s="101">
        <v>46027.291666666664</v>
      </c>
      <c r="G53" s="101">
        <v>46027.791666666664</v>
      </c>
      <c r="H53" s="100">
        <v>7.2916666666666671E-2</v>
      </c>
      <c r="I53" s="100">
        <v>0.15625</v>
      </c>
      <c r="J53" s="100"/>
      <c r="K53" s="100"/>
      <c r="L53">
        <v>6.5</v>
      </c>
      <c r="M53">
        <v>12</v>
      </c>
      <c r="N53">
        <v>149.5</v>
      </c>
      <c r="O53">
        <v>276</v>
      </c>
      <c r="P53">
        <v>183</v>
      </c>
      <c r="Q53">
        <v>0.81693989071038253</v>
      </c>
      <c r="R53">
        <v>1.5081967213114753</v>
      </c>
      <c r="S53">
        <v>0.66304347826086962</v>
      </c>
      <c r="T53">
        <v>11.999999999999998</v>
      </c>
    </row>
    <row r="54" spans="1:20" x14ac:dyDescent="0.3">
      <c r="A54">
        <v>1</v>
      </c>
      <c r="B54" t="s">
        <v>402</v>
      </c>
      <c r="C54" s="99">
        <v>46028</v>
      </c>
      <c r="D54" t="s">
        <v>96</v>
      </c>
      <c r="E54">
        <v>20</v>
      </c>
      <c r="F54" s="101">
        <v>46028.291666666664</v>
      </c>
      <c r="G54" s="101">
        <v>46028.791666666664</v>
      </c>
      <c r="H54" s="100">
        <v>7.2916666666666671E-2</v>
      </c>
      <c r="I54" s="100"/>
      <c r="J54" s="100"/>
      <c r="K54" s="100"/>
      <c r="L54">
        <v>10.25</v>
      </c>
      <c r="M54">
        <v>12</v>
      </c>
      <c r="N54">
        <v>205</v>
      </c>
      <c r="O54">
        <v>240</v>
      </c>
      <c r="P54">
        <v>490</v>
      </c>
      <c r="Q54">
        <v>0.41836734693877553</v>
      </c>
      <c r="R54">
        <v>0.48979591836734693</v>
      </c>
      <c r="S54">
        <v>2.0416666666666665</v>
      </c>
      <c r="T54">
        <v>11.999999999999998</v>
      </c>
    </row>
    <row r="55" spans="1:20" x14ac:dyDescent="0.3">
      <c r="A55">
        <v>1</v>
      </c>
      <c r="B55" t="s">
        <v>402</v>
      </c>
      <c r="C55" s="99">
        <v>46028</v>
      </c>
      <c r="D55" t="s">
        <v>97</v>
      </c>
      <c r="E55">
        <v>5</v>
      </c>
      <c r="F55" s="101">
        <v>46028.291666666664</v>
      </c>
      <c r="G55" s="101">
        <v>46028.791666666664</v>
      </c>
      <c r="H55" s="100">
        <v>7.2916666666666671E-2</v>
      </c>
      <c r="I55" s="100"/>
      <c r="J55" s="100"/>
      <c r="K55" s="100"/>
      <c r="L55">
        <v>10.25</v>
      </c>
      <c r="M55">
        <v>12</v>
      </c>
      <c r="N55">
        <v>51.25</v>
      </c>
      <c r="O55">
        <v>60</v>
      </c>
      <c r="P55">
        <v>461</v>
      </c>
      <c r="Q55">
        <v>0.11117136659436008</v>
      </c>
      <c r="R55">
        <v>0.13015184381778741</v>
      </c>
      <c r="S55">
        <v>7.6833333333333336</v>
      </c>
      <c r="T55">
        <v>11.999999999999998</v>
      </c>
    </row>
    <row r="56" spans="1:20" x14ac:dyDescent="0.3">
      <c r="A56">
        <v>1</v>
      </c>
      <c r="B56" t="s">
        <v>402</v>
      </c>
      <c r="C56" s="99">
        <v>46028</v>
      </c>
      <c r="D56" t="s">
        <v>98</v>
      </c>
      <c r="E56">
        <v>22</v>
      </c>
      <c r="F56" s="101">
        <v>46028.291666666664</v>
      </c>
      <c r="G56" s="101">
        <v>46028.791666666664</v>
      </c>
      <c r="H56" s="100">
        <v>7.2916666666666671E-2</v>
      </c>
      <c r="I56" s="100"/>
      <c r="J56" s="100"/>
      <c r="K56" s="100"/>
      <c r="L56">
        <v>10.25</v>
      </c>
      <c r="M56">
        <v>12</v>
      </c>
      <c r="N56">
        <v>225.5</v>
      </c>
      <c r="O56">
        <v>264</v>
      </c>
      <c r="P56">
        <v>500</v>
      </c>
      <c r="Q56">
        <v>0.45100000000000001</v>
      </c>
      <c r="R56">
        <v>0.52800000000000002</v>
      </c>
      <c r="S56">
        <v>1.8939393939393938</v>
      </c>
      <c r="T56">
        <v>11.999999999999998</v>
      </c>
    </row>
    <row r="57" spans="1:20" x14ac:dyDescent="0.3">
      <c r="A57">
        <v>1</v>
      </c>
      <c r="B57" t="s">
        <v>402</v>
      </c>
      <c r="C57" s="99">
        <v>46028</v>
      </c>
      <c r="D57" t="s">
        <v>99</v>
      </c>
      <c r="E57">
        <v>23</v>
      </c>
      <c r="F57" s="101">
        <v>46028.291666666664</v>
      </c>
      <c r="G57" s="101">
        <v>46028.875</v>
      </c>
      <c r="H57" s="100">
        <v>0.10416666666666667</v>
      </c>
      <c r="I57" s="100"/>
      <c r="J57" s="100"/>
      <c r="K57" s="100"/>
      <c r="L57">
        <v>11.5</v>
      </c>
      <c r="M57">
        <v>14</v>
      </c>
      <c r="N57">
        <v>264.5</v>
      </c>
      <c r="O57">
        <v>322</v>
      </c>
      <c r="P57">
        <v>581</v>
      </c>
      <c r="Q57">
        <v>0.45524956970740105</v>
      </c>
      <c r="R57">
        <v>0.55421686746987953</v>
      </c>
      <c r="S57">
        <v>1.8043478260869565</v>
      </c>
      <c r="T57">
        <v>13.999999999999998</v>
      </c>
    </row>
    <row r="58" spans="1:20" x14ac:dyDescent="0.3">
      <c r="A58">
        <v>1</v>
      </c>
      <c r="B58" t="s">
        <v>402</v>
      </c>
      <c r="C58" s="99">
        <v>46029</v>
      </c>
      <c r="D58" t="s">
        <v>96</v>
      </c>
      <c r="E58">
        <v>17</v>
      </c>
      <c r="F58" s="101">
        <v>46029.291666666664</v>
      </c>
      <c r="G58" s="101">
        <v>46029.791666666664</v>
      </c>
      <c r="H58" s="100">
        <v>7.2916666666666671E-2</v>
      </c>
      <c r="I58" s="100"/>
      <c r="J58" s="100"/>
      <c r="K58" s="100"/>
      <c r="L58">
        <v>10.25</v>
      </c>
      <c r="M58">
        <v>12</v>
      </c>
      <c r="N58">
        <v>174.25</v>
      </c>
      <c r="O58">
        <v>204</v>
      </c>
      <c r="P58">
        <v>520</v>
      </c>
      <c r="Q58">
        <v>0.33509615384615382</v>
      </c>
      <c r="R58">
        <v>0.3923076923076923</v>
      </c>
      <c r="S58">
        <v>2.5490196078431371</v>
      </c>
      <c r="T58">
        <v>11.999999999999998</v>
      </c>
    </row>
    <row r="59" spans="1:20" x14ac:dyDescent="0.3">
      <c r="A59">
        <v>1</v>
      </c>
      <c r="B59" t="s">
        <v>402</v>
      </c>
      <c r="C59" s="99">
        <v>46029</v>
      </c>
      <c r="D59" t="s">
        <v>97</v>
      </c>
      <c r="E59">
        <v>5</v>
      </c>
      <c r="F59" s="101">
        <v>46029.291666666664</v>
      </c>
      <c r="G59" s="101">
        <v>46029.791666666664</v>
      </c>
      <c r="H59" s="100">
        <v>7.2916666666666671E-2</v>
      </c>
      <c r="I59" s="100"/>
      <c r="J59" s="100"/>
      <c r="K59" s="100"/>
      <c r="L59">
        <v>10.25</v>
      </c>
      <c r="M59">
        <v>12</v>
      </c>
      <c r="N59">
        <v>51.25</v>
      </c>
      <c r="O59">
        <v>60</v>
      </c>
      <c r="P59">
        <v>468</v>
      </c>
      <c r="Q59">
        <v>0.10950854700854701</v>
      </c>
      <c r="R59">
        <v>0.12820512820512819</v>
      </c>
      <c r="S59">
        <v>7.8000000000000007</v>
      </c>
      <c r="T59">
        <v>11.999999999999998</v>
      </c>
    </row>
    <row r="60" spans="1:20" x14ac:dyDescent="0.3">
      <c r="A60">
        <v>1</v>
      </c>
      <c r="B60" t="s">
        <v>402</v>
      </c>
      <c r="C60" s="99">
        <v>46029</v>
      </c>
      <c r="D60" t="s">
        <v>98</v>
      </c>
      <c r="E60">
        <v>25</v>
      </c>
      <c r="F60" s="101">
        <v>46029.291666666664</v>
      </c>
      <c r="G60" s="101">
        <v>46029.791666666664</v>
      </c>
      <c r="H60" s="100">
        <v>7.2916666666666671E-2</v>
      </c>
      <c r="I60" s="100"/>
      <c r="J60" s="100"/>
      <c r="K60" s="100"/>
      <c r="L60">
        <v>10.25</v>
      </c>
      <c r="M60">
        <v>12</v>
      </c>
      <c r="N60">
        <v>256.25</v>
      </c>
      <c r="O60">
        <v>300</v>
      </c>
      <c r="P60">
        <v>500</v>
      </c>
      <c r="Q60">
        <v>0.51249999999999996</v>
      </c>
      <c r="R60">
        <v>0.6</v>
      </c>
      <c r="S60">
        <v>1.6666666666666667</v>
      </c>
      <c r="T60">
        <v>11.999999999999998</v>
      </c>
    </row>
    <row r="61" spans="1:20" x14ac:dyDescent="0.3">
      <c r="A61">
        <v>1</v>
      </c>
      <c r="B61" t="s">
        <v>402</v>
      </c>
      <c r="C61" s="99">
        <v>46029</v>
      </c>
      <c r="D61" t="s">
        <v>99</v>
      </c>
      <c r="E61">
        <v>21</v>
      </c>
      <c r="F61" s="101">
        <v>46029.291666666664</v>
      </c>
      <c r="G61" s="101">
        <v>46029.791666666664</v>
      </c>
      <c r="H61" s="100">
        <v>7.2916666666666671E-2</v>
      </c>
      <c r="I61" s="100"/>
      <c r="J61" s="100"/>
      <c r="K61" s="100"/>
      <c r="L61">
        <v>10.25</v>
      </c>
      <c r="M61">
        <v>12</v>
      </c>
      <c r="N61">
        <v>215.25</v>
      </c>
      <c r="O61">
        <v>252</v>
      </c>
      <c r="P61">
        <v>401</v>
      </c>
      <c r="Q61">
        <v>0.53678304239401498</v>
      </c>
      <c r="R61">
        <v>0.62842892768079806</v>
      </c>
      <c r="S61">
        <v>1.5912698412698412</v>
      </c>
      <c r="T61">
        <v>11.999999999999998</v>
      </c>
    </row>
    <row r="62" spans="1:20" x14ac:dyDescent="0.3">
      <c r="A62">
        <v>1</v>
      </c>
      <c r="B62" t="s">
        <v>402</v>
      </c>
      <c r="C62" s="99">
        <v>46030</v>
      </c>
      <c r="D62" t="s">
        <v>96</v>
      </c>
      <c r="E62">
        <v>17</v>
      </c>
      <c r="F62" s="101">
        <v>46030.291666666664</v>
      </c>
      <c r="G62" s="101">
        <v>46030.791666666664</v>
      </c>
      <c r="H62" s="100">
        <v>7.2916666666666671E-2</v>
      </c>
      <c r="I62" s="100"/>
      <c r="J62" s="100"/>
      <c r="K62" s="100"/>
      <c r="L62">
        <v>10.25</v>
      </c>
      <c r="M62">
        <v>12</v>
      </c>
      <c r="N62">
        <v>174.25</v>
      </c>
      <c r="O62">
        <v>204</v>
      </c>
      <c r="P62">
        <v>423</v>
      </c>
      <c r="Q62">
        <v>0.41193853427895982</v>
      </c>
      <c r="R62">
        <v>0.48226950354609927</v>
      </c>
      <c r="S62">
        <v>2.0735294117647061</v>
      </c>
      <c r="T62">
        <v>11.999999999999998</v>
      </c>
    </row>
    <row r="63" spans="1:20" x14ac:dyDescent="0.3">
      <c r="A63">
        <v>1</v>
      </c>
      <c r="B63" t="s">
        <v>402</v>
      </c>
      <c r="C63" s="99">
        <v>46030</v>
      </c>
      <c r="D63" t="s">
        <v>97</v>
      </c>
      <c r="E63">
        <v>5</v>
      </c>
      <c r="F63" s="101">
        <v>46030.291666666664</v>
      </c>
      <c r="G63" s="101">
        <v>46030.791666666664</v>
      </c>
      <c r="H63" s="100">
        <v>7.2916666666666671E-2</v>
      </c>
      <c r="I63" s="100"/>
      <c r="J63" s="100"/>
      <c r="K63" s="100"/>
      <c r="L63">
        <v>10.25</v>
      </c>
      <c r="M63">
        <v>12</v>
      </c>
      <c r="N63">
        <v>51.25</v>
      </c>
      <c r="O63">
        <v>60</v>
      </c>
      <c r="P63">
        <v>449</v>
      </c>
      <c r="Q63">
        <v>0.11414253897550111</v>
      </c>
      <c r="R63">
        <v>0.133630289532294</v>
      </c>
      <c r="S63">
        <v>7.4833333333333325</v>
      </c>
      <c r="T63">
        <v>11.999999999999998</v>
      </c>
    </row>
    <row r="64" spans="1:20" x14ac:dyDescent="0.3">
      <c r="A64">
        <v>1</v>
      </c>
      <c r="B64" t="s">
        <v>402</v>
      </c>
      <c r="C64" s="99">
        <v>46030</v>
      </c>
      <c r="D64" t="s">
        <v>98</v>
      </c>
      <c r="E64">
        <v>25</v>
      </c>
      <c r="F64" s="101">
        <v>46030.291666666664</v>
      </c>
      <c r="G64" s="101">
        <v>46030.791666666664</v>
      </c>
      <c r="H64" s="100">
        <v>7.2916666666666671E-2</v>
      </c>
      <c r="I64" s="100"/>
      <c r="J64" s="100"/>
      <c r="K64" s="100"/>
      <c r="L64">
        <v>10.25</v>
      </c>
      <c r="M64">
        <v>12</v>
      </c>
      <c r="N64">
        <v>256.25</v>
      </c>
      <c r="O64">
        <v>300</v>
      </c>
      <c r="P64">
        <v>511</v>
      </c>
      <c r="Q64">
        <v>0.50146771037181992</v>
      </c>
      <c r="R64">
        <v>0.58708414872798431</v>
      </c>
      <c r="S64">
        <v>1.7033333333333334</v>
      </c>
      <c r="T64">
        <v>11.999999999999998</v>
      </c>
    </row>
    <row r="65" spans="1:20" x14ac:dyDescent="0.3">
      <c r="A65">
        <v>1</v>
      </c>
      <c r="B65" t="s">
        <v>402</v>
      </c>
      <c r="C65" s="99">
        <v>46030</v>
      </c>
      <c r="D65" t="s">
        <v>99</v>
      </c>
      <c r="E65">
        <v>21</v>
      </c>
      <c r="F65" s="101">
        <v>46030.291666666664</v>
      </c>
      <c r="G65" s="101">
        <v>46030.791666666664</v>
      </c>
      <c r="H65" s="100">
        <v>7.2916666666666671E-2</v>
      </c>
      <c r="I65" s="100"/>
      <c r="J65" s="100"/>
      <c r="K65" s="100"/>
      <c r="L65">
        <v>10.25</v>
      </c>
      <c r="M65">
        <v>12</v>
      </c>
      <c r="N65">
        <v>215.25</v>
      </c>
      <c r="O65">
        <v>252</v>
      </c>
      <c r="P65">
        <v>430</v>
      </c>
      <c r="Q65">
        <v>0.50058139534883717</v>
      </c>
      <c r="R65">
        <v>0.586046511627907</v>
      </c>
      <c r="S65">
        <v>1.7063492063492063</v>
      </c>
      <c r="T65">
        <v>11.999999999999998</v>
      </c>
    </row>
    <row r="66" spans="1:20" x14ac:dyDescent="0.3">
      <c r="A66">
        <v>1</v>
      </c>
      <c r="B66" t="s">
        <v>402</v>
      </c>
      <c r="C66" s="99">
        <v>46031</v>
      </c>
      <c r="D66" t="s">
        <v>96</v>
      </c>
      <c r="E66">
        <v>16</v>
      </c>
      <c r="F66" s="101">
        <v>46031.291666666664</v>
      </c>
      <c r="G66" s="101">
        <v>46031.791666666664</v>
      </c>
      <c r="H66" s="100">
        <v>7.2916666666666671E-2</v>
      </c>
      <c r="I66" s="100"/>
      <c r="J66" s="100"/>
      <c r="K66" s="100"/>
      <c r="L66">
        <v>10.25</v>
      </c>
      <c r="M66">
        <v>12</v>
      </c>
      <c r="N66">
        <v>164</v>
      </c>
      <c r="O66">
        <v>192</v>
      </c>
      <c r="P66">
        <v>399</v>
      </c>
      <c r="Q66">
        <v>0.41102756892230574</v>
      </c>
      <c r="R66">
        <v>0.48120300751879697</v>
      </c>
      <c r="S66">
        <v>2.078125</v>
      </c>
      <c r="T66">
        <v>11.999999999999998</v>
      </c>
    </row>
    <row r="67" spans="1:20" x14ac:dyDescent="0.3">
      <c r="A67">
        <v>1</v>
      </c>
      <c r="B67" t="s">
        <v>402</v>
      </c>
      <c r="C67" s="99">
        <v>46031</v>
      </c>
      <c r="D67" t="s">
        <v>97</v>
      </c>
      <c r="E67">
        <v>5</v>
      </c>
      <c r="F67" s="101">
        <v>46031.291666666664</v>
      </c>
      <c r="G67" s="101">
        <v>46031.791666666664</v>
      </c>
      <c r="H67" s="100">
        <v>7.2916666666666671E-2</v>
      </c>
      <c r="I67" s="100"/>
      <c r="J67" s="100"/>
      <c r="K67" s="100"/>
      <c r="L67">
        <v>10.25</v>
      </c>
      <c r="M67">
        <v>12</v>
      </c>
      <c r="N67">
        <v>51.25</v>
      </c>
      <c r="O67">
        <v>60</v>
      </c>
      <c r="P67">
        <v>477</v>
      </c>
      <c r="Q67">
        <v>0.10744234800838574</v>
      </c>
      <c r="R67">
        <v>0.12578616352201258</v>
      </c>
      <c r="S67">
        <v>7.95</v>
      </c>
      <c r="T67">
        <v>11.999999999999998</v>
      </c>
    </row>
    <row r="68" spans="1:20" x14ac:dyDescent="0.3">
      <c r="A68">
        <v>1</v>
      </c>
      <c r="B68" t="s">
        <v>402</v>
      </c>
      <c r="C68" s="99">
        <v>46031</v>
      </c>
      <c r="D68" t="s">
        <v>98</v>
      </c>
      <c r="E68">
        <v>26</v>
      </c>
      <c r="F68" s="101">
        <v>46031.291666666664</v>
      </c>
      <c r="G68" s="101">
        <v>46031.791666666664</v>
      </c>
      <c r="H68" s="100">
        <v>7.2916666666666671E-2</v>
      </c>
      <c r="I68" s="100">
        <v>4.7222222222222221E-2</v>
      </c>
      <c r="J68" s="100"/>
      <c r="K68" s="100"/>
      <c r="L68">
        <v>9.1166666666666671</v>
      </c>
      <c r="M68">
        <v>12</v>
      </c>
      <c r="N68">
        <v>237.03333333333336</v>
      </c>
      <c r="O68">
        <v>312</v>
      </c>
      <c r="P68">
        <v>339</v>
      </c>
      <c r="Q68">
        <v>0.69921337266470018</v>
      </c>
      <c r="R68">
        <v>0.92035398230088494</v>
      </c>
      <c r="S68">
        <v>1.0865384615384615</v>
      </c>
      <c r="T68">
        <v>11.999999999999998</v>
      </c>
    </row>
    <row r="69" spans="1:20" x14ac:dyDescent="0.3">
      <c r="A69">
        <v>1</v>
      </c>
      <c r="B69" t="s">
        <v>402</v>
      </c>
      <c r="C69" s="99">
        <v>46031</v>
      </c>
      <c r="D69" t="s">
        <v>99</v>
      </c>
      <c r="E69">
        <v>21</v>
      </c>
      <c r="F69" s="101">
        <v>46031.291666666664</v>
      </c>
      <c r="G69" s="101">
        <v>46031.791666666664</v>
      </c>
      <c r="H69" s="100">
        <v>7.2916666666666671E-2</v>
      </c>
      <c r="I69" s="100"/>
      <c r="J69" s="100"/>
      <c r="K69" s="100"/>
      <c r="L69">
        <v>10.25</v>
      </c>
      <c r="M69">
        <v>12</v>
      </c>
      <c r="N69">
        <v>215.25</v>
      </c>
      <c r="O69">
        <v>252</v>
      </c>
      <c r="P69">
        <v>263</v>
      </c>
      <c r="Q69">
        <v>0.8184410646387833</v>
      </c>
      <c r="R69">
        <v>0.95817490494296575</v>
      </c>
      <c r="S69">
        <v>1.0436507936507937</v>
      </c>
      <c r="T69">
        <v>11.999999999999998</v>
      </c>
    </row>
    <row r="70" spans="1:20" x14ac:dyDescent="0.3">
      <c r="A70">
        <v>1</v>
      </c>
      <c r="B70" t="s">
        <v>402</v>
      </c>
      <c r="C70" s="99">
        <v>46032</v>
      </c>
      <c r="D70" t="s">
        <v>96</v>
      </c>
      <c r="E70">
        <v>21</v>
      </c>
      <c r="F70" s="101">
        <v>46032.291666666664</v>
      </c>
      <c r="G70" s="101">
        <v>46032.791666666664</v>
      </c>
      <c r="H70" s="100">
        <v>7.2916666666666671E-2</v>
      </c>
      <c r="I70" s="100"/>
      <c r="J70" s="100"/>
      <c r="K70" s="100"/>
      <c r="L70">
        <v>10.25</v>
      </c>
      <c r="M70">
        <v>12</v>
      </c>
      <c r="N70">
        <v>215.25</v>
      </c>
      <c r="O70">
        <v>252</v>
      </c>
      <c r="P70">
        <v>448</v>
      </c>
      <c r="Q70">
        <v>0.48046875</v>
      </c>
      <c r="R70">
        <v>0.5625</v>
      </c>
      <c r="S70">
        <v>1.7777777777777777</v>
      </c>
      <c r="T70">
        <v>11.999999999999998</v>
      </c>
    </row>
    <row r="71" spans="1:20" x14ac:dyDescent="0.3">
      <c r="A71">
        <v>1</v>
      </c>
      <c r="B71" t="s">
        <v>402</v>
      </c>
      <c r="C71" s="99">
        <v>46032</v>
      </c>
      <c r="D71" t="s">
        <v>97</v>
      </c>
      <c r="E71">
        <v>5</v>
      </c>
      <c r="F71" s="101">
        <v>46032.291666666664</v>
      </c>
      <c r="G71" s="101">
        <v>46032.791666666664</v>
      </c>
      <c r="H71" s="100">
        <v>7.2916666666666671E-2</v>
      </c>
      <c r="I71" s="100"/>
      <c r="J71" s="100"/>
      <c r="K71" s="100"/>
      <c r="L71">
        <v>10.25</v>
      </c>
      <c r="M71">
        <v>12</v>
      </c>
      <c r="N71">
        <v>51.25</v>
      </c>
      <c r="O71">
        <v>60</v>
      </c>
      <c r="P71">
        <v>440</v>
      </c>
      <c r="Q71">
        <v>0.11647727272727272</v>
      </c>
      <c r="R71">
        <v>0.13636363636363635</v>
      </c>
      <c r="S71">
        <v>7.3333333333333339</v>
      </c>
      <c r="T71">
        <v>11.999999999999998</v>
      </c>
    </row>
    <row r="72" spans="1:20" x14ac:dyDescent="0.3">
      <c r="A72">
        <v>1</v>
      </c>
      <c r="B72" t="s">
        <v>402</v>
      </c>
      <c r="C72" s="99">
        <v>46032</v>
      </c>
      <c r="D72" t="s">
        <v>98</v>
      </c>
      <c r="E72">
        <v>22</v>
      </c>
      <c r="F72" s="101">
        <v>46032.291666666664</v>
      </c>
      <c r="G72" s="101">
        <v>46032.791666666664</v>
      </c>
      <c r="H72" s="100">
        <v>7.2916666666666671E-2</v>
      </c>
      <c r="I72" s="100">
        <v>0.10138888888888889</v>
      </c>
      <c r="J72" s="100"/>
      <c r="K72" s="100"/>
      <c r="L72">
        <v>7.8166666666666664</v>
      </c>
      <c r="M72">
        <v>12</v>
      </c>
      <c r="N72">
        <v>171.96666666666667</v>
      </c>
      <c r="O72">
        <v>264</v>
      </c>
      <c r="P72">
        <v>339</v>
      </c>
      <c r="Q72">
        <v>0.50727630285152414</v>
      </c>
      <c r="R72">
        <v>0.77876106194690264</v>
      </c>
      <c r="S72">
        <v>1.2840909090909092</v>
      </c>
      <c r="T72">
        <v>11.999999999999998</v>
      </c>
    </row>
    <row r="73" spans="1:20" x14ac:dyDescent="0.3">
      <c r="A73">
        <v>1</v>
      </c>
      <c r="B73" t="s">
        <v>402</v>
      </c>
      <c r="C73" s="99">
        <v>46032</v>
      </c>
      <c r="D73" t="s">
        <v>99</v>
      </c>
      <c r="E73">
        <v>22</v>
      </c>
      <c r="F73" s="101">
        <v>46032.291666666664</v>
      </c>
      <c r="G73" s="101">
        <v>46032.791666666664</v>
      </c>
      <c r="H73" s="100">
        <v>7.2916666666666671E-2</v>
      </c>
      <c r="I73" s="100">
        <v>9.7222222222222224E-2</v>
      </c>
      <c r="J73" s="100"/>
      <c r="K73" s="100"/>
      <c r="L73">
        <v>7.916666666666667</v>
      </c>
      <c r="M73">
        <v>12</v>
      </c>
      <c r="N73">
        <v>174.16666666666669</v>
      </c>
      <c r="O73">
        <v>264</v>
      </c>
      <c r="P73">
        <v>240</v>
      </c>
      <c r="Q73">
        <v>0.72569444444444453</v>
      </c>
      <c r="R73">
        <v>1.1000000000000001</v>
      </c>
      <c r="S73">
        <v>0.90909090909090906</v>
      </c>
      <c r="T73">
        <v>11.999999999999998</v>
      </c>
    </row>
    <row r="74" spans="1:20" x14ac:dyDescent="0.3">
      <c r="A74">
        <v>1</v>
      </c>
      <c r="B74" t="s">
        <v>402</v>
      </c>
      <c r="C74" s="99">
        <v>46033</v>
      </c>
      <c r="D74" t="s">
        <v>98</v>
      </c>
      <c r="E74">
        <v>20</v>
      </c>
      <c r="F74" s="101">
        <v>46033.541666666664</v>
      </c>
      <c r="G74" s="101">
        <v>46033.666666666664</v>
      </c>
      <c r="H74" s="100">
        <v>6.9444444444444441E-3</v>
      </c>
      <c r="I74" s="100"/>
      <c r="J74" s="100"/>
      <c r="K74" s="100"/>
      <c r="L74">
        <v>2.8333333333333335</v>
      </c>
      <c r="M74">
        <v>3</v>
      </c>
      <c r="N74">
        <v>56.666666666666671</v>
      </c>
      <c r="O74">
        <v>60</v>
      </c>
      <c r="P74">
        <v>132</v>
      </c>
      <c r="Q74">
        <v>0.42929292929292934</v>
      </c>
      <c r="R74">
        <v>0.45454545454545453</v>
      </c>
      <c r="S74">
        <v>2.2000000000000002</v>
      </c>
      <c r="T74">
        <v>3</v>
      </c>
    </row>
    <row r="75" spans="1:20" x14ac:dyDescent="0.3">
      <c r="A75">
        <v>1</v>
      </c>
      <c r="B75" t="s">
        <v>402</v>
      </c>
      <c r="C75" s="99">
        <v>46034</v>
      </c>
      <c r="D75" t="s">
        <v>96</v>
      </c>
      <c r="E75">
        <v>19</v>
      </c>
      <c r="F75" s="101">
        <v>46034.291666666664</v>
      </c>
      <c r="G75" s="101">
        <v>46034.416666666664</v>
      </c>
      <c r="H75" s="100">
        <v>6.9444444444444441E-3</v>
      </c>
      <c r="I75" s="100"/>
      <c r="J75" s="100"/>
      <c r="K75" s="100"/>
      <c r="L75">
        <v>2.8333333333333335</v>
      </c>
      <c r="M75">
        <v>3</v>
      </c>
      <c r="N75">
        <v>53.833333333333336</v>
      </c>
      <c r="O75">
        <v>57</v>
      </c>
      <c r="P75">
        <v>85</v>
      </c>
      <c r="Q75">
        <v>0.63333333333333341</v>
      </c>
      <c r="R75">
        <v>0.6705882352941176</v>
      </c>
      <c r="S75">
        <v>1.4912280701754388</v>
      </c>
      <c r="T75">
        <v>3</v>
      </c>
    </row>
    <row r="76" spans="1:20" x14ac:dyDescent="0.3">
      <c r="A76">
        <v>1</v>
      </c>
      <c r="B76" t="s">
        <v>402</v>
      </c>
      <c r="C76" s="99">
        <v>46034</v>
      </c>
      <c r="D76" t="s">
        <v>97</v>
      </c>
      <c r="E76">
        <v>5</v>
      </c>
      <c r="F76" s="101">
        <v>46034.291666666664</v>
      </c>
      <c r="G76" s="101">
        <v>46034.416666666664</v>
      </c>
      <c r="H76" s="100">
        <v>6.9444444444444441E-3</v>
      </c>
      <c r="I76" s="100"/>
      <c r="J76" s="100"/>
      <c r="K76" s="100"/>
      <c r="L76">
        <v>2.8333333333333335</v>
      </c>
      <c r="M76">
        <v>3</v>
      </c>
      <c r="N76">
        <v>14.166666666666668</v>
      </c>
      <c r="O76">
        <v>15</v>
      </c>
      <c r="P76">
        <v>95</v>
      </c>
      <c r="Q76">
        <v>0.14912280701754388</v>
      </c>
      <c r="R76">
        <v>0.15789473684210525</v>
      </c>
      <c r="S76">
        <v>6.3333333333333339</v>
      </c>
      <c r="T76">
        <v>3</v>
      </c>
    </row>
    <row r="77" spans="1:20" x14ac:dyDescent="0.3">
      <c r="A77">
        <v>1</v>
      </c>
      <c r="B77" t="s">
        <v>402</v>
      </c>
      <c r="C77" s="99">
        <v>46034</v>
      </c>
      <c r="D77" t="s">
        <v>98</v>
      </c>
      <c r="E77">
        <v>24</v>
      </c>
      <c r="F77" s="101">
        <v>46034.291666666664</v>
      </c>
      <c r="G77" s="101">
        <v>46034.791666666664</v>
      </c>
      <c r="H77" s="100">
        <v>7.2916666666666671E-2</v>
      </c>
      <c r="I77" s="100"/>
      <c r="J77" s="100"/>
      <c r="K77" s="100"/>
      <c r="L77">
        <v>10.25</v>
      </c>
      <c r="M77">
        <v>12</v>
      </c>
      <c r="N77">
        <v>246</v>
      </c>
      <c r="O77">
        <v>288</v>
      </c>
      <c r="P77">
        <v>431</v>
      </c>
      <c r="Q77">
        <v>0.57076566125290018</v>
      </c>
      <c r="R77">
        <v>0.6682134570765661</v>
      </c>
      <c r="S77">
        <v>1.4965277777777779</v>
      </c>
      <c r="T77">
        <v>11.999999999999998</v>
      </c>
    </row>
    <row r="78" spans="1:20" x14ac:dyDescent="0.3">
      <c r="A78">
        <v>1</v>
      </c>
      <c r="B78" t="s">
        <v>402</v>
      </c>
      <c r="C78" s="99">
        <v>46034</v>
      </c>
      <c r="D78" t="s">
        <v>99</v>
      </c>
      <c r="E78">
        <v>20</v>
      </c>
      <c r="F78" s="101">
        <v>46034.291666666664</v>
      </c>
      <c r="G78" s="101">
        <v>46034.875</v>
      </c>
      <c r="H78" s="100">
        <v>0.10416666666666667</v>
      </c>
      <c r="I78" s="100"/>
      <c r="J78" s="100"/>
      <c r="K78" s="100"/>
      <c r="L78">
        <v>11.5</v>
      </c>
      <c r="M78">
        <v>14</v>
      </c>
      <c r="N78">
        <v>230</v>
      </c>
      <c r="O78">
        <v>280</v>
      </c>
      <c r="P78">
        <v>350</v>
      </c>
      <c r="Q78">
        <v>0.65714285714285714</v>
      </c>
      <c r="R78">
        <v>0.8</v>
      </c>
      <c r="S78">
        <v>1.25</v>
      </c>
      <c r="T78">
        <v>13.999999999999998</v>
      </c>
    </row>
    <row r="79" spans="1:20" x14ac:dyDescent="0.3">
      <c r="A79">
        <v>1</v>
      </c>
      <c r="B79" t="s">
        <v>402</v>
      </c>
      <c r="C79" s="99">
        <v>46035</v>
      </c>
      <c r="D79" t="s">
        <v>96</v>
      </c>
      <c r="E79">
        <v>20</v>
      </c>
      <c r="F79" s="101">
        <v>46035.291666666664</v>
      </c>
      <c r="G79" s="101">
        <v>46035.791666666664</v>
      </c>
      <c r="H79" s="100">
        <v>7.2916666666666671E-2</v>
      </c>
      <c r="I79" s="100"/>
      <c r="J79" s="100"/>
      <c r="K79" s="100"/>
      <c r="L79">
        <v>10.25</v>
      </c>
      <c r="M79">
        <v>12</v>
      </c>
      <c r="N79">
        <v>205</v>
      </c>
      <c r="O79">
        <v>240</v>
      </c>
      <c r="P79">
        <v>500</v>
      </c>
      <c r="Q79">
        <v>0.41</v>
      </c>
      <c r="R79">
        <v>0.48</v>
      </c>
      <c r="S79">
        <v>2.0833333333333335</v>
      </c>
      <c r="T79">
        <v>11.999999999999998</v>
      </c>
    </row>
    <row r="80" spans="1:20" x14ac:dyDescent="0.3">
      <c r="A80">
        <v>1</v>
      </c>
      <c r="B80" t="s">
        <v>402</v>
      </c>
      <c r="C80" s="99">
        <v>46035</v>
      </c>
      <c r="D80" t="s">
        <v>97</v>
      </c>
      <c r="E80">
        <v>5</v>
      </c>
      <c r="F80" s="101">
        <v>46035.291666666664</v>
      </c>
      <c r="G80" s="101">
        <v>46035.791666666664</v>
      </c>
      <c r="H80" s="100">
        <v>7.2916666666666671E-2</v>
      </c>
      <c r="I80" s="100"/>
      <c r="J80" s="100"/>
      <c r="K80" s="100"/>
      <c r="L80">
        <v>10.25</v>
      </c>
      <c r="M80">
        <v>12</v>
      </c>
      <c r="N80">
        <v>51.25</v>
      </c>
      <c r="O80">
        <v>60</v>
      </c>
      <c r="P80">
        <v>456</v>
      </c>
      <c r="Q80">
        <v>0.11239035087719298</v>
      </c>
      <c r="R80">
        <v>0.13157894736842105</v>
      </c>
      <c r="S80">
        <v>7.6000000000000005</v>
      </c>
      <c r="T80">
        <v>11.999999999999998</v>
      </c>
    </row>
    <row r="81" spans="1:20" x14ac:dyDescent="0.3">
      <c r="A81">
        <v>1</v>
      </c>
      <c r="B81" t="s">
        <v>402</v>
      </c>
      <c r="C81" s="99">
        <v>46035</v>
      </c>
      <c r="D81" t="s">
        <v>98</v>
      </c>
      <c r="E81">
        <v>22</v>
      </c>
      <c r="F81" s="101">
        <v>46035.291666666664</v>
      </c>
      <c r="G81" s="101">
        <v>46035.791666666664</v>
      </c>
      <c r="H81" s="100">
        <v>7.2916666666666671E-2</v>
      </c>
      <c r="I81" s="100">
        <v>4.7222222222222221E-2</v>
      </c>
      <c r="J81" s="100"/>
      <c r="K81" s="100"/>
      <c r="L81">
        <v>9.1166666666666671</v>
      </c>
      <c r="M81">
        <v>12</v>
      </c>
      <c r="N81">
        <v>200.56666666666666</v>
      </c>
      <c r="O81">
        <v>264</v>
      </c>
      <c r="P81">
        <v>385</v>
      </c>
      <c r="Q81">
        <v>0.52095238095238094</v>
      </c>
      <c r="R81">
        <v>0.68571428571428572</v>
      </c>
      <c r="S81">
        <v>1.4583333333333333</v>
      </c>
      <c r="T81">
        <v>11.999999999999998</v>
      </c>
    </row>
    <row r="82" spans="1:20" x14ac:dyDescent="0.3">
      <c r="A82">
        <v>1</v>
      </c>
      <c r="B82" t="s">
        <v>402</v>
      </c>
      <c r="C82" s="99">
        <v>46035</v>
      </c>
      <c r="D82" t="s">
        <v>99</v>
      </c>
      <c r="E82">
        <v>20</v>
      </c>
      <c r="F82" s="101">
        <v>46035.291666666664</v>
      </c>
      <c r="G82" s="101">
        <v>46035.875</v>
      </c>
      <c r="H82" s="100">
        <v>7.2916666666666671E-2</v>
      </c>
      <c r="I82" s="100"/>
      <c r="J82" s="100"/>
      <c r="K82" s="100"/>
      <c r="L82">
        <v>12.25</v>
      </c>
      <c r="M82">
        <v>14</v>
      </c>
      <c r="N82">
        <v>245</v>
      </c>
      <c r="O82">
        <v>280</v>
      </c>
      <c r="P82">
        <v>328</v>
      </c>
      <c r="Q82">
        <v>0.74695121951219512</v>
      </c>
      <c r="R82">
        <v>0.85365853658536583</v>
      </c>
      <c r="S82">
        <v>1.1714285714285715</v>
      </c>
      <c r="T82">
        <v>13.999999999999998</v>
      </c>
    </row>
    <row r="83" spans="1:20" x14ac:dyDescent="0.3">
      <c r="A83">
        <v>1</v>
      </c>
      <c r="B83" t="s">
        <v>402</v>
      </c>
      <c r="C83" s="99">
        <v>46036</v>
      </c>
      <c r="D83" t="s">
        <v>96</v>
      </c>
      <c r="E83">
        <v>21</v>
      </c>
      <c r="F83" s="101">
        <v>46036.291666666664</v>
      </c>
      <c r="G83" s="101">
        <v>46036.791666666664</v>
      </c>
      <c r="H83" s="100">
        <v>7.2916666666666671E-2</v>
      </c>
      <c r="I83" s="100"/>
      <c r="J83" s="100"/>
      <c r="K83" s="100"/>
      <c r="L83">
        <v>10.25</v>
      </c>
      <c r="M83">
        <v>12</v>
      </c>
      <c r="N83">
        <v>215.25</v>
      </c>
      <c r="O83">
        <v>252</v>
      </c>
      <c r="P83">
        <v>501</v>
      </c>
      <c r="Q83">
        <v>0.42964071856287422</v>
      </c>
      <c r="R83">
        <v>0.50299401197604787</v>
      </c>
      <c r="S83">
        <v>1.9880952380952381</v>
      </c>
      <c r="T83">
        <v>11.999999999999998</v>
      </c>
    </row>
    <row r="84" spans="1:20" x14ac:dyDescent="0.3">
      <c r="A84">
        <v>1</v>
      </c>
      <c r="B84" t="s">
        <v>402</v>
      </c>
      <c r="C84" s="99">
        <v>46036</v>
      </c>
      <c r="D84" t="s">
        <v>97</v>
      </c>
      <c r="E84">
        <v>5</v>
      </c>
      <c r="F84" s="101">
        <v>46036.291666666664</v>
      </c>
      <c r="G84" s="101">
        <v>46036.791666666664</v>
      </c>
      <c r="H84" s="100">
        <v>7.2916666666666671E-2</v>
      </c>
      <c r="I84" s="100"/>
      <c r="J84" s="100"/>
      <c r="K84" s="100"/>
      <c r="L84">
        <v>10.25</v>
      </c>
      <c r="M84">
        <v>12</v>
      </c>
      <c r="N84">
        <v>51.25</v>
      </c>
      <c r="O84">
        <v>60</v>
      </c>
      <c r="P84">
        <v>442</v>
      </c>
      <c r="Q84">
        <v>0.1159502262443439</v>
      </c>
      <c r="R84">
        <v>0.13574660633484162</v>
      </c>
      <c r="S84">
        <v>7.3666666666666671</v>
      </c>
      <c r="T84">
        <v>11.999999999999998</v>
      </c>
    </row>
    <row r="85" spans="1:20" x14ac:dyDescent="0.3">
      <c r="A85">
        <v>1</v>
      </c>
      <c r="B85" t="s">
        <v>402</v>
      </c>
      <c r="C85" s="99">
        <v>46036</v>
      </c>
      <c r="D85" t="s">
        <v>98</v>
      </c>
      <c r="E85">
        <v>24</v>
      </c>
      <c r="F85" s="101">
        <v>46036.291666666664</v>
      </c>
      <c r="G85" s="101">
        <v>46036.791666666664</v>
      </c>
      <c r="H85" s="100">
        <v>7.2916666666666671E-2</v>
      </c>
      <c r="I85" s="100">
        <v>8.5416666666666669E-2</v>
      </c>
      <c r="J85" s="100"/>
      <c r="K85" s="100"/>
      <c r="L85">
        <v>8.1999999999999993</v>
      </c>
      <c r="M85">
        <v>12</v>
      </c>
      <c r="N85">
        <v>196.79999999999998</v>
      </c>
      <c r="O85">
        <v>288</v>
      </c>
      <c r="P85">
        <v>373</v>
      </c>
      <c r="Q85">
        <v>0.52761394101876669</v>
      </c>
      <c r="R85">
        <v>0.77211796246648789</v>
      </c>
      <c r="S85">
        <v>1.2951388888888891</v>
      </c>
      <c r="T85">
        <v>11.999999999999998</v>
      </c>
    </row>
    <row r="86" spans="1:20" x14ac:dyDescent="0.3">
      <c r="A86">
        <v>1</v>
      </c>
      <c r="B86" t="s">
        <v>402</v>
      </c>
      <c r="C86" s="99">
        <v>46036</v>
      </c>
      <c r="D86" t="s">
        <v>99</v>
      </c>
      <c r="E86">
        <v>24</v>
      </c>
      <c r="F86" s="101">
        <v>46036.291666666664</v>
      </c>
      <c r="G86" s="101">
        <v>46036.875</v>
      </c>
      <c r="H86" s="100">
        <v>7.2916666666666671E-2</v>
      </c>
      <c r="I86" s="100"/>
      <c r="J86" s="100"/>
      <c r="K86" s="100"/>
      <c r="L86">
        <v>12.25</v>
      </c>
      <c r="M86">
        <v>14</v>
      </c>
      <c r="N86">
        <v>294</v>
      </c>
      <c r="O86">
        <v>336</v>
      </c>
      <c r="P86">
        <v>352</v>
      </c>
      <c r="Q86">
        <v>0.83522727272727271</v>
      </c>
      <c r="R86">
        <v>0.95454545454545459</v>
      </c>
      <c r="S86">
        <v>1.0476190476190477</v>
      </c>
      <c r="T86">
        <v>13.999999999999998</v>
      </c>
    </row>
    <row r="87" spans="1:20" x14ac:dyDescent="0.3">
      <c r="A87">
        <v>1</v>
      </c>
      <c r="B87" t="s">
        <v>402</v>
      </c>
      <c r="C87" s="99">
        <v>46037</v>
      </c>
      <c r="D87" t="s">
        <v>96</v>
      </c>
      <c r="E87">
        <v>20</v>
      </c>
      <c r="F87" s="101">
        <v>46037.291666666664</v>
      </c>
      <c r="G87" s="101">
        <v>46037.791666666664</v>
      </c>
      <c r="H87" s="100">
        <v>7.2916666666666671E-2</v>
      </c>
      <c r="I87" s="100"/>
      <c r="J87" s="100"/>
      <c r="K87" s="100"/>
      <c r="L87">
        <v>10.25</v>
      </c>
      <c r="M87">
        <v>12</v>
      </c>
      <c r="N87">
        <v>205</v>
      </c>
      <c r="O87">
        <v>240</v>
      </c>
      <c r="P87">
        <v>450</v>
      </c>
      <c r="Q87">
        <v>0.45555555555555555</v>
      </c>
      <c r="R87">
        <v>0.53333333333333333</v>
      </c>
      <c r="S87">
        <v>1.875</v>
      </c>
      <c r="T87">
        <v>11.999999999999998</v>
      </c>
    </row>
    <row r="88" spans="1:20" x14ac:dyDescent="0.3">
      <c r="A88">
        <v>1</v>
      </c>
      <c r="B88" t="s">
        <v>402</v>
      </c>
      <c r="C88" s="99">
        <v>46037</v>
      </c>
      <c r="D88" t="s">
        <v>97</v>
      </c>
      <c r="E88">
        <v>5</v>
      </c>
      <c r="F88" s="101">
        <v>46037.291666666664</v>
      </c>
      <c r="G88" s="101">
        <v>46037.791666666664</v>
      </c>
      <c r="H88" s="100">
        <v>7.2916666666666671E-2</v>
      </c>
      <c r="I88" s="100"/>
      <c r="J88" s="100"/>
      <c r="K88" s="100"/>
      <c r="L88">
        <v>10.25</v>
      </c>
      <c r="M88">
        <v>12</v>
      </c>
      <c r="N88">
        <v>51.25</v>
      </c>
      <c r="O88">
        <v>60</v>
      </c>
      <c r="P88">
        <v>462</v>
      </c>
      <c r="Q88">
        <v>0.11093073593073594</v>
      </c>
      <c r="R88">
        <v>0.12987012987012986</v>
      </c>
      <c r="S88">
        <v>7.7000000000000011</v>
      </c>
      <c r="T88">
        <v>11.999999999999998</v>
      </c>
    </row>
    <row r="89" spans="1:20" x14ac:dyDescent="0.3">
      <c r="A89">
        <v>1</v>
      </c>
      <c r="B89" t="s">
        <v>402</v>
      </c>
      <c r="C89" s="99">
        <v>46037</v>
      </c>
      <c r="D89" t="s">
        <v>98</v>
      </c>
      <c r="E89">
        <v>24</v>
      </c>
      <c r="F89" s="101">
        <v>46037.291666666664</v>
      </c>
      <c r="G89" s="101">
        <v>46037.791666666664</v>
      </c>
      <c r="H89" s="100">
        <v>7.2916666666666671E-2</v>
      </c>
      <c r="I89" s="100">
        <v>5.6944444444444443E-2</v>
      </c>
      <c r="J89" s="100"/>
      <c r="K89" s="100"/>
      <c r="L89">
        <v>8.8833333333333329</v>
      </c>
      <c r="M89">
        <v>12</v>
      </c>
      <c r="N89">
        <v>213.2</v>
      </c>
      <c r="O89">
        <v>288</v>
      </c>
      <c r="P89">
        <v>338</v>
      </c>
      <c r="Q89">
        <v>0.63076923076923075</v>
      </c>
      <c r="R89">
        <v>0.85207100591715978</v>
      </c>
      <c r="S89">
        <v>1.1736111111111112</v>
      </c>
      <c r="T89">
        <v>11.999999999999998</v>
      </c>
    </row>
    <row r="90" spans="1:20" x14ac:dyDescent="0.3">
      <c r="A90">
        <v>1</v>
      </c>
      <c r="B90" t="s">
        <v>402</v>
      </c>
      <c r="C90" s="99">
        <v>46037</v>
      </c>
      <c r="D90" t="s">
        <v>99</v>
      </c>
      <c r="E90">
        <v>22</v>
      </c>
      <c r="F90" s="101">
        <v>46037.291666666664</v>
      </c>
      <c r="G90" s="101">
        <v>46037.875</v>
      </c>
      <c r="H90" s="100">
        <v>7.2916666666666671E-2</v>
      </c>
      <c r="I90" s="100"/>
      <c r="J90" s="100"/>
      <c r="K90" s="100"/>
      <c r="L90">
        <v>12.25</v>
      </c>
      <c r="M90">
        <v>14</v>
      </c>
      <c r="N90">
        <v>269.5</v>
      </c>
      <c r="O90">
        <v>308</v>
      </c>
      <c r="P90">
        <v>372</v>
      </c>
      <c r="Q90">
        <v>0.72446236559139787</v>
      </c>
      <c r="R90">
        <v>0.82795698924731187</v>
      </c>
      <c r="S90">
        <v>1.2077922077922076</v>
      </c>
      <c r="T90">
        <v>13.999999999999998</v>
      </c>
    </row>
    <row r="91" spans="1:20" x14ac:dyDescent="0.3">
      <c r="A91">
        <v>1</v>
      </c>
      <c r="B91" t="s">
        <v>402</v>
      </c>
      <c r="C91" s="99">
        <v>46038</v>
      </c>
      <c r="D91" t="s">
        <v>96</v>
      </c>
      <c r="E91">
        <v>19</v>
      </c>
      <c r="F91" s="101">
        <v>46038.291666666664</v>
      </c>
      <c r="G91" s="101">
        <v>46038.791666666664</v>
      </c>
      <c r="H91" s="100">
        <v>7.2916666666666671E-2</v>
      </c>
      <c r="I91" s="100"/>
      <c r="J91" s="100"/>
      <c r="K91" s="100"/>
      <c r="L91">
        <v>10.25</v>
      </c>
      <c r="M91">
        <v>12</v>
      </c>
      <c r="N91">
        <v>194.75</v>
      </c>
      <c r="O91">
        <v>228</v>
      </c>
      <c r="P91">
        <v>402</v>
      </c>
      <c r="Q91">
        <v>0.48445273631840796</v>
      </c>
      <c r="R91">
        <v>0.56716417910447758</v>
      </c>
      <c r="S91">
        <v>1.7631578947368423</v>
      </c>
      <c r="T91">
        <v>11.999999999999998</v>
      </c>
    </row>
    <row r="92" spans="1:20" x14ac:dyDescent="0.3">
      <c r="A92">
        <v>1</v>
      </c>
      <c r="B92" t="s">
        <v>402</v>
      </c>
      <c r="C92" s="99">
        <v>46038</v>
      </c>
      <c r="D92" t="s">
        <v>97</v>
      </c>
      <c r="E92">
        <v>5</v>
      </c>
      <c r="F92" s="101">
        <v>46038.291666666664</v>
      </c>
      <c r="G92" s="101">
        <v>46038.791666666664</v>
      </c>
      <c r="H92" s="100">
        <v>7.2916666666666671E-2</v>
      </c>
      <c r="I92" s="100"/>
      <c r="J92" s="100"/>
      <c r="K92" s="100"/>
      <c r="L92">
        <v>10.25</v>
      </c>
      <c r="M92">
        <v>12</v>
      </c>
      <c r="N92">
        <v>51.25</v>
      </c>
      <c r="O92">
        <v>60</v>
      </c>
      <c r="P92">
        <v>421</v>
      </c>
      <c r="Q92">
        <v>0.12173396674584323</v>
      </c>
      <c r="R92">
        <v>0.14251781472684086</v>
      </c>
      <c r="S92">
        <v>7.0166666666666666</v>
      </c>
      <c r="T92">
        <v>11.999999999999998</v>
      </c>
    </row>
    <row r="93" spans="1:20" x14ac:dyDescent="0.3">
      <c r="A93">
        <v>1</v>
      </c>
      <c r="B93" t="s">
        <v>402</v>
      </c>
      <c r="C93" s="99">
        <v>46038</v>
      </c>
      <c r="D93" t="s">
        <v>98</v>
      </c>
      <c r="E93">
        <v>24</v>
      </c>
      <c r="F93" s="101">
        <v>46038.291666666664</v>
      </c>
      <c r="G93" s="101">
        <v>46038.791666666664</v>
      </c>
      <c r="H93" s="100">
        <v>7.2916666666666671E-2</v>
      </c>
      <c r="I93" s="100">
        <v>0.10416666666666667</v>
      </c>
      <c r="J93" s="100"/>
      <c r="K93" s="100"/>
      <c r="L93">
        <v>7.75</v>
      </c>
      <c r="M93">
        <v>12</v>
      </c>
      <c r="N93">
        <v>186</v>
      </c>
      <c r="O93">
        <v>288</v>
      </c>
      <c r="P93">
        <v>342</v>
      </c>
      <c r="Q93">
        <v>0.54385964912280704</v>
      </c>
      <c r="R93">
        <v>0.84210526315789469</v>
      </c>
      <c r="S93">
        <v>1.1875</v>
      </c>
      <c r="T93">
        <v>11.999999999999998</v>
      </c>
    </row>
    <row r="94" spans="1:20" x14ac:dyDescent="0.3">
      <c r="A94">
        <v>1</v>
      </c>
      <c r="B94" t="s">
        <v>402</v>
      </c>
      <c r="C94" s="99">
        <v>46038</v>
      </c>
      <c r="D94" t="s">
        <v>99</v>
      </c>
      <c r="E94">
        <v>23</v>
      </c>
      <c r="F94" s="101">
        <v>46038.291666666664</v>
      </c>
      <c r="G94" s="101">
        <v>46038.875</v>
      </c>
      <c r="H94" s="100">
        <v>7.2916666666666671E-2</v>
      </c>
      <c r="I94" s="100">
        <v>0.14583333333333334</v>
      </c>
      <c r="J94" s="100"/>
      <c r="K94" s="100"/>
      <c r="L94">
        <v>8.75</v>
      </c>
      <c r="M94">
        <v>14</v>
      </c>
      <c r="N94">
        <v>201.25</v>
      </c>
      <c r="O94">
        <v>322</v>
      </c>
      <c r="P94">
        <v>297</v>
      </c>
      <c r="Q94">
        <v>0.67760942760942766</v>
      </c>
      <c r="R94">
        <v>1.0841750841750841</v>
      </c>
      <c r="S94">
        <v>0.92236024844720499</v>
      </c>
      <c r="T94">
        <v>13.999999999999998</v>
      </c>
    </row>
    <row r="95" spans="1:20" x14ac:dyDescent="0.3">
      <c r="A95">
        <v>1</v>
      </c>
      <c r="B95" t="s">
        <v>402</v>
      </c>
      <c r="C95" s="99">
        <v>46039</v>
      </c>
      <c r="D95" t="s">
        <v>96</v>
      </c>
      <c r="E95">
        <v>19</v>
      </c>
      <c r="F95" s="101">
        <v>46039.291666666664</v>
      </c>
      <c r="G95" s="101">
        <v>46039.791666666664</v>
      </c>
      <c r="H95" s="100">
        <v>7.2916666666666671E-2</v>
      </c>
      <c r="I95" s="100"/>
      <c r="J95" s="100"/>
      <c r="K95" s="100"/>
      <c r="L95">
        <v>10.25</v>
      </c>
      <c r="M95">
        <v>12</v>
      </c>
      <c r="N95">
        <v>194.75</v>
      </c>
      <c r="O95">
        <v>228</v>
      </c>
      <c r="P95">
        <v>355</v>
      </c>
      <c r="Q95">
        <v>0.54859154929577469</v>
      </c>
      <c r="R95">
        <v>0.6422535211267606</v>
      </c>
      <c r="S95">
        <v>1.557017543859649</v>
      </c>
      <c r="T95">
        <v>11.999999999999998</v>
      </c>
    </row>
    <row r="96" spans="1:20" x14ac:dyDescent="0.3">
      <c r="A96">
        <v>1</v>
      </c>
      <c r="B96" t="s">
        <v>402</v>
      </c>
      <c r="C96" s="99">
        <v>46039</v>
      </c>
      <c r="D96" t="s">
        <v>97</v>
      </c>
      <c r="E96">
        <v>5</v>
      </c>
      <c r="F96" s="101">
        <v>46039.291666666664</v>
      </c>
      <c r="G96" s="101">
        <v>46039.791666666664</v>
      </c>
      <c r="H96" s="100">
        <v>7.2916666666666671E-2</v>
      </c>
      <c r="I96" s="100"/>
      <c r="J96" s="100"/>
      <c r="K96" s="100"/>
      <c r="L96">
        <v>10.25</v>
      </c>
      <c r="M96">
        <v>12</v>
      </c>
      <c r="N96">
        <v>51.25</v>
      </c>
      <c r="O96">
        <v>60</v>
      </c>
      <c r="P96">
        <v>414</v>
      </c>
      <c r="Q96">
        <v>0.12379227053140096</v>
      </c>
      <c r="R96">
        <v>0.14492753623188406</v>
      </c>
      <c r="S96">
        <v>6.8999999999999995</v>
      </c>
      <c r="T96">
        <v>11.999999999999998</v>
      </c>
    </row>
    <row r="97" spans="1:20" x14ac:dyDescent="0.3">
      <c r="A97">
        <v>1</v>
      </c>
      <c r="B97" t="s">
        <v>402</v>
      </c>
      <c r="C97" s="99">
        <v>46039</v>
      </c>
      <c r="D97" t="s">
        <v>98</v>
      </c>
      <c r="E97">
        <v>23</v>
      </c>
      <c r="F97" s="101">
        <v>46039.291666666664</v>
      </c>
      <c r="G97" s="101">
        <v>46039.791666666664</v>
      </c>
      <c r="H97" s="100">
        <v>7.2916666666666671E-2</v>
      </c>
      <c r="I97" s="100">
        <v>3.125E-2</v>
      </c>
      <c r="J97" s="100"/>
      <c r="K97" s="100"/>
      <c r="L97">
        <v>9.5</v>
      </c>
      <c r="M97">
        <v>12</v>
      </c>
      <c r="N97">
        <v>218.5</v>
      </c>
      <c r="O97">
        <v>276</v>
      </c>
      <c r="P97">
        <v>394</v>
      </c>
      <c r="Q97">
        <v>0.55456852791878175</v>
      </c>
      <c r="R97">
        <v>0.70050761421319796</v>
      </c>
      <c r="S97">
        <v>1.4275362318840581</v>
      </c>
      <c r="T97">
        <v>11.999999999999998</v>
      </c>
    </row>
    <row r="98" spans="1:20" x14ac:dyDescent="0.3">
      <c r="A98">
        <v>1</v>
      </c>
      <c r="B98" t="s">
        <v>402</v>
      </c>
      <c r="C98" s="99">
        <v>46039</v>
      </c>
      <c r="D98" t="s">
        <v>99</v>
      </c>
      <c r="E98">
        <v>20</v>
      </c>
      <c r="F98" s="101">
        <v>46039.291666666664</v>
      </c>
      <c r="G98" s="101">
        <v>46039.875</v>
      </c>
      <c r="H98" s="100">
        <v>7.2916666666666671E-2</v>
      </c>
      <c r="I98" s="100">
        <v>0.19791666666666666</v>
      </c>
      <c r="J98" s="100"/>
      <c r="K98" s="100"/>
      <c r="L98">
        <v>7.5</v>
      </c>
      <c r="M98">
        <v>14</v>
      </c>
      <c r="N98">
        <v>150</v>
      </c>
      <c r="O98">
        <v>280</v>
      </c>
      <c r="P98">
        <v>331</v>
      </c>
      <c r="Q98">
        <v>0.45317220543806647</v>
      </c>
      <c r="R98">
        <v>0.84592145015105735</v>
      </c>
      <c r="S98">
        <v>1.1821428571428572</v>
      </c>
      <c r="T98">
        <v>13.999999999999998</v>
      </c>
    </row>
    <row r="99" spans="1:20" x14ac:dyDescent="0.3">
      <c r="A99">
        <v>1</v>
      </c>
      <c r="B99" t="s">
        <v>402</v>
      </c>
      <c r="C99" s="99">
        <v>46040</v>
      </c>
      <c r="D99" t="s">
        <v>99</v>
      </c>
      <c r="E99">
        <v>24</v>
      </c>
      <c r="F99" s="101">
        <v>46040.291666666664</v>
      </c>
      <c r="G99" s="101">
        <v>46040.708333333336</v>
      </c>
      <c r="H99" s="100">
        <v>6.25E-2</v>
      </c>
      <c r="I99" s="100"/>
      <c r="J99" s="100"/>
      <c r="K99" s="100"/>
      <c r="L99">
        <v>8.5</v>
      </c>
      <c r="M99">
        <v>10</v>
      </c>
      <c r="N99">
        <v>204</v>
      </c>
      <c r="O99">
        <v>240</v>
      </c>
      <c r="P99">
        <v>370</v>
      </c>
      <c r="Q99">
        <v>0.55135135135135138</v>
      </c>
      <c r="R99">
        <v>0.64864864864864868</v>
      </c>
      <c r="S99">
        <v>1.5416666666666665</v>
      </c>
      <c r="T99">
        <v>10</v>
      </c>
    </row>
    <row r="100" spans="1:20" x14ac:dyDescent="0.3">
      <c r="A100">
        <v>1</v>
      </c>
      <c r="B100" t="s">
        <v>402</v>
      </c>
      <c r="C100" s="99">
        <v>46041</v>
      </c>
      <c r="D100" t="s">
        <v>96</v>
      </c>
      <c r="E100">
        <v>16</v>
      </c>
      <c r="F100" s="101">
        <v>46041.291666666664</v>
      </c>
      <c r="G100" s="101">
        <v>46041.791666666664</v>
      </c>
      <c r="H100" s="100">
        <v>7.2916666666666671E-2</v>
      </c>
      <c r="I100" s="100"/>
      <c r="J100" s="100"/>
      <c r="K100" s="100"/>
      <c r="L100">
        <v>10.25</v>
      </c>
      <c r="M100">
        <v>12</v>
      </c>
      <c r="N100">
        <v>164</v>
      </c>
      <c r="O100">
        <v>192</v>
      </c>
      <c r="P100">
        <v>387</v>
      </c>
      <c r="Q100">
        <v>0.42377260981912146</v>
      </c>
      <c r="R100">
        <v>0.49612403100775193</v>
      </c>
      <c r="S100">
        <v>2.015625</v>
      </c>
      <c r="T100">
        <v>11.999999999999998</v>
      </c>
    </row>
    <row r="101" spans="1:20" x14ac:dyDescent="0.3">
      <c r="A101">
        <v>1</v>
      </c>
      <c r="B101" t="s">
        <v>402</v>
      </c>
      <c r="C101" s="99">
        <v>46041</v>
      </c>
      <c r="D101" t="s">
        <v>97</v>
      </c>
      <c r="E101">
        <v>5</v>
      </c>
      <c r="F101" s="101">
        <v>46041.291666666664</v>
      </c>
      <c r="G101" s="101">
        <v>46041.791666666664</v>
      </c>
      <c r="H101" s="100">
        <v>7.2916666666666671E-2</v>
      </c>
      <c r="I101" s="100"/>
      <c r="J101" s="100"/>
      <c r="K101" s="100"/>
      <c r="L101">
        <v>10.25</v>
      </c>
      <c r="M101">
        <v>12</v>
      </c>
      <c r="N101">
        <v>51.25</v>
      </c>
      <c r="O101">
        <v>60</v>
      </c>
      <c r="P101">
        <v>357</v>
      </c>
      <c r="Q101">
        <v>0.14355742296918766</v>
      </c>
      <c r="R101">
        <v>0.16806722689075632</v>
      </c>
      <c r="S101">
        <v>5.9499999999999993</v>
      </c>
      <c r="T101">
        <v>11.999999999999998</v>
      </c>
    </row>
    <row r="102" spans="1:20" x14ac:dyDescent="0.3">
      <c r="A102">
        <v>1</v>
      </c>
      <c r="B102" t="s">
        <v>402</v>
      </c>
      <c r="C102" s="99">
        <v>46041</v>
      </c>
      <c r="D102" t="s">
        <v>98</v>
      </c>
      <c r="E102">
        <v>24</v>
      </c>
      <c r="F102" s="101">
        <v>46041.291666666664</v>
      </c>
      <c r="G102" s="101">
        <v>46041.791666666664</v>
      </c>
      <c r="H102" s="100">
        <v>7.2916666666666671E-2</v>
      </c>
      <c r="I102" s="100">
        <v>7.1527777777777773E-2</v>
      </c>
      <c r="J102" s="100"/>
      <c r="K102" s="100"/>
      <c r="L102">
        <v>8.5333333333333332</v>
      </c>
      <c r="M102">
        <v>12</v>
      </c>
      <c r="N102">
        <v>204.8</v>
      </c>
      <c r="O102">
        <v>288</v>
      </c>
      <c r="P102">
        <v>378</v>
      </c>
      <c r="Q102">
        <v>0.54179894179894184</v>
      </c>
      <c r="R102">
        <v>0.76190476190476186</v>
      </c>
      <c r="S102">
        <v>1.3125</v>
      </c>
      <c r="T102">
        <v>11.999999999999998</v>
      </c>
    </row>
    <row r="103" spans="1:20" x14ac:dyDescent="0.3">
      <c r="A103">
        <v>1</v>
      </c>
      <c r="B103" t="s">
        <v>402</v>
      </c>
      <c r="C103" s="99">
        <v>46041</v>
      </c>
      <c r="D103" t="s">
        <v>99</v>
      </c>
      <c r="E103">
        <v>22</v>
      </c>
      <c r="F103" s="101">
        <v>46041.291666666664</v>
      </c>
      <c r="G103" s="101">
        <v>46041.791666666664</v>
      </c>
      <c r="H103" s="100">
        <v>7.2916666666666671E-2</v>
      </c>
      <c r="I103" s="100"/>
      <c r="J103" s="100"/>
      <c r="K103" s="100"/>
      <c r="L103">
        <v>10.25</v>
      </c>
      <c r="M103">
        <v>12</v>
      </c>
      <c r="N103">
        <v>225.5</v>
      </c>
      <c r="O103">
        <v>264</v>
      </c>
      <c r="P103">
        <v>384</v>
      </c>
      <c r="Q103">
        <v>0.58723958333333337</v>
      </c>
      <c r="R103">
        <v>0.6875</v>
      </c>
      <c r="S103">
        <v>1.4545454545454546</v>
      </c>
      <c r="T103">
        <v>11.999999999999998</v>
      </c>
    </row>
    <row r="104" spans="1:20" x14ac:dyDescent="0.3">
      <c r="A104">
        <v>1</v>
      </c>
      <c r="B104" t="s">
        <v>402</v>
      </c>
      <c r="C104" s="99">
        <v>46042</v>
      </c>
      <c r="D104" t="s">
        <v>96</v>
      </c>
      <c r="E104">
        <v>19</v>
      </c>
      <c r="F104" s="101">
        <v>46042.291666666664</v>
      </c>
      <c r="G104" s="101">
        <v>46042.791666666664</v>
      </c>
      <c r="H104" s="100">
        <v>7.2916666666666671E-2</v>
      </c>
      <c r="I104" s="100"/>
      <c r="J104" s="100"/>
      <c r="K104" s="100"/>
      <c r="L104">
        <v>10.25</v>
      </c>
      <c r="M104">
        <v>12</v>
      </c>
      <c r="N104">
        <v>194.75</v>
      </c>
      <c r="O104">
        <v>228</v>
      </c>
      <c r="P104">
        <v>490</v>
      </c>
      <c r="Q104">
        <v>0.39744897959183673</v>
      </c>
      <c r="R104">
        <v>0.46530612244897956</v>
      </c>
      <c r="S104">
        <v>2.1491228070175441</v>
      </c>
      <c r="T104">
        <v>11.999999999999998</v>
      </c>
    </row>
    <row r="105" spans="1:20" x14ac:dyDescent="0.3">
      <c r="A105">
        <v>1</v>
      </c>
      <c r="B105" t="s">
        <v>402</v>
      </c>
      <c r="C105" s="99">
        <v>46042</v>
      </c>
      <c r="D105" t="s">
        <v>97</v>
      </c>
      <c r="E105">
        <v>5</v>
      </c>
      <c r="F105" s="101">
        <v>46042.291666666664</v>
      </c>
      <c r="G105" s="101">
        <v>46042.791666666664</v>
      </c>
      <c r="H105" s="100">
        <v>7.2916666666666671E-2</v>
      </c>
      <c r="I105" s="100"/>
      <c r="J105" s="100"/>
      <c r="K105" s="100"/>
      <c r="L105">
        <v>10.25</v>
      </c>
      <c r="M105">
        <v>12</v>
      </c>
      <c r="N105">
        <v>51.25</v>
      </c>
      <c r="O105">
        <v>60</v>
      </c>
      <c r="P105">
        <v>428</v>
      </c>
      <c r="Q105">
        <v>0.11974299065420561</v>
      </c>
      <c r="R105">
        <v>0.14018691588785046</v>
      </c>
      <c r="S105">
        <v>7.1333333333333337</v>
      </c>
      <c r="T105">
        <v>11.999999999999998</v>
      </c>
    </row>
    <row r="106" spans="1:20" x14ac:dyDescent="0.3">
      <c r="A106">
        <v>1</v>
      </c>
      <c r="B106" t="s">
        <v>402</v>
      </c>
      <c r="C106" s="99">
        <v>46042</v>
      </c>
      <c r="D106" t="s">
        <v>98</v>
      </c>
      <c r="E106">
        <v>23</v>
      </c>
      <c r="F106" s="101">
        <v>46042.291666666664</v>
      </c>
      <c r="G106" s="101">
        <v>46042.791666666664</v>
      </c>
      <c r="H106" s="100">
        <v>7.2916666666666671E-2</v>
      </c>
      <c r="I106" s="100">
        <v>2.7777777777777776E-2</v>
      </c>
      <c r="J106" s="100"/>
      <c r="K106" s="100"/>
      <c r="L106">
        <v>9.5833333333333339</v>
      </c>
      <c r="M106">
        <v>12</v>
      </c>
      <c r="N106">
        <v>220.41666666666669</v>
      </c>
      <c r="O106">
        <v>276</v>
      </c>
      <c r="P106">
        <v>420</v>
      </c>
      <c r="Q106">
        <v>0.52480158730158732</v>
      </c>
      <c r="R106">
        <v>0.65714285714285714</v>
      </c>
      <c r="S106">
        <v>1.5217391304347827</v>
      </c>
      <c r="T106">
        <v>11.999999999999998</v>
      </c>
    </row>
    <row r="107" spans="1:20" x14ac:dyDescent="0.3">
      <c r="A107">
        <v>1</v>
      </c>
      <c r="B107" t="s">
        <v>402</v>
      </c>
      <c r="C107" s="99">
        <v>46042</v>
      </c>
      <c r="D107" t="s">
        <v>99</v>
      </c>
      <c r="E107">
        <v>24</v>
      </c>
      <c r="F107" s="101">
        <v>46042.291666666664</v>
      </c>
      <c r="G107" s="101">
        <v>46042.875</v>
      </c>
      <c r="H107" s="100">
        <v>7.2916666666666671E-2</v>
      </c>
      <c r="I107" s="100"/>
      <c r="J107" s="100"/>
      <c r="K107" s="100"/>
      <c r="L107">
        <v>12.25</v>
      </c>
      <c r="M107">
        <v>14</v>
      </c>
      <c r="N107">
        <v>294</v>
      </c>
      <c r="O107">
        <v>336</v>
      </c>
      <c r="P107">
        <v>446</v>
      </c>
      <c r="Q107">
        <v>0.65919282511210764</v>
      </c>
      <c r="R107">
        <v>0.75336322869955152</v>
      </c>
      <c r="S107">
        <v>1.3273809523809526</v>
      </c>
      <c r="T107">
        <v>13.999999999999998</v>
      </c>
    </row>
    <row r="108" spans="1:20" x14ac:dyDescent="0.3">
      <c r="A108">
        <v>1</v>
      </c>
      <c r="B108" t="s">
        <v>402</v>
      </c>
      <c r="C108" s="99">
        <v>46043</v>
      </c>
      <c r="D108" t="s">
        <v>96</v>
      </c>
      <c r="E108">
        <v>19</v>
      </c>
      <c r="F108" s="101">
        <v>46043.291666666664</v>
      </c>
      <c r="G108" s="101">
        <v>46043.791666666664</v>
      </c>
      <c r="H108" s="100">
        <v>7.2916666666666671E-2</v>
      </c>
      <c r="I108" s="100"/>
      <c r="J108" s="100"/>
      <c r="K108" s="100"/>
      <c r="L108">
        <v>10.25</v>
      </c>
      <c r="M108">
        <v>12</v>
      </c>
      <c r="N108">
        <v>194.75</v>
      </c>
      <c r="O108">
        <v>228</v>
      </c>
      <c r="P108">
        <v>433</v>
      </c>
      <c r="Q108">
        <v>0.44976905311778292</v>
      </c>
      <c r="R108">
        <v>0.52655889145496537</v>
      </c>
      <c r="S108">
        <v>1.8991228070175439</v>
      </c>
      <c r="T108">
        <v>11.999999999999998</v>
      </c>
    </row>
    <row r="109" spans="1:20" x14ac:dyDescent="0.3">
      <c r="A109">
        <v>1</v>
      </c>
      <c r="B109" t="s">
        <v>402</v>
      </c>
      <c r="C109" s="99">
        <v>46043</v>
      </c>
      <c r="D109" t="s">
        <v>97</v>
      </c>
      <c r="E109">
        <v>5</v>
      </c>
      <c r="F109" s="101">
        <v>46043.291666666664</v>
      </c>
      <c r="G109" s="101">
        <v>46043.791666666664</v>
      </c>
      <c r="H109" s="100">
        <v>7.2916666666666671E-2</v>
      </c>
      <c r="I109" s="100"/>
      <c r="J109" s="100"/>
      <c r="K109" s="100"/>
      <c r="L109">
        <v>10.25</v>
      </c>
      <c r="M109">
        <v>12</v>
      </c>
      <c r="N109">
        <v>51.25</v>
      </c>
      <c r="O109">
        <v>60</v>
      </c>
      <c r="P109">
        <v>440</v>
      </c>
      <c r="Q109">
        <v>0.11647727272727272</v>
      </c>
      <c r="R109">
        <v>0.13636363636363635</v>
      </c>
      <c r="S109">
        <v>7.3333333333333339</v>
      </c>
      <c r="T109">
        <v>11.999999999999998</v>
      </c>
    </row>
    <row r="110" spans="1:20" x14ac:dyDescent="0.3">
      <c r="A110">
        <v>1</v>
      </c>
      <c r="B110" t="s">
        <v>402</v>
      </c>
      <c r="C110" s="99">
        <v>46043</v>
      </c>
      <c r="D110" t="s">
        <v>98</v>
      </c>
      <c r="E110">
        <v>25</v>
      </c>
      <c r="F110" s="101">
        <v>46043.291666666664</v>
      </c>
      <c r="G110" s="101">
        <v>46043.791666666664</v>
      </c>
      <c r="H110" s="100">
        <v>7.2916666666666671E-2</v>
      </c>
      <c r="I110" s="100">
        <v>0.12569444444444444</v>
      </c>
      <c r="J110" s="100"/>
      <c r="K110" s="100"/>
      <c r="L110">
        <v>7.2333333333333334</v>
      </c>
      <c r="M110">
        <v>12</v>
      </c>
      <c r="N110">
        <v>180.83333333333334</v>
      </c>
      <c r="O110">
        <v>300</v>
      </c>
      <c r="P110">
        <v>450</v>
      </c>
      <c r="Q110">
        <v>0.40185185185185185</v>
      </c>
      <c r="R110">
        <v>0.66666666666666663</v>
      </c>
      <c r="S110">
        <v>1.5</v>
      </c>
      <c r="T110">
        <v>11.999999999999998</v>
      </c>
    </row>
    <row r="111" spans="1:20" x14ac:dyDescent="0.3">
      <c r="A111">
        <v>1</v>
      </c>
      <c r="B111" t="s">
        <v>402</v>
      </c>
      <c r="C111" s="99">
        <v>46043</v>
      </c>
      <c r="D111" t="s">
        <v>99</v>
      </c>
      <c r="E111">
        <v>24</v>
      </c>
      <c r="F111" s="101">
        <v>46043.291666666664</v>
      </c>
      <c r="G111" s="101">
        <v>46043.791666666664</v>
      </c>
      <c r="H111" s="100">
        <v>7.2916666666666671E-2</v>
      </c>
      <c r="I111" s="100"/>
      <c r="J111" s="100"/>
      <c r="K111" s="100"/>
      <c r="L111">
        <v>10.25</v>
      </c>
      <c r="M111">
        <v>12</v>
      </c>
      <c r="N111">
        <v>246</v>
      </c>
      <c r="O111">
        <v>288</v>
      </c>
      <c r="P111">
        <v>500</v>
      </c>
      <c r="Q111">
        <v>0.49199999999999999</v>
      </c>
      <c r="R111">
        <v>0.57599999999999996</v>
      </c>
      <c r="S111">
        <v>1.7361111111111112</v>
      </c>
      <c r="T111">
        <v>11.999999999999998</v>
      </c>
    </row>
    <row r="112" spans="1:20" x14ac:dyDescent="0.3">
      <c r="A112">
        <v>1</v>
      </c>
      <c r="B112" t="s">
        <v>402</v>
      </c>
      <c r="C112" s="99">
        <v>46044</v>
      </c>
      <c r="D112" t="s">
        <v>96</v>
      </c>
      <c r="E112">
        <v>16</v>
      </c>
      <c r="F112" s="101">
        <v>46044.291666666664</v>
      </c>
      <c r="G112" s="101">
        <v>46044.791666666664</v>
      </c>
      <c r="H112" s="100">
        <v>7.2916666666666671E-2</v>
      </c>
      <c r="I112" s="100"/>
      <c r="J112" s="100"/>
      <c r="K112" s="100"/>
      <c r="L112">
        <v>10.25</v>
      </c>
      <c r="M112">
        <v>12</v>
      </c>
      <c r="N112">
        <v>164</v>
      </c>
      <c r="O112">
        <v>192</v>
      </c>
      <c r="P112">
        <v>381</v>
      </c>
      <c r="Q112">
        <v>0.43044619422572178</v>
      </c>
      <c r="R112">
        <v>0.50393700787401574</v>
      </c>
      <c r="S112">
        <v>1.984375</v>
      </c>
      <c r="T112">
        <v>11.999999999999998</v>
      </c>
    </row>
    <row r="113" spans="1:20" x14ac:dyDescent="0.3">
      <c r="A113">
        <v>1</v>
      </c>
      <c r="B113" t="s">
        <v>402</v>
      </c>
      <c r="C113" s="99">
        <v>46044</v>
      </c>
      <c r="D113" t="s">
        <v>97</v>
      </c>
      <c r="E113">
        <v>5</v>
      </c>
      <c r="F113" s="101">
        <v>46044.291666666664</v>
      </c>
      <c r="G113" s="101">
        <v>46044.791666666664</v>
      </c>
      <c r="H113" s="100">
        <v>7.2916666666666671E-2</v>
      </c>
      <c r="I113" s="100"/>
      <c r="J113" s="100"/>
      <c r="K113" s="100"/>
      <c r="L113">
        <v>10.25</v>
      </c>
      <c r="M113">
        <v>12</v>
      </c>
      <c r="N113">
        <v>51.25</v>
      </c>
      <c r="O113">
        <v>60</v>
      </c>
      <c r="P113">
        <v>440</v>
      </c>
      <c r="Q113">
        <v>0.11647727272727272</v>
      </c>
      <c r="R113">
        <v>0.13636363636363635</v>
      </c>
      <c r="S113">
        <v>7.3333333333333339</v>
      </c>
      <c r="T113">
        <v>11.999999999999998</v>
      </c>
    </row>
    <row r="114" spans="1:20" x14ac:dyDescent="0.3">
      <c r="A114">
        <v>1</v>
      </c>
      <c r="B114" t="s">
        <v>402</v>
      </c>
      <c r="C114" s="99">
        <v>46044</v>
      </c>
      <c r="D114" t="s">
        <v>98</v>
      </c>
      <c r="E114">
        <v>25</v>
      </c>
      <c r="F114" s="101">
        <v>46044.291666666664</v>
      </c>
      <c r="G114" s="101">
        <v>46044.791666666664</v>
      </c>
      <c r="H114" s="100">
        <v>7.2916666666666671E-2</v>
      </c>
      <c r="I114" s="100">
        <v>6.5277777777777782E-2</v>
      </c>
      <c r="J114" s="100"/>
      <c r="K114" s="100"/>
      <c r="L114">
        <v>8.6833333333333336</v>
      </c>
      <c r="M114">
        <v>12</v>
      </c>
      <c r="N114">
        <v>217.08333333333334</v>
      </c>
      <c r="O114">
        <v>300</v>
      </c>
      <c r="P114">
        <v>375</v>
      </c>
      <c r="Q114">
        <v>0.5788888888888889</v>
      </c>
      <c r="R114">
        <v>0.8</v>
      </c>
      <c r="S114">
        <v>1.25</v>
      </c>
      <c r="T114">
        <v>11.999999999999998</v>
      </c>
    </row>
    <row r="115" spans="1:20" x14ac:dyDescent="0.3">
      <c r="A115">
        <v>1</v>
      </c>
      <c r="B115" t="s">
        <v>402</v>
      </c>
      <c r="C115" s="99">
        <v>46044</v>
      </c>
      <c r="D115" t="s">
        <v>99</v>
      </c>
      <c r="E115">
        <v>23</v>
      </c>
      <c r="F115" s="101">
        <v>46044.291666666664</v>
      </c>
      <c r="G115" s="101">
        <v>46044.791666666664</v>
      </c>
      <c r="H115" s="100">
        <v>7.2916666666666671E-2</v>
      </c>
      <c r="I115" s="100"/>
      <c r="J115" s="100"/>
      <c r="K115" s="100"/>
      <c r="L115">
        <v>10.25</v>
      </c>
      <c r="M115">
        <v>12</v>
      </c>
      <c r="N115">
        <v>235.75</v>
      </c>
      <c r="O115">
        <v>276</v>
      </c>
      <c r="P115">
        <v>374</v>
      </c>
      <c r="Q115">
        <v>0.63034759358288772</v>
      </c>
      <c r="R115">
        <v>0.73796791443850263</v>
      </c>
      <c r="S115">
        <v>1.355072463768116</v>
      </c>
      <c r="T115">
        <v>11.999999999999998</v>
      </c>
    </row>
    <row r="116" spans="1:20" x14ac:dyDescent="0.3">
      <c r="A116">
        <v>1</v>
      </c>
      <c r="B116" t="s">
        <v>402</v>
      </c>
      <c r="C116" s="99">
        <v>46045</v>
      </c>
      <c r="D116" t="s">
        <v>96</v>
      </c>
      <c r="E116">
        <v>17</v>
      </c>
      <c r="F116" s="101">
        <v>46045.291666666664</v>
      </c>
      <c r="G116" s="101">
        <v>46045.791666666664</v>
      </c>
      <c r="H116" s="100">
        <v>7.2916666666666671E-2</v>
      </c>
      <c r="I116" s="100"/>
      <c r="J116" s="100"/>
      <c r="K116" s="100"/>
      <c r="L116">
        <v>10.25</v>
      </c>
      <c r="M116">
        <v>12</v>
      </c>
      <c r="N116">
        <v>174.25</v>
      </c>
      <c r="O116">
        <v>204</v>
      </c>
      <c r="P116">
        <v>399</v>
      </c>
      <c r="Q116">
        <v>0.43671679197994989</v>
      </c>
      <c r="R116">
        <v>0.51127819548872178</v>
      </c>
      <c r="S116">
        <v>1.9558823529411766</v>
      </c>
      <c r="T116">
        <v>11.999999999999998</v>
      </c>
    </row>
    <row r="117" spans="1:20" x14ac:dyDescent="0.3">
      <c r="A117">
        <v>1</v>
      </c>
      <c r="B117" t="s">
        <v>402</v>
      </c>
      <c r="C117" s="99">
        <v>46045</v>
      </c>
      <c r="D117" t="s">
        <v>97</v>
      </c>
      <c r="E117">
        <v>5</v>
      </c>
      <c r="F117" s="101">
        <v>46045.291666666664</v>
      </c>
      <c r="G117" s="101">
        <v>46045.791666666664</v>
      </c>
      <c r="H117" s="100">
        <v>7.2916666666666671E-2</v>
      </c>
      <c r="I117" s="100"/>
      <c r="J117" s="100"/>
      <c r="K117" s="100"/>
      <c r="L117">
        <v>10.25</v>
      </c>
      <c r="M117">
        <v>12</v>
      </c>
      <c r="N117">
        <v>51.25</v>
      </c>
      <c r="O117">
        <v>60</v>
      </c>
      <c r="P117">
        <v>412</v>
      </c>
      <c r="Q117">
        <v>0.12439320388349515</v>
      </c>
      <c r="R117">
        <v>0.14563106796116504</v>
      </c>
      <c r="S117">
        <v>6.8666666666666671</v>
      </c>
      <c r="T117">
        <v>11.999999999999998</v>
      </c>
    </row>
    <row r="118" spans="1:20" x14ac:dyDescent="0.3">
      <c r="A118">
        <v>1</v>
      </c>
      <c r="B118" t="s">
        <v>402</v>
      </c>
      <c r="C118" s="99">
        <v>46045</v>
      </c>
      <c r="D118" t="s">
        <v>98</v>
      </c>
      <c r="E118">
        <v>24</v>
      </c>
      <c r="F118" s="101">
        <v>46045.291666666664</v>
      </c>
      <c r="G118" s="101">
        <v>46045.791666666664</v>
      </c>
      <c r="H118" s="100">
        <v>7.2916666666666671E-2</v>
      </c>
      <c r="I118" s="100">
        <v>9.4444444444444442E-2</v>
      </c>
      <c r="J118" s="100"/>
      <c r="K118" s="100"/>
      <c r="L118">
        <v>7.9833333333333334</v>
      </c>
      <c r="M118">
        <v>12</v>
      </c>
      <c r="N118">
        <v>191.6</v>
      </c>
      <c r="O118">
        <v>288</v>
      </c>
      <c r="P118">
        <v>400</v>
      </c>
      <c r="Q118">
        <v>0.47899999999999998</v>
      </c>
      <c r="R118">
        <v>0.72</v>
      </c>
      <c r="S118">
        <v>1.3888888888888888</v>
      </c>
      <c r="T118">
        <v>11.999999999999998</v>
      </c>
    </row>
    <row r="119" spans="1:20" x14ac:dyDescent="0.3">
      <c r="A119">
        <v>1</v>
      </c>
      <c r="B119" t="s">
        <v>402</v>
      </c>
      <c r="C119" s="99">
        <v>46045</v>
      </c>
      <c r="D119" t="s">
        <v>99</v>
      </c>
      <c r="E119">
        <v>19</v>
      </c>
      <c r="F119" s="101">
        <v>46045.291666666664</v>
      </c>
      <c r="G119" s="101">
        <v>46045.791666666664</v>
      </c>
      <c r="H119" s="100">
        <v>7.2916666666666671E-2</v>
      </c>
      <c r="I119" s="100"/>
      <c r="J119" s="100"/>
      <c r="K119" s="100"/>
      <c r="L119">
        <v>10.25</v>
      </c>
      <c r="M119">
        <v>12</v>
      </c>
      <c r="N119">
        <v>194.75</v>
      </c>
      <c r="O119">
        <v>228</v>
      </c>
      <c r="P119">
        <v>398</v>
      </c>
      <c r="Q119">
        <v>0.48932160804020103</v>
      </c>
      <c r="R119">
        <v>0.57286432160804024</v>
      </c>
      <c r="S119">
        <v>1.7456140350877192</v>
      </c>
      <c r="T119">
        <v>11.999999999999998</v>
      </c>
    </row>
    <row r="120" spans="1:20" x14ac:dyDescent="0.3">
      <c r="A120">
        <v>1</v>
      </c>
      <c r="B120" t="s">
        <v>402</v>
      </c>
      <c r="C120" s="99">
        <v>46046</v>
      </c>
      <c r="D120" t="s">
        <v>96</v>
      </c>
      <c r="E120">
        <v>20</v>
      </c>
      <c r="F120" s="101">
        <v>46046.291666666664</v>
      </c>
      <c r="G120" s="101">
        <v>46046.791666666664</v>
      </c>
      <c r="H120" s="100">
        <v>7.2916666666666671E-2</v>
      </c>
      <c r="I120" s="100"/>
      <c r="J120" s="100"/>
      <c r="K120" s="100"/>
      <c r="L120">
        <v>10.25</v>
      </c>
      <c r="M120">
        <v>12</v>
      </c>
      <c r="N120">
        <v>205</v>
      </c>
      <c r="O120">
        <v>240</v>
      </c>
      <c r="P120">
        <v>424</v>
      </c>
      <c r="Q120">
        <v>0.48349056603773582</v>
      </c>
      <c r="R120">
        <v>0.56603773584905659</v>
      </c>
      <c r="S120">
        <v>1.7666666666666666</v>
      </c>
      <c r="T120">
        <v>11.999999999999998</v>
      </c>
    </row>
    <row r="121" spans="1:20" x14ac:dyDescent="0.3">
      <c r="A121">
        <v>1</v>
      </c>
      <c r="B121" t="s">
        <v>402</v>
      </c>
      <c r="C121" s="99">
        <v>46046</v>
      </c>
      <c r="D121" t="s">
        <v>97</v>
      </c>
      <c r="E121">
        <v>5</v>
      </c>
      <c r="F121" s="101">
        <v>46046.291666666664</v>
      </c>
      <c r="G121" s="101">
        <v>46046.791666666664</v>
      </c>
      <c r="H121" s="100">
        <v>7.2916666666666671E-2</v>
      </c>
      <c r="I121" s="100"/>
      <c r="J121" s="100"/>
      <c r="K121" s="100"/>
      <c r="L121">
        <v>10.25</v>
      </c>
      <c r="M121">
        <v>12</v>
      </c>
      <c r="N121">
        <v>51.25</v>
      </c>
      <c r="O121">
        <v>60</v>
      </c>
      <c r="P121">
        <v>417</v>
      </c>
      <c r="Q121">
        <v>0.12290167865707434</v>
      </c>
      <c r="R121">
        <v>0.14388489208633093</v>
      </c>
      <c r="S121">
        <v>6.95</v>
      </c>
      <c r="T121">
        <v>11.999999999999998</v>
      </c>
    </row>
    <row r="122" spans="1:20" x14ac:dyDescent="0.3">
      <c r="A122">
        <v>1</v>
      </c>
      <c r="B122" t="s">
        <v>402</v>
      </c>
      <c r="C122" s="99">
        <v>46046</v>
      </c>
      <c r="D122" t="s">
        <v>98</v>
      </c>
      <c r="E122">
        <v>23</v>
      </c>
      <c r="F122" s="101">
        <v>46046.291666666664</v>
      </c>
      <c r="G122" s="101">
        <v>46046.791666666664</v>
      </c>
      <c r="H122" s="100">
        <v>7.2916666666666671E-2</v>
      </c>
      <c r="I122" s="100">
        <v>2.361111111111111E-2</v>
      </c>
      <c r="J122" s="100"/>
      <c r="K122" s="100"/>
      <c r="L122">
        <v>9.6833333333333336</v>
      </c>
      <c r="M122">
        <v>12</v>
      </c>
      <c r="N122">
        <v>222.71666666666667</v>
      </c>
      <c r="O122">
        <v>276</v>
      </c>
      <c r="P122">
        <v>406</v>
      </c>
      <c r="Q122">
        <v>0.54856321839080457</v>
      </c>
      <c r="R122">
        <v>0.67980295566502458</v>
      </c>
      <c r="S122">
        <v>1.4710144927536233</v>
      </c>
      <c r="T122">
        <v>11.999999999999998</v>
      </c>
    </row>
    <row r="123" spans="1:20" x14ac:dyDescent="0.3">
      <c r="A123">
        <v>1</v>
      </c>
      <c r="B123" t="s">
        <v>402</v>
      </c>
      <c r="C123" s="99">
        <v>46046</v>
      </c>
      <c r="D123" t="s">
        <v>99</v>
      </c>
      <c r="E123">
        <v>20</v>
      </c>
      <c r="F123" s="101">
        <v>46046.291666666664</v>
      </c>
      <c r="G123" s="101">
        <v>46046.791666666664</v>
      </c>
      <c r="H123" s="100">
        <v>7.2916666666666671E-2</v>
      </c>
      <c r="I123" s="100"/>
      <c r="J123" s="100"/>
      <c r="K123" s="100"/>
      <c r="L123">
        <v>10.25</v>
      </c>
      <c r="M123">
        <v>12</v>
      </c>
      <c r="N123">
        <v>205</v>
      </c>
      <c r="O123">
        <v>240</v>
      </c>
      <c r="P123">
        <v>452</v>
      </c>
      <c r="Q123">
        <v>0.45353982300884954</v>
      </c>
      <c r="R123">
        <v>0.53097345132743368</v>
      </c>
      <c r="S123">
        <v>1.8833333333333331</v>
      </c>
      <c r="T123">
        <v>11.999999999999998</v>
      </c>
    </row>
    <row r="124" spans="1:20" x14ac:dyDescent="0.3">
      <c r="A124">
        <v>1</v>
      </c>
      <c r="B124" t="s">
        <v>402</v>
      </c>
      <c r="C124" s="99">
        <v>46048</v>
      </c>
      <c r="D124" t="s">
        <v>96</v>
      </c>
      <c r="E124">
        <v>17</v>
      </c>
      <c r="F124" s="101">
        <v>46048.291666666664</v>
      </c>
      <c r="G124" s="101">
        <v>46048.791666666664</v>
      </c>
      <c r="H124" s="100">
        <v>7.2916666666666671E-2</v>
      </c>
      <c r="I124" s="100"/>
      <c r="J124" s="100"/>
      <c r="K124" s="100"/>
      <c r="L124">
        <v>10.25</v>
      </c>
      <c r="M124">
        <v>12</v>
      </c>
      <c r="N124">
        <v>174.25</v>
      </c>
      <c r="O124">
        <v>204</v>
      </c>
      <c r="P124">
        <v>406</v>
      </c>
      <c r="Q124">
        <v>0.42918719211822659</v>
      </c>
      <c r="R124">
        <v>0.50246305418719217</v>
      </c>
      <c r="S124">
        <v>1.9901960784313724</v>
      </c>
      <c r="T124">
        <v>11.999999999999998</v>
      </c>
    </row>
    <row r="125" spans="1:20" x14ac:dyDescent="0.3">
      <c r="A125">
        <v>1</v>
      </c>
      <c r="B125" t="s">
        <v>402</v>
      </c>
      <c r="C125" s="99">
        <v>46048</v>
      </c>
      <c r="D125" t="s">
        <v>97</v>
      </c>
      <c r="E125">
        <v>5</v>
      </c>
      <c r="F125" s="101">
        <v>46048.291666666664</v>
      </c>
      <c r="G125" s="101">
        <v>46048.791666666664</v>
      </c>
      <c r="H125" s="100">
        <v>7.2916666666666671E-2</v>
      </c>
      <c r="I125" s="100">
        <v>0.1111111111111111</v>
      </c>
      <c r="J125" s="100"/>
      <c r="K125" s="100"/>
      <c r="L125">
        <v>7.5833333333333339</v>
      </c>
      <c r="M125">
        <v>12</v>
      </c>
      <c r="N125">
        <v>37.916666666666671</v>
      </c>
      <c r="O125">
        <v>60</v>
      </c>
      <c r="P125">
        <v>423</v>
      </c>
      <c r="Q125">
        <v>8.9637509850275812E-2</v>
      </c>
      <c r="R125">
        <v>0.14184397163120568</v>
      </c>
      <c r="S125">
        <v>7.05</v>
      </c>
      <c r="T125">
        <v>11.999999999999998</v>
      </c>
    </row>
    <row r="126" spans="1:20" x14ac:dyDescent="0.3">
      <c r="A126">
        <v>1</v>
      </c>
      <c r="B126" t="s">
        <v>402</v>
      </c>
      <c r="C126" s="99">
        <v>46048</v>
      </c>
      <c r="D126" t="s">
        <v>98</v>
      </c>
      <c r="E126">
        <v>22</v>
      </c>
      <c r="F126" s="101">
        <v>46048.291666666664</v>
      </c>
      <c r="G126" s="101">
        <v>46048.791666666664</v>
      </c>
      <c r="H126" s="100">
        <v>7.2916666666666671E-2</v>
      </c>
      <c r="I126" s="100">
        <v>4.1666666666666664E-2</v>
      </c>
      <c r="J126" s="100"/>
      <c r="K126" s="100"/>
      <c r="L126">
        <v>9.25</v>
      </c>
      <c r="M126">
        <v>12</v>
      </c>
      <c r="N126">
        <v>203.5</v>
      </c>
      <c r="O126">
        <v>264</v>
      </c>
      <c r="P126">
        <v>404</v>
      </c>
      <c r="Q126">
        <v>0.50371287128712872</v>
      </c>
      <c r="R126">
        <v>0.65346534653465349</v>
      </c>
      <c r="S126">
        <v>1.5303030303030303</v>
      </c>
      <c r="T126">
        <v>11.999999999999998</v>
      </c>
    </row>
    <row r="127" spans="1:20" x14ac:dyDescent="0.3">
      <c r="A127">
        <v>1</v>
      </c>
      <c r="B127" t="s">
        <v>402</v>
      </c>
      <c r="C127" s="99">
        <v>46048</v>
      </c>
      <c r="D127" t="s">
        <v>99</v>
      </c>
      <c r="E127">
        <v>19</v>
      </c>
      <c r="F127" s="101">
        <v>46048.291666666664</v>
      </c>
      <c r="G127" s="101">
        <v>46048.791666666664</v>
      </c>
      <c r="H127" s="100">
        <v>7.2916666666666671E-2</v>
      </c>
      <c r="I127" s="100"/>
      <c r="J127" s="100"/>
      <c r="K127" s="100"/>
      <c r="L127">
        <v>10.25</v>
      </c>
      <c r="M127">
        <v>12</v>
      </c>
      <c r="N127">
        <v>194.75</v>
      </c>
      <c r="O127">
        <v>228</v>
      </c>
      <c r="P127">
        <v>304</v>
      </c>
      <c r="Q127">
        <v>0.640625</v>
      </c>
      <c r="R127">
        <v>0.75</v>
      </c>
      <c r="S127">
        <v>1.3333333333333333</v>
      </c>
      <c r="T127">
        <v>11.999999999999998</v>
      </c>
    </row>
    <row r="128" spans="1:20" x14ac:dyDescent="0.3">
      <c r="A128">
        <v>1</v>
      </c>
      <c r="B128" t="s">
        <v>402</v>
      </c>
      <c r="C128" s="99">
        <v>46049</v>
      </c>
      <c r="D128" t="s">
        <v>96</v>
      </c>
      <c r="E128">
        <v>19</v>
      </c>
      <c r="F128" s="101">
        <v>46049.291666666664</v>
      </c>
      <c r="G128" s="101">
        <v>46049.791666666664</v>
      </c>
      <c r="H128" s="100">
        <v>7.2916666666666671E-2</v>
      </c>
      <c r="I128" s="100"/>
      <c r="J128" s="100"/>
      <c r="K128" s="100"/>
      <c r="L128">
        <v>10.25</v>
      </c>
      <c r="M128">
        <v>12</v>
      </c>
      <c r="N128">
        <v>194.75</v>
      </c>
      <c r="O128">
        <v>228</v>
      </c>
      <c r="P128">
        <v>500</v>
      </c>
      <c r="Q128">
        <v>0.38950000000000001</v>
      </c>
      <c r="R128">
        <v>0.45600000000000002</v>
      </c>
      <c r="S128">
        <v>2.1929824561403506</v>
      </c>
      <c r="T128">
        <v>11.999999999999998</v>
      </c>
    </row>
    <row r="129" spans="1:20" x14ac:dyDescent="0.3">
      <c r="A129">
        <v>1</v>
      </c>
      <c r="B129" t="s">
        <v>402</v>
      </c>
      <c r="C129" s="99">
        <v>46049</v>
      </c>
      <c r="D129" t="s">
        <v>97</v>
      </c>
      <c r="E129">
        <v>5</v>
      </c>
      <c r="F129" s="101">
        <v>46049.291666666664</v>
      </c>
      <c r="G129" s="101">
        <v>46049.791666666664</v>
      </c>
      <c r="H129" s="100">
        <v>7.2916666666666671E-2</v>
      </c>
      <c r="I129" s="100"/>
      <c r="J129" s="100"/>
      <c r="K129" s="100"/>
      <c r="L129">
        <v>10.25</v>
      </c>
      <c r="M129">
        <v>12</v>
      </c>
      <c r="N129">
        <v>51.25</v>
      </c>
      <c r="O129">
        <v>60</v>
      </c>
      <c r="P129">
        <v>438</v>
      </c>
      <c r="Q129">
        <v>0.11700913242009132</v>
      </c>
      <c r="R129">
        <v>0.13698630136986301</v>
      </c>
      <c r="S129">
        <v>7.3000000000000007</v>
      </c>
      <c r="T129">
        <v>11.999999999999998</v>
      </c>
    </row>
    <row r="130" spans="1:20" x14ac:dyDescent="0.3">
      <c r="A130">
        <v>1</v>
      </c>
      <c r="B130" t="s">
        <v>402</v>
      </c>
      <c r="C130" s="99">
        <v>46049</v>
      </c>
      <c r="D130" t="s">
        <v>98</v>
      </c>
      <c r="E130">
        <v>22</v>
      </c>
      <c r="F130" s="101">
        <v>46049.291666666664</v>
      </c>
      <c r="G130" s="101">
        <v>46049.791666666664</v>
      </c>
      <c r="H130" s="100">
        <v>7.2916666666666671E-2</v>
      </c>
      <c r="I130" s="100"/>
      <c r="J130" s="100"/>
      <c r="K130" s="100"/>
      <c r="L130">
        <v>10.25</v>
      </c>
      <c r="M130">
        <v>12</v>
      </c>
      <c r="N130">
        <v>225.5</v>
      </c>
      <c r="O130">
        <v>264</v>
      </c>
      <c r="P130">
        <v>498</v>
      </c>
      <c r="Q130">
        <v>0.4528112449799197</v>
      </c>
      <c r="R130">
        <v>0.53012048192771088</v>
      </c>
      <c r="S130">
        <v>1.8863636363636362</v>
      </c>
      <c r="T130">
        <v>11.999999999999998</v>
      </c>
    </row>
    <row r="131" spans="1:20" x14ac:dyDescent="0.3">
      <c r="A131">
        <v>1</v>
      </c>
      <c r="B131" t="s">
        <v>402</v>
      </c>
      <c r="C131" s="99">
        <v>46049</v>
      </c>
      <c r="D131" t="s">
        <v>99</v>
      </c>
      <c r="E131">
        <v>19</v>
      </c>
      <c r="F131" s="101">
        <v>46049.291666666664</v>
      </c>
      <c r="G131" s="101">
        <v>46049.791666666664</v>
      </c>
      <c r="H131" s="100">
        <v>7.2916666666666671E-2</v>
      </c>
      <c r="I131" s="100">
        <v>3.125E-2</v>
      </c>
      <c r="J131" s="100"/>
      <c r="K131" s="100"/>
      <c r="L131">
        <v>9.5</v>
      </c>
      <c r="M131">
        <v>12</v>
      </c>
      <c r="N131">
        <v>180.5</v>
      </c>
      <c r="O131">
        <v>228</v>
      </c>
      <c r="P131">
        <v>572</v>
      </c>
      <c r="Q131">
        <v>0.31555944055944057</v>
      </c>
      <c r="R131">
        <v>0.39860139860139859</v>
      </c>
      <c r="S131">
        <v>2.5087719298245617</v>
      </c>
      <c r="T131">
        <v>11.999999999999998</v>
      </c>
    </row>
    <row r="132" spans="1:20" x14ac:dyDescent="0.3">
      <c r="A132">
        <v>1</v>
      </c>
      <c r="B132" t="s">
        <v>402</v>
      </c>
      <c r="C132" s="99">
        <v>46050</v>
      </c>
      <c r="D132" t="s">
        <v>96</v>
      </c>
      <c r="E132">
        <v>20</v>
      </c>
      <c r="F132" s="101">
        <v>46050.291666666664</v>
      </c>
      <c r="G132" s="101">
        <v>46050.791666666664</v>
      </c>
      <c r="H132" s="100">
        <v>7.2916666666666671E-2</v>
      </c>
      <c r="I132" s="100"/>
      <c r="J132" s="100"/>
      <c r="K132" s="100"/>
      <c r="L132">
        <v>10.25</v>
      </c>
      <c r="M132">
        <v>12</v>
      </c>
      <c r="N132">
        <v>205</v>
      </c>
      <c r="O132">
        <v>240</v>
      </c>
      <c r="P132">
        <v>500</v>
      </c>
      <c r="Q132">
        <v>0.41</v>
      </c>
      <c r="R132">
        <v>0.48</v>
      </c>
      <c r="S132">
        <v>2.0833333333333335</v>
      </c>
      <c r="T132">
        <v>11.999999999999998</v>
      </c>
    </row>
    <row r="133" spans="1:20" x14ac:dyDescent="0.3">
      <c r="A133">
        <v>1</v>
      </c>
      <c r="B133" t="s">
        <v>402</v>
      </c>
      <c r="C133" s="99">
        <v>46050</v>
      </c>
      <c r="D133" t="s">
        <v>97</v>
      </c>
      <c r="E133">
        <v>5</v>
      </c>
      <c r="F133" s="101">
        <v>46050.291666666664</v>
      </c>
      <c r="G133" s="101">
        <v>46050.791666666664</v>
      </c>
      <c r="H133" s="100">
        <v>7.2916666666666671E-2</v>
      </c>
      <c r="I133" s="100"/>
      <c r="J133" s="100"/>
      <c r="K133" s="100"/>
      <c r="L133">
        <v>10.25</v>
      </c>
      <c r="M133">
        <v>12</v>
      </c>
      <c r="N133">
        <v>51.25</v>
      </c>
      <c r="O133">
        <v>60</v>
      </c>
      <c r="P133">
        <v>508</v>
      </c>
      <c r="Q133">
        <v>0.10088582677165354</v>
      </c>
      <c r="R133">
        <v>0.11811023622047244</v>
      </c>
      <c r="S133">
        <v>8.4666666666666668</v>
      </c>
      <c r="T133">
        <v>11.999999999999998</v>
      </c>
    </row>
    <row r="134" spans="1:20" x14ac:dyDescent="0.3">
      <c r="A134">
        <v>1</v>
      </c>
      <c r="B134" t="s">
        <v>402</v>
      </c>
      <c r="C134" s="99">
        <v>46050</v>
      </c>
      <c r="D134" t="s">
        <v>98</v>
      </c>
      <c r="E134">
        <v>21</v>
      </c>
      <c r="F134" s="101">
        <v>46050.291666666664</v>
      </c>
      <c r="G134" s="101">
        <v>46050.791666666664</v>
      </c>
      <c r="H134" s="100">
        <v>7.2916666666666671E-2</v>
      </c>
      <c r="I134" s="100">
        <v>4.1666666666666664E-2</v>
      </c>
      <c r="J134" s="100"/>
      <c r="K134" s="100"/>
      <c r="L134">
        <v>9.25</v>
      </c>
      <c r="M134">
        <v>12</v>
      </c>
      <c r="N134">
        <v>194.25</v>
      </c>
      <c r="O134">
        <v>252</v>
      </c>
      <c r="P134">
        <v>480</v>
      </c>
      <c r="Q134">
        <v>0.40468749999999998</v>
      </c>
      <c r="R134">
        <v>0.52500000000000002</v>
      </c>
      <c r="S134">
        <v>1.9047619047619047</v>
      </c>
      <c r="T134">
        <v>11.999999999999998</v>
      </c>
    </row>
    <row r="135" spans="1:20" x14ac:dyDescent="0.3">
      <c r="A135">
        <v>1</v>
      </c>
      <c r="B135" t="s">
        <v>402</v>
      </c>
      <c r="C135" s="99">
        <v>46050</v>
      </c>
      <c r="D135" t="s">
        <v>99</v>
      </c>
      <c r="E135">
        <v>19</v>
      </c>
      <c r="F135" s="101">
        <v>46050.291666666664</v>
      </c>
      <c r="G135" s="101">
        <v>46050.791666666664</v>
      </c>
      <c r="H135" s="100">
        <v>7.2916666666666671E-2</v>
      </c>
      <c r="I135" s="100"/>
      <c r="J135" s="100"/>
      <c r="K135" s="100"/>
      <c r="L135">
        <v>10.25</v>
      </c>
      <c r="M135">
        <v>12</v>
      </c>
      <c r="N135">
        <v>194.75</v>
      </c>
      <c r="O135">
        <v>228</v>
      </c>
      <c r="P135">
        <v>538</v>
      </c>
      <c r="Q135">
        <v>0.36198884758364314</v>
      </c>
      <c r="R135">
        <v>0.42379182156133827</v>
      </c>
      <c r="S135">
        <v>2.3596491228070176</v>
      </c>
      <c r="T135">
        <v>11.999999999999998</v>
      </c>
    </row>
    <row r="136" spans="1:20" x14ac:dyDescent="0.3">
      <c r="A136">
        <v>1</v>
      </c>
      <c r="B136" t="s">
        <v>402</v>
      </c>
      <c r="C136" s="99">
        <v>46051</v>
      </c>
      <c r="D136" t="s">
        <v>96</v>
      </c>
      <c r="E136">
        <v>19</v>
      </c>
      <c r="F136" s="101">
        <v>46051.291666666664</v>
      </c>
      <c r="G136" s="101">
        <v>46051.791666666664</v>
      </c>
      <c r="H136" s="100">
        <v>7.2916666666666671E-2</v>
      </c>
      <c r="I136" s="100"/>
      <c r="J136" s="100"/>
      <c r="K136" s="100"/>
      <c r="L136">
        <v>10.25</v>
      </c>
      <c r="M136">
        <v>12</v>
      </c>
      <c r="N136">
        <v>194.75</v>
      </c>
      <c r="O136">
        <v>228</v>
      </c>
      <c r="P136">
        <v>503</v>
      </c>
      <c r="Q136">
        <v>0.38717693836978129</v>
      </c>
      <c r="R136">
        <v>0.45328031809145131</v>
      </c>
      <c r="S136">
        <v>2.2061403508771931</v>
      </c>
      <c r="T136">
        <v>11.999999999999998</v>
      </c>
    </row>
    <row r="137" spans="1:20" x14ac:dyDescent="0.3">
      <c r="A137">
        <v>1</v>
      </c>
      <c r="B137" t="s">
        <v>402</v>
      </c>
      <c r="C137" s="99">
        <v>46051</v>
      </c>
      <c r="D137" t="s">
        <v>97</v>
      </c>
      <c r="E137">
        <v>5</v>
      </c>
      <c r="F137" s="101">
        <v>46051.291666666664</v>
      </c>
      <c r="G137" s="101">
        <v>46051.791666666664</v>
      </c>
      <c r="H137" s="100">
        <v>7.2916666666666671E-2</v>
      </c>
      <c r="I137" s="100"/>
      <c r="J137" s="100"/>
      <c r="K137" s="100"/>
      <c r="L137">
        <v>10.25</v>
      </c>
      <c r="M137">
        <v>12</v>
      </c>
      <c r="N137">
        <v>51.25</v>
      </c>
      <c r="O137">
        <v>60</v>
      </c>
      <c r="P137">
        <v>471</v>
      </c>
      <c r="Q137">
        <v>0.10881104033970276</v>
      </c>
      <c r="R137">
        <v>0.12738853503184713</v>
      </c>
      <c r="S137">
        <v>7.85</v>
      </c>
      <c r="T137">
        <v>11.999999999999998</v>
      </c>
    </row>
    <row r="138" spans="1:20" x14ac:dyDescent="0.3">
      <c r="A138">
        <v>1</v>
      </c>
      <c r="B138" t="s">
        <v>402</v>
      </c>
      <c r="C138" s="99">
        <v>46051</v>
      </c>
      <c r="D138" t="s">
        <v>98</v>
      </c>
      <c r="E138">
        <v>22</v>
      </c>
      <c r="F138" s="101">
        <v>46051.291666666664</v>
      </c>
      <c r="G138" s="101">
        <v>46051.791666666664</v>
      </c>
      <c r="H138" s="100">
        <v>7.2916666666666671E-2</v>
      </c>
      <c r="I138" s="100">
        <v>5.0694444444444445E-2</v>
      </c>
      <c r="J138" s="100"/>
      <c r="K138" s="100"/>
      <c r="L138">
        <v>9.0333333333333332</v>
      </c>
      <c r="M138">
        <v>12</v>
      </c>
      <c r="N138">
        <v>198.73333333333332</v>
      </c>
      <c r="O138">
        <v>264</v>
      </c>
      <c r="P138">
        <v>487</v>
      </c>
      <c r="Q138">
        <v>0.40807665982203967</v>
      </c>
      <c r="R138">
        <v>0.5420944558521561</v>
      </c>
      <c r="S138">
        <v>1.8446969696969695</v>
      </c>
      <c r="T138">
        <v>11.999999999999998</v>
      </c>
    </row>
    <row r="139" spans="1:20" x14ac:dyDescent="0.3">
      <c r="A139">
        <v>1</v>
      </c>
      <c r="B139" t="s">
        <v>402</v>
      </c>
      <c r="C139" s="99">
        <v>46051</v>
      </c>
      <c r="D139" t="s">
        <v>99</v>
      </c>
      <c r="E139">
        <v>19</v>
      </c>
      <c r="F139" s="101">
        <v>46051.291666666664</v>
      </c>
      <c r="G139" s="101">
        <v>46051.791666666664</v>
      </c>
      <c r="H139" s="100">
        <v>7.2916666666666671E-2</v>
      </c>
      <c r="I139" s="100">
        <v>0.1875</v>
      </c>
      <c r="J139" s="100"/>
      <c r="K139" s="100"/>
      <c r="L139">
        <v>5.75</v>
      </c>
      <c r="M139">
        <v>12</v>
      </c>
      <c r="N139">
        <v>109.25</v>
      </c>
      <c r="O139">
        <v>228</v>
      </c>
      <c r="P139">
        <v>438</v>
      </c>
      <c r="Q139">
        <v>0.24942922374429224</v>
      </c>
      <c r="R139">
        <v>0.52054794520547942</v>
      </c>
      <c r="S139">
        <v>1.9210526315789476</v>
      </c>
      <c r="T139">
        <v>11.999999999999998</v>
      </c>
    </row>
    <row r="140" spans="1:20" x14ac:dyDescent="0.3">
      <c r="A140">
        <v>1</v>
      </c>
      <c r="B140" t="s">
        <v>402</v>
      </c>
      <c r="C140" s="99">
        <v>46052</v>
      </c>
      <c r="D140" t="s">
        <v>96</v>
      </c>
      <c r="E140">
        <v>17</v>
      </c>
      <c r="F140" s="101">
        <v>46052.291666666664</v>
      </c>
      <c r="G140" s="101">
        <v>46052.791666666664</v>
      </c>
      <c r="H140" s="100">
        <v>7.2916666666666671E-2</v>
      </c>
      <c r="I140" s="100"/>
      <c r="J140" s="100"/>
      <c r="K140" s="100"/>
      <c r="L140">
        <v>10.25</v>
      </c>
      <c r="M140">
        <v>12</v>
      </c>
      <c r="N140">
        <v>174.25</v>
      </c>
      <c r="O140">
        <v>204</v>
      </c>
      <c r="P140">
        <v>420</v>
      </c>
      <c r="Q140">
        <v>0.41488095238095241</v>
      </c>
      <c r="R140">
        <v>0.48571428571428571</v>
      </c>
      <c r="S140">
        <v>2.0588235294117649</v>
      </c>
      <c r="T140">
        <v>11.999999999999998</v>
      </c>
    </row>
    <row r="141" spans="1:20" x14ac:dyDescent="0.3">
      <c r="A141">
        <v>1</v>
      </c>
      <c r="B141" t="s">
        <v>402</v>
      </c>
      <c r="C141" s="99">
        <v>46052</v>
      </c>
      <c r="D141" t="s">
        <v>97</v>
      </c>
      <c r="E141">
        <v>5</v>
      </c>
      <c r="F141" s="101">
        <v>46052.291666666664</v>
      </c>
      <c r="G141" s="101">
        <v>46052.791666666664</v>
      </c>
      <c r="H141" s="100">
        <v>7.2916666666666671E-2</v>
      </c>
      <c r="I141" s="100"/>
      <c r="J141" s="100"/>
      <c r="K141" s="100"/>
      <c r="L141">
        <v>10.25</v>
      </c>
      <c r="M141">
        <v>12</v>
      </c>
      <c r="N141">
        <v>51.25</v>
      </c>
      <c r="O141">
        <v>60</v>
      </c>
      <c r="P141">
        <v>482</v>
      </c>
      <c r="Q141">
        <v>0.10632780082987552</v>
      </c>
      <c r="R141">
        <v>0.12448132780082988</v>
      </c>
      <c r="S141">
        <v>8.0333333333333332</v>
      </c>
      <c r="T141">
        <v>11.999999999999998</v>
      </c>
    </row>
    <row r="142" spans="1:20" x14ac:dyDescent="0.3">
      <c r="A142">
        <v>1</v>
      </c>
      <c r="B142" t="s">
        <v>402</v>
      </c>
      <c r="C142" s="99">
        <v>46052</v>
      </c>
      <c r="D142" t="s">
        <v>98</v>
      </c>
      <c r="E142">
        <v>21</v>
      </c>
      <c r="F142" s="101">
        <v>46052.291666666664</v>
      </c>
      <c r="G142" s="101">
        <v>46052.791666666664</v>
      </c>
      <c r="H142" s="100">
        <v>7.2916666666666671E-2</v>
      </c>
      <c r="I142" s="100"/>
      <c r="J142" s="100"/>
      <c r="K142" s="100"/>
      <c r="L142">
        <v>10.25</v>
      </c>
      <c r="M142">
        <v>12</v>
      </c>
      <c r="N142">
        <v>215.25</v>
      </c>
      <c r="O142">
        <v>252</v>
      </c>
      <c r="P142">
        <v>443</v>
      </c>
      <c r="Q142">
        <v>0.48589164785553046</v>
      </c>
      <c r="R142">
        <v>0.56884875846501126</v>
      </c>
      <c r="S142">
        <v>1.7579365079365079</v>
      </c>
      <c r="T142">
        <v>11.999999999999998</v>
      </c>
    </row>
    <row r="143" spans="1:20" x14ac:dyDescent="0.3">
      <c r="A143">
        <v>1</v>
      </c>
      <c r="B143" t="s">
        <v>402</v>
      </c>
      <c r="C143" s="99">
        <v>46052</v>
      </c>
      <c r="D143" t="s">
        <v>99</v>
      </c>
      <c r="E143">
        <v>19</v>
      </c>
      <c r="F143" s="101">
        <v>46052.291666666664</v>
      </c>
      <c r="G143" s="101">
        <v>46052.708333333336</v>
      </c>
      <c r="H143" s="100">
        <v>6.25E-2</v>
      </c>
      <c r="I143" s="100"/>
      <c r="J143" s="100"/>
      <c r="K143" s="100"/>
      <c r="L143">
        <v>8.5</v>
      </c>
      <c r="M143">
        <v>10</v>
      </c>
      <c r="N143">
        <v>161.5</v>
      </c>
      <c r="O143">
        <v>190</v>
      </c>
      <c r="P143">
        <v>517</v>
      </c>
      <c r="Q143">
        <v>0.31237911025145065</v>
      </c>
      <c r="R143">
        <v>0.36750483558994196</v>
      </c>
      <c r="S143">
        <v>2.7210526315789476</v>
      </c>
      <c r="T143">
        <v>10</v>
      </c>
    </row>
    <row r="144" spans="1:20" x14ac:dyDescent="0.3">
      <c r="A144">
        <v>1</v>
      </c>
      <c r="B144" t="s">
        <v>402</v>
      </c>
      <c r="C144" s="99">
        <v>46053</v>
      </c>
      <c r="D144" t="s">
        <v>96</v>
      </c>
      <c r="E144">
        <v>19</v>
      </c>
      <c r="F144" s="101">
        <v>46053.291666666664</v>
      </c>
      <c r="G144" s="101">
        <v>46053.791666666664</v>
      </c>
      <c r="H144" s="100">
        <v>7.2916666666666671E-2</v>
      </c>
      <c r="I144" s="100"/>
      <c r="J144" s="100"/>
      <c r="K144" s="100"/>
      <c r="L144">
        <v>10.25</v>
      </c>
      <c r="M144">
        <v>12</v>
      </c>
      <c r="N144">
        <v>194.75</v>
      </c>
      <c r="O144">
        <v>228</v>
      </c>
      <c r="P144">
        <v>370</v>
      </c>
      <c r="Q144">
        <v>0.52635135135135136</v>
      </c>
      <c r="R144">
        <v>0.61621621621621625</v>
      </c>
      <c r="S144">
        <v>1.6228070175438596</v>
      </c>
      <c r="T144">
        <v>11.999999999999998</v>
      </c>
    </row>
    <row r="145" spans="1:20" x14ac:dyDescent="0.3">
      <c r="A145">
        <v>1</v>
      </c>
      <c r="B145" t="s">
        <v>402</v>
      </c>
      <c r="C145" s="99">
        <v>46053</v>
      </c>
      <c r="D145" t="s">
        <v>97</v>
      </c>
      <c r="E145">
        <v>5</v>
      </c>
      <c r="F145" s="101">
        <v>46053.291666666664</v>
      </c>
      <c r="G145" s="101">
        <v>46053.791666666664</v>
      </c>
      <c r="H145" s="100">
        <v>7.2916666666666671E-2</v>
      </c>
      <c r="I145" s="100"/>
      <c r="J145" s="100"/>
      <c r="K145" s="100"/>
      <c r="L145">
        <v>10.25</v>
      </c>
      <c r="M145">
        <v>12</v>
      </c>
      <c r="N145">
        <v>51.25</v>
      </c>
      <c r="O145">
        <v>60</v>
      </c>
      <c r="P145">
        <v>380</v>
      </c>
      <c r="Q145">
        <v>0.13486842105263158</v>
      </c>
      <c r="R145">
        <v>0.15789473684210525</v>
      </c>
      <c r="S145">
        <v>6.3333333333333339</v>
      </c>
      <c r="T145">
        <v>11.999999999999998</v>
      </c>
    </row>
    <row r="146" spans="1:20" x14ac:dyDescent="0.3">
      <c r="A146">
        <v>1</v>
      </c>
      <c r="B146" t="s">
        <v>402</v>
      </c>
      <c r="C146" s="99">
        <v>46053</v>
      </c>
      <c r="D146" t="s">
        <v>98</v>
      </c>
      <c r="E146">
        <v>20</v>
      </c>
      <c r="F146" s="101">
        <v>46053.291666666664</v>
      </c>
      <c r="G146" s="101">
        <v>46053.791666666664</v>
      </c>
      <c r="H146" s="100">
        <v>7.2916666666666671E-2</v>
      </c>
      <c r="I146" s="100"/>
      <c r="J146" s="100"/>
      <c r="K146" s="100"/>
      <c r="L146">
        <v>10.25</v>
      </c>
      <c r="M146">
        <v>12</v>
      </c>
      <c r="N146">
        <v>205</v>
      </c>
      <c r="O146">
        <v>240</v>
      </c>
      <c r="P146">
        <v>494</v>
      </c>
      <c r="Q146">
        <v>0.41497975708502022</v>
      </c>
      <c r="R146">
        <v>0.48582995951417002</v>
      </c>
      <c r="S146">
        <v>2.0583333333333336</v>
      </c>
      <c r="T146">
        <v>11.999999999999998</v>
      </c>
    </row>
    <row r="147" spans="1:20" x14ac:dyDescent="0.3">
      <c r="A147">
        <v>1</v>
      </c>
      <c r="B147" t="s">
        <v>402</v>
      </c>
      <c r="C147" s="99">
        <v>46053</v>
      </c>
      <c r="D147" t="s">
        <v>99</v>
      </c>
      <c r="E147">
        <v>17</v>
      </c>
      <c r="F147" s="101">
        <v>46053.291666666664</v>
      </c>
      <c r="G147" s="101">
        <v>46053.791666666664</v>
      </c>
      <c r="H147" s="100">
        <v>7.2916666666666671E-2</v>
      </c>
      <c r="I147" s="100">
        <v>0.1875</v>
      </c>
      <c r="J147" s="100"/>
      <c r="K147" s="100"/>
      <c r="L147">
        <v>5.75</v>
      </c>
      <c r="M147">
        <v>12</v>
      </c>
      <c r="N147">
        <v>97.75</v>
      </c>
      <c r="O147">
        <v>204</v>
      </c>
      <c r="P147">
        <v>377</v>
      </c>
      <c r="Q147">
        <v>0.25928381962864722</v>
      </c>
      <c r="R147">
        <v>0.54111405835543769</v>
      </c>
      <c r="S147">
        <v>1.8480392156862744</v>
      </c>
      <c r="T147">
        <v>11.999999999999998</v>
      </c>
    </row>
    <row r="148" spans="1:20" x14ac:dyDescent="0.3">
      <c r="A148">
        <v>2</v>
      </c>
      <c r="B148" t="s">
        <v>402</v>
      </c>
      <c r="C148" s="99">
        <v>46054</v>
      </c>
      <c r="D148" t="s">
        <v>98</v>
      </c>
      <c r="E148">
        <v>7</v>
      </c>
      <c r="F148" s="101">
        <v>46054.291666666664</v>
      </c>
      <c r="G148" s="101">
        <v>46054.666666666664</v>
      </c>
      <c r="H148" s="100">
        <v>6.25E-2</v>
      </c>
      <c r="I148" s="100"/>
      <c r="J148" s="100"/>
      <c r="K148" s="100"/>
      <c r="L148">
        <v>7.5</v>
      </c>
      <c r="M148">
        <v>9</v>
      </c>
      <c r="N148">
        <v>52.5</v>
      </c>
      <c r="O148">
        <v>63</v>
      </c>
      <c r="P148">
        <v>154</v>
      </c>
      <c r="Q148">
        <v>0.34090909090909088</v>
      </c>
      <c r="R148">
        <v>0.40909090909090912</v>
      </c>
      <c r="S148">
        <v>2.4444444444444442</v>
      </c>
      <c r="T148">
        <v>8.9999999999999982</v>
      </c>
    </row>
    <row r="149" spans="1:20" x14ac:dyDescent="0.3">
      <c r="A149">
        <v>2</v>
      </c>
      <c r="B149" t="s">
        <v>402</v>
      </c>
      <c r="C149" s="99">
        <v>46054</v>
      </c>
      <c r="D149" t="s">
        <v>99</v>
      </c>
      <c r="E149">
        <v>14</v>
      </c>
      <c r="F149" s="101">
        <v>46054.291666666664</v>
      </c>
      <c r="G149" s="101">
        <v>46054.708333333336</v>
      </c>
      <c r="H149" s="100">
        <v>6.25E-2</v>
      </c>
      <c r="I149" s="100"/>
      <c r="J149" s="100"/>
      <c r="K149" s="100"/>
      <c r="L149">
        <v>8.5</v>
      </c>
      <c r="M149">
        <v>10</v>
      </c>
      <c r="N149">
        <v>119</v>
      </c>
      <c r="O149">
        <v>140</v>
      </c>
      <c r="P149">
        <v>325</v>
      </c>
      <c r="Q149">
        <v>0.36615384615384616</v>
      </c>
      <c r="R149">
        <v>0.43076923076923079</v>
      </c>
      <c r="S149">
        <v>2.3214285714285712</v>
      </c>
      <c r="T149">
        <v>10</v>
      </c>
    </row>
    <row r="150" spans="1:20" x14ac:dyDescent="0.3">
      <c r="A150">
        <v>2</v>
      </c>
      <c r="B150" t="s">
        <v>402</v>
      </c>
      <c r="C150" s="99">
        <v>46055</v>
      </c>
      <c r="D150" t="s">
        <v>96</v>
      </c>
      <c r="E150">
        <v>17</v>
      </c>
      <c r="F150" s="101">
        <v>46055.291666666664</v>
      </c>
      <c r="G150" s="101">
        <v>46055.791666666664</v>
      </c>
      <c r="H150" s="100">
        <v>7.2916666666666671E-2</v>
      </c>
      <c r="I150" s="100"/>
      <c r="J150" s="100"/>
      <c r="K150" s="100"/>
      <c r="L150">
        <v>10.25</v>
      </c>
      <c r="M150">
        <v>12</v>
      </c>
      <c r="N150">
        <v>174.25</v>
      </c>
      <c r="O150">
        <v>204</v>
      </c>
      <c r="P150">
        <v>410</v>
      </c>
      <c r="Q150">
        <v>0.42499999999999999</v>
      </c>
      <c r="R150">
        <v>0.4975609756097561</v>
      </c>
      <c r="S150">
        <v>2.0098039215686274</v>
      </c>
      <c r="T150">
        <v>11.999999999999998</v>
      </c>
    </row>
    <row r="151" spans="1:20" x14ac:dyDescent="0.3">
      <c r="A151">
        <v>2</v>
      </c>
      <c r="B151" t="s">
        <v>402</v>
      </c>
      <c r="C151" s="99">
        <v>46055</v>
      </c>
      <c r="D151" t="s">
        <v>97</v>
      </c>
      <c r="E151">
        <v>5</v>
      </c>
      <c r="F151" s="101">
        <v>46055.291666666664</v>
      </c>
      <c r="G151" s="101">
        <v>46055.791666666664</v>
      </c>
      <c r="H151" s="100">
        <v>7.2916666666666671E-2</v>
      </c>
      <c r="I151" s="100"/>
      <c r="J151" s="100"/>
      <c r="K151" s="100"/>
      <c r="L151">
        <v>10.25</v>
      </c>
      <c r="M151">
        <v>12</v>
      </c>
      <c r="N151">
        <v>51.25</v>
      </c>
      <c r="O151">
        <v>60</v>
      </c>
      <c r="P151">
        <v>419</v>
      </c>
      <c r="Q151">
        <v>0.12231503579952267</v>
      </c>
      <c r="R151">
        <v>0.14319809069212411</v>
      </c>
      <c r="S151">
        <v>6.9833333333333334</v>
      </c>
      <c r="T151">
        <v>11.999999999999998</v>
      </c>
    </row>
    <row r="152" spans="1:20" x14ac:dyDescent="0.3">
      <c r="A152">
        <v>2</v>
      </c>
      <c r="B152" t="s">
        <v>402</v>
      </c>
      <c r="C152" s="99">
        <v>46055</v>
      </c>
      <c r="D152" t="s">
        <v>98</v>
      </c>
      <c r="E152">
        <v>17</v>
      </c>
      <c r="F152" s="101">
        <v>46055.291666666664</v>
      </c>
      <c r="G152" s="101">
        <v>46055.791666666664</v>
      </c>
      <c r="H152" s="100">
        <v>7.2916666666666671E-2</v>
      </c>
      <c r="I152" s="100"/>
      <c r="J152" s="100"/>
      <c r="K152" s="100"/>
      <c r="L152">
        <v>10.25</v>
      </c>
      <c r="M152">
        <v>12</v>
      </c>
      <c r="N152">
        <v>174.25</v>
      </c>
      <c r="O152">
        <v>204</v>
      </c>
      <c r="P152">
        <v>333</v>
      </c>
      <c r="Q152">
        <v>0.52327327327327322</v>
      </c>
      <c r="R152">
        <v>0.61261261261261257</v>
      </c>
      <c r="S152">
        <v>1.6323529411764708</v>
      </c>
      <c r="T152">
        <v>11.999999999999998</v>
      </c>
    </row>
    <row r="153" spans="1:20" x14ac:dyDescent="0.3">
      <c r="A153">
        <v>2</v>
      </c>
      <c r="B153" t="s">
        <v>402</v>
      </c>
      <c r="C153" s="99">
        <v>46055</v>
      </c>
      <c r="D153" t="s">
        <v>99</v>
      </c>
      <c r="E153">
        <v>15</v>
      </c>
      <c r="F153" s="101">
        <v>46055.291666666664</v>
      </c>
      <c r="G153" s="101">
        <v>46055.791666666664</v>
      </c>
      <c r="H153" s="100">
        <v>7.2916666666666671E-2</v>
      </c>
      <c r="I153" s="100"/>
      <c r="J153" s="100"/>
      <c r="K153" s="100"/>
      <c r="L153">
        <v>10.25</v>
      </c>
      <c r="M153">
        <v>12</v>
      </c>
      <c r="N153">
        <v>153.75</v>
      </c>
      <c r="O153">
        <v>180</v>
      </c>
      <c r="P153">
        <v>302</v>
      </c>
      <c r="Q153">
        <v>0.50910596026490063</v>
      </c>
      <c r="R153">
        <v>0.59602649006622521</v>
      </c>
      <c r="S153">
        <v>1.6777777777777776</v>
      </c>
      <c r="T153">
        <v>11.999999999999998</v>
      </c>
    </row>
    <row r="154" spans="1:20" x14ac:dyDescent="0.3">
      <c r="A154">
        <v>2</v>
      </c>
      <c r="B154" t="s">
        <v>402</v>
      </c>
      <c r="C154" s="99">
        <v>46056</v>
      </c>
      <c r="D154" t="s">
        <v>96</v>
      </c>
      <c r="E154">
        <v>18</v>
      </c>
      <c r="F154" s="101">
        <v>46056.291666666664</v>
      </c>
      <c r="G154" s="101">
        <v>46056.791666666664</v>
      </c>
      <c r="H154" s="100">
        <v>7.2916666666666671E-2</v>
      </c>
      <c r="I154" s="100"/>
      <c r="J154" s="100"/>
      <c r="K154" s="100"/>
      <c r="L154">
        <v>10.25</v>
      </c>
      <c r="M154">
        <v>12</v>
      </c>
      <c r="N154">
        <v>184.5</v>
      </c>
      <c r="O154">
        <v>216</v>
      </c>
      <c r="P154">
        <v>459</v>
      </c>
      <c r="Q154">
        <v>0.40196078431372551</v>
      </c>
      <c r="R154">
        <v>0.47058823529411764</v>
      </c>
      <c r="S154">
        <v>2.125</v>
      </c>
      <c r="T154">
        <v>11.999999999999998</v>
      </c>
    </row>
    <row r="155" spans="1:20" x14ac:dyDescent="0.3">
      <c r="A155">
        <v>2</v>
      </c>
      <c r="B155" t="s">
        <v>402</v>
      </c>
      <c r="C155" s="99">
        <v>46056</v>
      </c>
      <c r="D155" t="s">
        <v>97</v>
      </c>
      <c r="E155">
        <v>5</v>
      </c>
      <c r="F155" s="101">
        <v>46056.291666666664</v>
      </c>
      <c r="G155" s="101">
        <v>46056.791666666664</v>
      </c>
      <c r="H155" s="100">
        <v>7.2916666666666671E-2</v>
      </c>
      <c r="I155" s="100"/>
      <c r="J155" s="100"/>
      <c r="K155" s="100"/>
      <c r="L155">
        <v>10.25</v>
      </c>
      <c r="M155">
        <v>12</v>
      </c>
      <c r="N155">
        <v>51.25</v>
      </c>
      <c r="O155">
        <v>60</v>
      </c>
      <c r="P155">
        <v>401</v>
      </c>
      <c r="Q155">
        <v>0.12780548628428928</v>
      </c>
      <c r="R155">
        <v>0.14962593516209477</v>
      </c>
      <c r="S155">
        <v>6.6833333333333327</v>
      </c>
      <c r="T155">
        <v>11.999999999999998</v>
      </c>
    </row>
    <row r="156" spans="1:20" x14ac:dyDescent="0.3">
      <c r="A156">
        <v>2</v>
      </c>
      <c r="B156" t="s">
        <v>402</v>
      </c>
      <c r="C156" s="99">
        <v>46056</v>
      </c>
      <c r="D156" t="s">
        <v>98</v>
      </c>
      <c r="E156">
        <v>19</v>
      </c>
      <c r="F156" s="101">
        <v>46056.291666666664</v>
      </c>
      <c r="G156" s="101">
        <v>46056.791666666664</v>
      </c>
      <c r="H156" s="100">
        <v>7.2916666666666671E-2</v>
      </c>
      <c r="I156" s="100"/>
      <c r="J156" s="100"/>
      <c r="K156" s="100"/>
      <c r="L156">
        <v>10.25</v>
      </c>
      <c r="M156">
        <v>12</v>
      </c>
      <c r="N156">
        <v>194.75</v>
      </c>
      <c r="O156">
        <v>228</v>
      </c>
      <c r="P156">
        <v>390</v>
      </c>
      <c r="Q156">
        <v>0.49935897435897436</v>
      </c>
      <c r="R156">
        <v>0.58461538461538465</v>
      </c>
      <c r="S156">
        <v>1.7105263157894737</v>
      </c>
      <c r="T156">
        <v>11.999999999999998</v>
      </c>
    </row>
    <row r="157" spans="1:20" x14ac:dyDescent="0.3">
      <c r="A157">
        <v>2</v>
      </c>
      <c r="B157" t="s">
        <v>402</v>
      </c>
      <c r="C157" s="99">
        <v>46056</v>
      </c>
      <c r="D157" t="s">
        <v>99</v>
      </c>
      <c r="E157">
        <v>16</v>
      </c>
      <c r="F157" s="101">
        <v>46056.291666666664</v>
      </c>
      <c r="G157" s="101">
        <v>46056.791666666664</v>
      </c>
      <c r="H157" s="100">
        <v>7.2916666666666671E-2</v>
      </c>
      <c r="I157" s="100">
        <v>0.26944444444444443</v>
      </c>
      <c r="J157" s="100"/>
      <c r="K157" s="100"/>
      <c r="L157">
        <v>3.7833333333333332</v>
      </c>
      <c r="M157">
        <v>12</v>
      </c>
      <c r="N157">
        <v>60.533333333333331</v>
      </c>
      <c r="O157">
        <v>192</v>
      </c>
      <c r="P157">
        <v>75</v>
      </c>
      <c r="Q157">
        <v>0.80711111111111111</v>
      </c>
      <c r="R157">
        <v>2.56</v>
      </c>
      <c r="S157">
        <v>0.390625</v>
      </c>
      <c r="T157">
        <v>11.999999999999998</v>
      </c>
    </row>
    <row r="158" spans="1:20" x14ac:dyDescent="0.3">
      <c r="A158">
        <v>2</v>
      </c>
      <c r="B158" t="s">
        <v>402</v>
      </c>
      <c r="C158" s="99">
        <v>46057</v>
      </c>
      <c r="D158" t="s">
        <v>96</v>
      </c>
      <c r="E158">
        <v>15</v>
      </c>
      <c r="F158" s="101">
        <v>46057.291666666664</v>
      </c>
      <c r="G158" s="101">
        <v>46057.791666666664</v>
      </c>
      <c r="H158" s="100">
        <v>7.2916666666666671E-2</v>
      </c>
      <c r="I158" s="100"/>
      <c r="J158" s="100"/>
      <c r="K158" s="100"/>
      <c r="L158">
        <v>10.25</v>
      </c>
      <c r="M158">
        <v>12</v>
      </c>
      <c r="N158">
        <v>153.75</v>
      </c>
      <c r="O158">
        <v>180</v>
      </c>
      <c r="P158">
        <v>380</v>
      </c>
      <c r="Q158">
        <v>0.40460526315789475</v>
      </c>
      <c r="R158">
        <v>0.47368421052631576</v>
      </c>
      <c r="S158">
        <v>2.1111111111111112</v>
      </c>
      <c r="T158">
        <v>11.999999999999998</v>
      </c>
    </row>
    <row r="159" spans="1:20" x14ac:dyDescent="0.3">
      <c r="A159">
        <v>2</v>
      </c>
      <c r="B159" t="s">
        <v>402</v>
      </c>
      <c r="C159" s="99">
        <v>46057</v>
      </c>
      <c r="D159" t="s">
        <v>97</v>
      </c>
      <c r="E159">
        <v>4</v>
      </c>
      <c r="F159" s="101">
        <v>46057.291666666664</v>
      </c>
      <c r="G159" s="101">
        <v>46057.791666666664</v>
      </c>
      <c r="H159" s="100">
        <v>7.2916666666666671E-2</v>
      </c>
      <c r="I159" s="100"/>
      <c r="J159" s="100"/>
      <c r="K159" s="100"/>
      <c r="L159">
        <v>10.25</v>
      </c>
      <c r="M159">
        <v>12</v>
      </c>
      <c r="N159">
        <v>41</v>
      </c>
      <c r="O159">
        <v>48</v>
      </c>
      <c r="P159">
        <v>381</v>
      </c>
      <c r="Q159">
        <v>0.10761154855643044</v>
      </c>
      <c r="R159">
        <v>0.12598425196850394</v>
      </c>
      <c r="S159">
        <v>7.9375</v>
      </c>
      <c r="T159">
        <v>11.999999999999998</v>
      </c>
    </row>
    <row r="160" spans="1:20" x14ac:dyDescent="0.3">
      <c r="A160">
        <v>2</v>
      </c>
      <c r="B160" t="s">
        <v>402</v>
      </c>
      <c r="C160" s="99">
        <v>46057</v>
      </c>
      <c r="D160" t="s">
        <v>98</v>
      </c>
      <c r="E160">
        <v>20</v>
      </c>
      <c r="F160" s="101">
        <v>46057.291666666664</v>
      </c>
      <c r="G160" s="101">
        <v>46057.791666666664</v>
      </c>
      <c r="H160" s="100">
        <v>7.2916666666666671E-2</v>
      </c>
      <c r="I160" s="100">
        <v>5.347222222222222E-2</v>
      </c>
      <c r="J160" s="100"/>
      <c r="K160" s="100"/>
      <c r="L160">
        <v>8.9666666666666668</v>
      </c>
      <c r="M160">
        <v>12</v>
      </c>
      <c r="N160">
        <v>179.33333333333334</v>
      </c>
      <c r="O160">
        <v>240</v>
      </c>
      <c r="P160">
        <v>423</v>
      </c>
      <c r="Q160">
        <v>0.4239558707643814</v>
      </c>
      <c r="R160">
        <v>0.56737588652482274</v>
      </c>
      <c r="S160">
        <v>1.7625</v>
      </c>
      <c r="T160">
        <v>11.999999999999998</v>
      </c>
    </row>
    <row r="161" spans="1:20" x14ac:dyDescent="0.3">
      <c r="A161">
        <v>2</v>
      </c>
      <c r="B161" t="s">
        <v>402</v>
      </c>
      <c r="C161" s="99">
        <v>46057</v>
      </c>
      <c r="D161" t="s">
        <v>99</v>
      </c>
      <c r="E161">
        <v>15</v>
      </c>
      <c r="F161" s="101">
        <v>46057.291666666664</v>
      </c>
      <c r="G161" s="101">
        <v>46057.875</v>
      </c>
      <c r="H161" s="100">
        <v>7.2916666666666671E-2</v>
      </c>
      <c r="I161" s="100"/>
      <c r="J161" s="100"/>
      <c r="K161" s="100"/>
      <c r="L161">
        <v>12.25</v>
      </c>
      <c r="M161">
        <v>14</v>
      </c>
      <c r="N161">
        <v>183.75</v>
      </c>
      <c r="O161">
        <v>210</v>
      </c>
      <c r="P161">
        <v>486</v>
      </c>
      <c r="Q161">
        <v>0.37808641975308643</v>
      </c>
      <c r="R161">
        <v>0.43209876543209874</v>
      </c>
      <c r="S161">
        <v>2.3142857142857145</v>
      </c>
      <c r="T161">
        <v>13.999999999999998</v>
      </c>
    </row>
    <row r="162" spans="1:20" x14ac:dyDescent="0.3">
      <c r="A162">
        <v>2</v>
      </c>
      <c r="B162" t="s">
        <v>402</v>
      </c>
      <c r="C162" s="99">
        <v>46058</v>
      </c>
      <c r="D162" t="s">
        <v>96</v>
      </c>
      <c r="E162">
        <v>18</v>
      </c>
      <c r="F162" s="101">
        <v>46058.291666666664</v>
      </c>
      <c r="G162" s="101">
        <v>46058.791666666664</v>
      </c>
      <c r="H162" s="100">
        <v>7.2916666666666671E-2</v>
      </c>
      <c r="I162" s="100"/>
      <c r="J162" s="100"/>
      <c r="K162" s="100"/>
      <c r="L162">
        <v>10.25</v>
      </c>
      <c r="M162">
        <v>12</v>
      </c>
      <c r="N162">
        <v>184.5</v>
      </c>
      <c r="O162">
        <v>216</v>
      </c>
      <c r="P162">
        <v>395</v>
      </c>
      <c r="Q162">
        <v>0.4670886075949367</v>
      </c>
      <c r="R162">
        <v>0.54683544303797471</v>
      </c>
      <c r="S162">
        <v>1.8287037037037037</v>
      </c>
      <c r="T162">
        <v>11.999999999999998</v>
      </c>
    </row>
    <row r="163" spans="1:20" x14ac:dyDescent="0.3">
      <c r="A163">
        <v>2</v>
      </c>
      <c r="B163" t="s">
        <v>402</v>
      </c>
      <c r="C163" s="99">
        <v>46058</v>
      </c>
      <c r="D163" t="s">
        <v>97</v>
      </c>
      <c r="E163">
        <v>5</v>
      </c>
      <c r="F163" s="101">
        <v>46058.291666666664</v>
      </c>
      <c r="G163" s="101">
        <v>46058.791666666664</v>
      </c>
      <c r="H163" s="100">
        <v>7.2916666666666671E-2</v>
      </c>
      <c r="I163" s="100"/>
      <c r="J163" s="100"/>
      <c r="K163" s="100"/>
      <c r="L163">
        <v>10.25</v>
      </c>
      <c r="M163">
        <v>12</v>
      </c>
      <c r="N163">
        <v>51.25</v>
      </c>
      <c r="O163">
        <v>60</v>
      </c>
      <c r="P163">
        <v>442</v>
      </c>
      <c r="Q163">
        <v>0.1159502262443439</v>
      </c>
      <c r="R163">
        <v>0.13574660633484162</v>
      </c>
      <c r="S163">
        <v>7.3666666666666671</v>
      </c>
      <c r="T163">
        <v>11.999999999999998</v>
      </c>
    </row>
    <row r="164" spans="1:20" x14ac:dyDescent="0.3">
      <c r="A164">
        <v>2</v>
      </c>
      <c r="B164" t="s">
        <v>402</v>
      </c>
      <c r="C164" s="99">
        <v>46058</v>
      </c>
      <c r="D164" t="s">
        <v>98</v>
      </c>
      <c r="E164">
        <v>20</v>
      </c>
      <c r="F164" s="101">
        <v>46058.291666666664</v>
      </c>
      <c r="G164" s="101">
        <v>46058.791666666664</v>
      </c>
      <c r="H164" s="100">
        <v>7.2916666666666671E-2</v>
      </c>
      <c r="I164" s="100"/>
      <c r="J164" s="100"/>
      <c r="K164" s="100"/>
      <c r="L164">
        <v>10.25</v>
      </c>
      <c r="M164">
        <v>12</v>
      </c>
      <c r="N164">
        <v>205</v>
      </c>
      <c r="O164">
        <v>240</v>
      </c>
      <c r="P164">
        <v>406</v>
      </c>
      <c r="Q164">
        <v>0.50492610837438423</v>
      </c>
      <c r="R164">
        <v>0.59113300492610843</v>
      </c>
      <c r="S164">
        <v>1.6916666666666664</v>
      </c>
      <c r="T164">
        <v>11.999999999999998</v>
      </c>
    </row>
    <row r="165" spans="1:20" x14ac:dyDescent="0.3">
      <c r="A165">
        <v>2</v>
      </c>
      <c r="B165" t="s">
        <v>402</v>
      </c>
      <c r="C165" s="99">
        <v>46058</v>
      </c>
      <c r="D165" t="s">
        <v>99</v>
      </c>
      <c r="E165">
        <v>0</v>
      </c>
      <c r="F165" s="101">
        <v>46058.291666666664</v>
      </c>
      <c r="G165" s="101">
        <v>46058.875</v>
      </c>
      <c r="H165" s="100">
        <v>7.2916666666666671E-2</v>
      </c>
      <c r="I165" s="100"/>
      <c r="J165" s="100"/>
      <c r="K165" s="100"/>
      <c r="L165">
        <v>12.25</v>
      </c>
      <c r="M165">
        <v>14</v>
      </c>
      <c r="N165">
        <v>0</v>
      </c>
      <c r="O165">
        <v>0</v>
      </c>
      <c r="P165">
        <v>417</v>
      </c>
      <c r="Q165">
        <v>0</v>
      </c>
      <c r="R165">
        <v>0</v>
      </c>
      <c r="S165" t="e">
        <v>#NUM!</v>
      </c>
      <c r="T165">
        <v>13.999999999999998</v>
      </c>
    </row>
    <row r="166" spans="1:20" x14ac:dyDescent="0.3">
      <c r="A166">
        <v>1</v>
      </c>
      <c r="B166" t="s">
        <v>391</v>
      </c>
      <c r="C166" s="99">
        <v>46023</v>
      </c>
      <c r="D166" t="s">
        <v>96</v>
      </c>
      <c r="E166">
        <v>91</v>
      </c>
      <c r="F166" s="101">
        <v>46023.291666666664</v>
      </c>
      <c r="G166" s="101">
        <v>46024.291666666664</v>
      </c>
      <c r="H166" s="100">
        <v>0.14583333333333334</v>
      </c>
      <c r="I166" s="100"/>
      <c r="J166" s="100"/>
      <c r="K166" s="100"/>
      <c r="L166">
        <v>20.5</v>
      </c>
      <c r="M166">
        <v>24</v>
      </c>
      <c r="N166">
        <v>1865.5</v>
      </c>
      <c r="O166">
        <v>2184</v>
      </c>
      <c r="P166">
        <v>1202</v>
      </c>
      <c r="Q166">
        <v>1.5519966722129783</v>
      </c>
      <c r="R166">
        <v>1.8169717138103161</v>
      </c>
      <c r="S166">
        <v>0.55036630036630041</v>
      </c>
      <c r="T166">
        <v>24</v>
      </c>
    </row>
    <row r="167" spans="1:20" x14ac:dyDescent="0.3">
      <c r="A167">
        <v>1</v>
      </c>
      <c r="B167" t="s">
        <v>391</v>
      </c>
      <c r="C167" s="99">
        <v>46023</v>
      </c>
      <c r="D167" t="s">
        <v>97</v>
      </c>
      <c r="E167">
        <v>12</v>
      </c>
      <c r="F167" s="101">
        <v>46023.291666666664</v>
      </c>
      <c r="G167" s="101">
        <v>46024.291666666664</v>
      </c>
      <c r="H167" s="100">
        <v>0.14583333333333334</v>
      </c>
      <c r="I167" s="100">
        <v>0.14583333333333334</v>
      </c>
      <c r="J167" s="100"/>
      <c r="K167" s="100">
        <v>0.16666666666666666</v>
      </c>
      <c r="L167">
        <v>17</v>
      </c>
      <c r="M167">
        <v>24</v>
      </c>
      <c r="N167">
        <v>204</v>
      </c>
      <c r="O167">
        <v>288</v>
      </c>
      <c r="P167">
        <v>1109</v>
      </c>
      <c r="Q167">
        <v>0.18394950405770966</v>
      </c>
      <c r="R167">
        <v>0.25969341749323716</v>
      </c>
      <c r="S167">
        <v>3.8506944444444442</v>
      </c>
      <c r="T167">
        <v>24</v>
      </c>
    </row>
    <row r="168" spans="1:20" x14ac:dyDescent="0.3">
      <c r="A168">
        <v>1</v>
      </c>
      <c r="B168" t="s">
        <v>391</v>
      </c>
      <c r="C168" s="99">
        <v>46023</v>
      </c>
      <c r="D168" t="s">
        <v>98</v>
      </c>
      <c r="E168">
        <v>74</v>
      </c>
      <c r="F168" s="101">
        <v>46023.291666666664</v>
      </c>
      <c r="G168" s="101">
        <v>46024.291666666664</v>
      </c>
      <c r="H168" s="100">
        <v>0.14583333333333334</v>
      </c>
      <c r="I168" s="100">
        <v>3.125E-2</v>
      </c>
      <c r="J168" s="100"/>
      <c r="K168" s="100"/>
      <c r="L168">
        <v>19.75</v>
      </c>
      <c r="M168">
        <v>24</v>
      </c>
      <c r="N168">
        <v>1461.5</v>
      </c>
      <c r="O168">
        <v>1776</v>
      </c>
      <c r="P168">
        <v>1055</v>
      </c>
      <c r="Q168">
        <v>1.385308056872038</v>
      </c>
      <c r="R168">
        <v>1.6834123222748816</v>
      </c>
      <c r="S168">
        <v>0.59403153153153154</v>
      </c>
      <c r="T168">
        <v>24</v>
      </c>
    </row>
    <row r="169" spans="1:20" x14ac:dyDescent="0.3">
      <c r="A169">
        <v>1</v>
      </c>
      <c r="B169" t="s">
        <v>391</v>
      </c>
      <c r="C169" s="99">
        <v>46023</v>
      </c>
      <c r="D169" t="s">
        <v>99</v>
      </c>
      <c r="E169">
        <v>67</v>
      </c>
      <c r="F169" s="101">
        <v>46023.291666666664</v>
      </c>
      <c r="G169" s="101">
        <v>46024.291666666664</v>
      </c>
      <c r="H169" s="100">
        <v>0.14583333333333334</v>
      </c>
      <c r="I169" s="100"/>
      <c r="J169" s="100"/>
      <c r="K169" s="100"/>
      <c r="L169">
        <v>20.5</v>
      </c>
      <c r="M169">
        <v>24</v>
      </c>
      <c r="N169">
        <v>1373.5</v>
      </c>
      <c r="O169">
        <v>1608</v>
      </c>
      <c r="P169">
        <v>947</v>
      </c>
      <c r="Q169">
        <v>1.4503695881731784</v>
      </c>
      <c r="R169">
        <v>1.6979936642027456</v>
      </c>
      <c r="S169">
        <v>0.58893034825870649</v>
      </c>
      <c r="T169">
        <v>24</v>
      </c>
    </row>
    <row r="170" spans="1:20" x14ac:dyDescent="0.3">
      <c r="A170">
        <v>1</v>
      </c>
      <c r="B170" t="s">
        <v>391</v>
      </c>
      <c r="C170" s="99">
        <v>46024</v>
      </c>
      <c r="D170" t="s">
        <v>96</v>
      </c>
      <c r="E170">
        <v>57</v>
      </c>
      <c r="F170" s="101">
        <v>46024.291666666664</v>
      </c>
      <c r="G170" s="101">
        <v>46024.791666666664</v>
      </c>
      <c r="H170" s="100">
        <v>7.2916666666666671E-2</v>
      </c>
      <c r="I170" s="100"/>
      <c r="J170" s="100"/>
      <c r="K170" s="100">
        <v>2.0833333333333332E-2</v>
      </c>
      <c r="L170">
        <v>10.25</v>
      </c>
      <c r="M170">
        <v>12</v>
      </c>
      <c r="N170">
        <v>584.25</v>
      </c>
      <c r="O170">
        <v>684</v>
      </c>
      <c r="P170">
        <v>1033</v>
      </c>
      <c r="Q170">
        <v>0.56558567279767669</v>
      </c>
      <c r="R170">
        <v>0.66214908034849951</v>
      </c>
      <c r="S170">
        <v>1.510233918128655</v>
      </c>
      <c r="T170">
        <v>11.999999999999998</v>
      </c>
    </row>
    <row r="171" spans="1:20" x14ac:dyDescent="0.3">
      <c r="A171">
        <v>1</v>
      </c>
      <c r="B171" t="s">
        <v>391</v>
      </c>
      <c r="C171" s="99">
        <v>46024</v>
      </c>
      <c r="D171" t="s">
        <v>97</v>
      </c>
      <c r="E171">
        <v>12</v>
      </c>
      <c r="F171" s="101">
        <v>46024.291666666664</v>
      </c>
      <c r="G171" s="101">
        <v>46025.291666666664</v>
      </c>
      <c r="H171" s="100">
        <v>0.14583333333333334</v>
      </c>
      <c r="I171" s="100">
        <v>0.1388888888888889</v>
      </c>
      <c r="J171" s="100"/>
      <c r="K171" s="100">
        <v>0.34027777777777779</v>
      </c>
      <c r="L171">
        <v>17.166666666666668</v>
      </c>
      <c r="M171">
        <v>24</v>
      </c>
      <c r="N171">
        <v>206</v>
      </c>
      <c r="O171">
        <v>288</v>
      </c>
      <c r="P171">
        <v>881</v>
      </c>
      <c r="Q171">
        <v>0.23382519863791146</v>
      </c>
      <c r="R171">
        <v>0.32690124858115777</v>
      </c>
      <c r="S171">
        <v>3.0590277777777777</v>
      </c>
      <c r="T171">
        <v>24</v>
      </c>
    </row>
    <row r="172" spans="1:20" x14ac:dyDescent="0.3">
      <c r="A172">
        <v>1</v>
      </c>
      <c r="B172" t="s">
        <v>391</v>
      </c>
      <c r="C172" s="99">
        <v>46024</v>
      </c>
      <c r="D172" t="s">
        <v>98</v>
      </c>
      <c r="E172">
        <v>74</v>
      </c>
      <c r="F172" s="101">
        <v>46024.291666666664</v>
      </c>
      <c r="G172" s="101">
        <v>46025.291666666664</v>
      </c>
      <c r="H172" s="100">
        <v>0.14583333333333334</v>
      </c>
      <c r="I172" s="100">
        <v>0.11458333333333333</v>
      </c>
      <c r="J172" s="100"/>
      <c r="K172" s="100"/>
      <c r="L172">
        <v>17.75</v>
      </c>
      <c r="M172">
        <v>24</v>
      </c>
      <c r="N172">
        <v>1313.5</v>
      </c>
      <c r="O172">
        <v>1776</v>
      </c>
      <c r="P172">
        <v>1033</v>
      </c>
      <c r="Q172">
        <v>1.2715392061955471</v>
      </c>
      <c r="R172">
        <v>1.7192642787996129</v>
      </c>
      <c r="S172">
        <v>0.58164414414414412</v>
      </c>
      <c r="T172">
        <v>24</v>
      </c>
    </row>
    <row r="173" spans="1:20" x14ac:dyDescent="0.3">
      <c r="A173">
        <v>1</v>
      </c>
      <c r="B173" t="s">
        <v>391</v>
      </c>
      <c r="C173" s="99">
        <v>46024</v>
      </c>
      <c r="D173" t="s">
        <v>99</v>
      </c>
      <c r="E173">
        <v>72</v>
      </c>
      <c r="F173" s="101">
        <v>46024.291666666664</v>
      </c>
      <c r="G173" s="101">
        <v>46025.291666666664</v>
      </c>
      <c r="H173" s="100">
        <v>0.14583333333333334</v>
      </c>
      <c r="I173" s="100">
        <v>0.12152777777777778</v>
      </c>
      <c r="J173" s="100"/>
      <c r="K173" s="100"/>
      <c r="L173">
        <v>17.583333333333332</v>
      </c>
      <c r="M173">
        <v>24</v>
      </c>
      <c r="N173">
        <v>1266</v>
      </c>
      <c r="O173">
        <v>1728</v>
      </c>
      <c r="P173">
        <v>1002</v>
      </c>
      <c r="Q173">
        <v>1.2634730538922156</v>
      </c>
      <c r="R173">
        <v>1.7245508982035929</v>
      </c>
      <c r="S173">
        <v>0.57986111111111105</v>
      </c>
      <c r="T173">
        <v>24</v>
      </c>
    </row>
    <row r="174" spans="1:20" x14ac:dyDescent="0.3">
      <c r="A174">
        <v>1</v>
      </c>
      <c r="B174" t="s">
        <v>391</v>
      </c>
      <c r="C174" s="99">
        <v>46025</v>
      </c>
      <c r="D174" t="s">
        <v>96</v>
      </c>
      <c r="E174">
        <v>83</v>
      </c>
      <c r="F174" s="101">
        <v>46025.291666666664</v>
      </c>
      <c r="G174" s="101">
        <v>46026.291666666664</v>
      </c>
      <c r="H174" s="100">
        <v>0.14583333333333334</v>
      </c>
      <c r="I174" s="100"/>
      <c r="J174" s="100"/>
      <c r="K174" s="100">
        <v>1.3888888888888888E-2</v>
      </c>
      <c r="L174">
        <v>20.5</v>
      </c>
      <c r="M174">
        <v>24</v>
      </c>
      <c r="N174">
        <v>1701.5</v>
      </c>
      <c r="O174">
        <v>1992</v>
      </c>
      <c r="P174">
        <v>1015</v>
      </c>
      <c r="Q174">
        <v>1.6763546798029556</v>
      </c>
      <c r="R174">
        <v>1.9625615763546798</v>
      </c>
      <c r="S174">
        <v>0.50953815261044177</v>
      </c>
      <c r="T174">
        <v>24</v>
      </c>
    </row>
    <row r="175" spans="1:20" x14ac:dyDescent="0.3">
      <c r="A175">
        <v>1</v>
      </c>
      <c r="B175" t="s">
        <v>391</v>
      </c>
      <c r="C175" s="99">
        <v>46025</v>
      </c>
      <c r="D175" t="s">
        <v>97</v>
      </c>
      <c r="E175">
        <v>11</v>
      </c>
      <c r="F175" s="101">
        <v>46025.291666666664</v>
      </c>
      <c r="G175" s="101">
        <v>46026.291666666664</v>
      </c>
      <c r="H175" s="100">
        <v>0.14583333333333334</v>
      </c>
      <c r="I175" s="100"/>
      <c r="J175" s="100"/>
      <c r="K175" s="100">
        <v>0.29166666666666669</v>
      </c>
      <c r="L175">
        <v>20.5</v>
      </c>
      <c r="M175">
        <v>24</v>
      </c>
      <c r="N175">
        <v>225.5</v>
      </c>
      <c r="O175">
        <v>264</v>
      </c>
      <c r="P175">
        <v>1040</v>
      </c>
      <c r="Q175">
        <v>0.21682692307692308</v>
      </c>
      <c r="R175">
        <v>0.25384615384615383</v>
      </c>
      <c r="S175">
        <v>3.9393939393939394</v>
      </c>
      <c r="T175">
        <v>24</v>
      </c>
    </row>
    <row r="176" spans="1:20" x14ac:dyDescent="0.3">
      <c r="A176">
        <v>1</v>
      </c>
      <c r="B176" t="s">
        <v>391</v>
      </c>
      <c r="C176" s="99">
        <v>46025</v>
      </c>
      <c r="D176" t="s">
        <v>98</v>
      </c>
      <c r="E176">
        <v>74</v>
      </c>
      <c r="F176" s="101">
        <v>46025.291666666664</v>
      </c>
      <c r="G176" s="101">
        <v>46026.291666666664</v>
      </c>
      <c r="H176" s="100">
        <v>0.14583333333333334</v>
      </c>
      <c r="I176" s="100"/>
      <c r="J176" s="100"/>
      <c r="K176" s="100"/>
      <c r="L176">
        <v>20.5</v>
      </c>
      <c r="M176">
        <v>24</v>
      </c>
      <c r="N176">
        <v>1517</v>
      </c>
      <c r="O176">
        <v>1776</v>
      </c>
      <c r="P176">
        <v>1142</v>
      </c>
      <c r="Q176">
        <v>1.3283712784588442</v>
      </c>
      <c r="R176">
        <v>1.5551663747810858</v>
      </c>
      <c r="S176">
        <v>0.64301801801801806</v>
      </c>
      <c r="T176">
        <v>24</v>
      </c>
    </row>
    <row r="177" spans="1:20" x14ac:dyDescent="0.3">
      <c r="A177">
        <v>1</v>
      </c>
      <c r="B177" t="s">
        <v>391</v>
      </c>
      <c r="C177" s="99">
        <v>46025</v>
      </c>
      <c r="D177" t="s">
        <v>99</v>
      </c>
      <c r="E177">
        <v>68</v>
      </c>
      <c r="F177" s="101">
        <v>46025.291666666664</v>
      </c>
      <c r="G177" s="101">
        <v>46026.291666666664</v>
      </c>
      <c r="H177" s="100">
        <v>0.14583333333333334</v>
      </c>
      <c r="I177" s="100">
        <v>9.7222222222222224E-2</v>
      </c>
      <c r="J177" s="100"/>
      <c r="K177" s="100"/>
      <c r="L177">
        <v>18.166666666666668</v>
      </c>
      <c r="M177">
        <v>24</v>
      </c>
      <c r="N177">
        <v>1235.3333333333335</v>
      </c>
      <c r="O177">
        <v>1632</v>
      </c>
      <c r="P177">
        <v>1112</v>
      </c>
      <c r="Q177">
        <v>1.1109112709832136</v>
      </c>
      <c r="R177">
        <v>1.4676258992805755</v>
      </c>
      <c r="S177">
        <v>0.68137254901960786</v>
      </c>
      <c r="T177">
        <v>24</v>
      </c>
    </row>
    <row r="178" spans="1:20" x14ac:dyDescent="0.3">
      <c r="A178">
        <v>1</v>
      </c>
      <c r="B178" t="s">
        <v>391</v>
      </c>
      <c r="C178" s="99">
        <v>46026</v>
      </c>
      <c r="D178" t="s">
        <v>96</v>
      </c>
      <c r="E178">
        <v>34</v>
      </c>
      <c r="F178" s="101">
        <v>46026.291666666664</v>
      </c>
      <c r="G178" s="101">
        <v>46026.791666666664</v>
      </c>
      <c r="H178" s="100">
        <v>7.2916666666666671E-2</v>
      </c>
      <c r="I178" s="100"/>
      <c r="J178" s="100"/>
      <c r="K178" s="100"/>
      <c r="L178">
        <v>10.25</v>
      </c>
      <c r="M178">
        <v>12</v>
      </c>
      <c r="N178">
        <v>348.5</v>
      </c>
      <c r="O178">
        <v>408</v>
      </c>
      <c r="P178">
        <v>404</v>
      </c>
      <c r="Q178">
        <v>0.86262376237623761</v>
      </c>
      <c r="R178">
        <v>1.0099009900990099</v>
      </c>
      <c r="S178">
        <v>0.99019607843137258</v>
      </c>
      <c r="T178">
        <v>11.999999999999998</v>
      </c>
    </row>
    <row r="179" spans="1:20" x14ac:dyDescent="0.3">
      <c r="A179">
        <v>1</v>
      </c>
      <c r="B179" t="s">
        <v>391</v>
      </c>
      <c r="C179" s="99">
        <v>46026</v>
      </c>
      <c r="D179" t="s">
        <v>97</v>
      </c>
      <c r="E179">
        <v>6</v>
      </c>
      <c r="F179" s="101">
        <v>46026.291666666664</v>
      </c>
      <c r="G179" s="101">
        <v>46026.791666666664</v>
      </c>
      <c r="H179" s="100">
        <v>7.2916666666666671E-2</v>
      </c>
      <c r="I179" s="100"/>
      <c r="J179" s="100"/>
      <c r="K179" s="100">
        <v>0.1111111111111111</v>
      </c>
      <c r="L179">
        <v>10.25</v>
      </c>
      <c r="M179">
        <v>12</v>
      </c>
      <c r="N179">
        <v>61.5</v>
      </c>
      <c r="O179">
        <v>72</v>
      </c>
      <c r="P179">
        <v>335</v>
      </c>
      <c r="Q179">
        <v>0.18358208955223881</v>
      </c>
      <c r="R179">
        <v>0.21492537313432836</v>
      </c>
      <c r="S179">
        <v>4.6527777777777777</v>
      </c>
      <c r="T179">
        <v>11.999999999999998</v>
      </c>
    </row>
    <row r="180" spans="1:20" x14ac:dyDescent="0.3">
      <c r="A180">
        <v>1</v>
      </c>
      <c r="B180" t="s">
        <v>391</v>
      </c>
      <c r="C180" s="99">
        <v>46026</v>
      </c>
      <c r="D180" t="s">
        <v>98</v>
      </c>
      <c r="E180">
        <v>35</v>
      </c>
      <c r="F180" s="101">
        <v>46026.291666666664</v>
      </c>
      <c r="G180" s="101">
        <v>46026.791666666664</v>
      </c>
      <c r="H180" s="100">
        <v>7.2916666666666671E-2</v>
      </c>
      <c r="I180" s="100">
        <v>7.2916666666666671E-2</v>
      </c>
      <c r="J180" s="100"/>
      <c r="K180" s="100"/>
      <c r="L180">
        <v>8.5</v>
      </c>
      <c r="M180">
        <v>12</v>
      </c>
      <c r="N180">
        <v>297.5</v>
      </c>
      <c r="O180">
        <v>420</v>
      </c>
      <c r="P180">
        <v>421</v>
      </c>
      <c r="Q180">
        <v>0.70665083135391926</v>
      </c>
      <c r="R180">
        <v>0.99762470308788598</v>
      </c>
      <c r="S180">
        <v>1.0023809523809524</v>
      </c>
      <c r="T180">
        <v>11.999999999999998</v>
      </c>
    </row>
    <row r="181" spans="1:20" x14ac:dyDescent="0.3">
      <c r="A181">
        <v>1</v>
      </c>
      <c r="B181" t="s">
        <v>391</v>
      </c>
      <c r="C181" s="99">
        <v>46026</v>
      </c>
      <c r="D181" t="s">
        <v>99</v>
      </c>
      <c r="E181">
        <v>34</v>
      </c>
      <c r="F181" s="101">
        <v>46026.291666666664</v>
      </c>
      <c r="G181" s="101">
        <v>46026.791666666664</v>
      </c>
      <c r="H181" s="100">
        <v>7.2916666666666671E-2</v>
      </c>
      <c r="I181" s="100"/>
      <c r="J181" s="100"/>
      <c r="K181" s="100"/>
      <c r="L181">
        <v>10.25</v>
      </c>
      <c r="M181">
        <v>12</v>
      </c>
      <c r="N181">
        <v>348.5</v>
      </c>
      <c r="O181">
        <v>408</v>
      </c>
      <c r="P181">
        <v>325</v>
      </c>
      <c r="Q181">
        <v>1.0723076923076924</v>
      </c>
      <c r="R181">
        <v>1.2553846153846153</v>
      </c>
      <c r="S181">
        <v>0.79656862745098045</v>
      </c>
      <c r="T181">
        <v>11.999999999999998</v>
      </c>
    </row>
    <row r="182" spans="1:20" x14ac:dyDescent="0.3">
      <c r="A182">
        <v>1</v>
      </c>
      <c r="B182" t="s">
        <v>391</v>
      </c>
      <c r="C182" s="99">
        <v>46027</v>
      </c>
      <c r="D182" t="s">
        <v>96</v>
      </c>
      <c r="E182">
        <v>94</v>
      </c>
      <c r="F182" s="101">
        <v>46027.291666666664</v>
      </c>
      <c r="G182" s="101">
        <v>46028.291666666664</v>
      </c>
      <c r="H182" s="100">
        <v>0.14583333333333334</v>
      </c>
      <c r="I182" s="100"/>
      <c r="J182" s="100"/>
      <c r="K182" s="100"/>
      <c r="L182">
        <v>20.5</v>
      </c>
      <c r="M182">
        <v>24</v>
      </c>
      <c r="N182">
        <v>1927</v>
      </c>
      <c r="O182">
        <v>2256</v>
      </c>
      <c r="P182">
        <v>1137</v>
      </c>
      <c r="Q182">
        <v>1.6948109058927001</v>
      </c>
      <c r="R182">
        <v>1.9841688654353562</v>
      </c>
      <c r="S182">
        <v>0.50398936170212771</v>
      </c>
      <c r="T182">
        <v>24</v>
      </c>
    </row>
    <row r="183" spans="1:20" x14ac:dyDescent="0.3">
      <c r="A183">
        <v>1</v>
      </c>
      <c r="B183" t="s">
        <v>391</v>
      </c>
      <c r="C183" s="99">
        <v>46027</v>
      </c>
      <c r="D183" t="s">
        <v>97</v>
      </c>
      <c r="E183">
        <v>11</v>
      </c>
      <c r="F183" s="101">
        <v>46027.291666666664</v>
      </c>
      <c r="G183" s="101">
        <v>46028.291666666664</v>
      </c>
      <c r="H183" s="100">
        <v>0.14583333333333334</v>
      </c>
      <c r="I183" s="100"/>
      <c r="J183" s="100"/>
      <c r="K183" s="100"/>
      <c r="L183">
        <v>20.5</v>
      </c>
      <c r="M183">
        <v>24</v>
      </c>
      <c r="N183">
        <v>225.5</v>
      </c>
      <c r="O183">
        <v>264</v>
      </c>
      <c r="P183">
        <v>1212</v>
      </c>
      <c r="Q183">
        <v>0.18605610561056105</v>
      </c>
      <c r="R183">
        <v>0.21782178217821782</v>
      </c>
      <c r="S183">
        <v>4.5909090909090908</v>
      </c>
      <c r="T183">
        <v>24</v>
      </c>
    </row>
    <row r="184" spans="1:20" x14ac:dyDescent="0.3">
      <c r="A184">
        <v>1</v>
      </c>
      <c r="B184" t="s">
        <v>391</v>
      </c>
      <c r="C184" s="99">
        <v>46027</v>
      </c>
      <c r="D184" t="s">
        <v>98</v>
      </c>
      <c r="E184">
        <v>76</v>
      </c>
      <c r="F184" s="101">
        <v>46027.291666666664</v>
      </c>
      <c r="G184" s="101">
        <v>46028.291666666664</v>
      </c>
      <c r="H184" s="100">
        <v>0.14583333333333334</v>
      </c>
      <c r="I184" s="100">
        <v>0.18055555555555555</v>
      </c>
      <c r="J184" s="100"/>
      <c r="K184" s="100"/>
      <c r="L184">
        <v>16.166666666666668</v>
      </c>
      <c r="M184">
        <v>24</v>
      </c>
      <c r="N184">
        <v>1228.6666666666667</v>
      </c>
      <c r="O184">
        <v>1824</v>
      </c>
      <c r="P184">
        <v>1016</v>
      </c>
      <c r="Q184">
        <v>1.2093175853018374</v>
      </c>
      <c r="R184">
        <v>1.795275590551181</v>
      </c>
      <c r="S184">
        <v>0.55701754385964919</v>
      </c>
      <c r="T184">
        <v>24</v>
      </c>
    </row>
    <row r="185" spans="1:20" x14ac:dyDescent="0.3">
      <c r="A185">
        <v>1</v>
      </c>
      <c r="B185" t="s">
        <v>391</v>
      </c>
      <c r="C185" s="99">
        <v>46027</v>
      </c>
      <c r="D185" t="s">
        <v>99</v>
      </c>
      <c r="E185">
        <v>74</v>
      </c>
      <c r="F185" s="101">
        <v>46027.291666666664</v>
      </c>
      <c r="G185" s="101">
        <v>46028.291666666664</v>
      </c>
      <c r="H185" s="100">
        <v>0.14583333333333334</v>
      </c>
      <c r="I185" s="100"/>
      <c r="J185" s="100"/>
      <c r="K185" s="100"/>
      <c r="L185">
        <v>20.5</v>
      </c>
      <c r="M185">
        <v>24</v>
      </c>
      <c r="N185">
        <v>1517</v>
      </c>
      <c r="O185">
        <v>1776</v>
      </c>
      <c r="P185">
        <v>1047</v>
      </c>
      <c r="Q185">
        <v>1.448901623686724</v>
      </c>
      <c r="R185">
        <v>1.6962750716332378</v>
      </c>
      <c r="S185">
        <v>0.58952702702702708</v>
      </c>
      <c r="T185">
        <v>24</v>
      </c>
    </row>
    <row r="186" spans="1:20" x14ac:dyDescent="0.3">
      <c r="A186">
        <v>1</v>
      </c>
      <c r="B186" t="s">
        <v>391</v>
      </c>
      <c r="C186" s="99">
        <v>46028</v>
      </c>
      <c r="D186" t="s">
        <v>96</v>
      </c>
      <c r="E186">
        <v>93</v>
      </c>
      <c r="F186" s="101">
        <v>46028.291666666664</v>
      </c>
      <c r="G186" s="101">
        <v>46029.291666666664</v>
      </c>
      <c r="H186" s="100">
        <v>0.14583333333333334</v>
      </c>
      <c r="I186" s="100"/>
      <c r="J186" s="100"/>
      <c r="K186" s="100"/>
      <c r="L186">
        <v>20.5</v>
      </c>
      <c r="M186">
        <v>24</v>
      </c>
      <c r="N186">
        <v>1906.5</v>
      </c>
      <c r="O186">
        <v>2232</v>
      </c>
      <c r="P186">
        <v>1139</v>
      </c>
      <c r="Q186">
        <v>1.6738366988586479</v>
      </c>
      <c r="R186">
        <v>1.9596136962247586</v>
      </c>
      <c r="S186">
        <v>0.51030465949820791</v>
      </c>
      <c r="T186">
        <v>24</v>
      </c>
    </row>
    <row r="187" spans="1:20" x14ac:dyDescent="0.3">
      <c r="A187">
        <v>1</v>
      </c>
      <c r="B187" t="s">
        <v>391</v>
      </c>
      <c r="C187" s="99">
        <v>46028</v>
      </c>
      <c r="D187" t="s">
        <v>97</v>
      </c>
      <c r="E187">
        <v>12</v>
      </c>
      <c r="F187" s="101">
        <v>46028.291666666664</v>
      </c>
      <c r="G187" s="101">
        <v>46029.291666666664</v>
      </c>
      <c r="H187" s="100">
        <v>0.14583333333333334</v>
      </c>
      <c r="I187" s="100">
        <v>4.1666666666666664E-2</v>
      </c>
      <c r="J187" s="100"/>
      <c r="K187" s="100"/>
      <c r="L187">
        <v>19.5</v>
      </c>
      <c r="M187">
        <v>24</v>
      </c>
      <c r="N187">
        <v>234</v>
      </c>
      <c r="O187">
        <v>288</v>
      </c>
      <c r="P187">
        <v>1132</v>
      </c>
      <c r="Q187">
        <v>0.20671378091872791</v>
      </c>
      <c r="R187">
        <v>0.25441696113074203</v>
      </c>
      <c r="S187">
        <v>3.9305555555555558</v>
      </c>
      <c r="T187">
        <v>24</v>
      </c>
    </row>
    <row r="188" spans="1:20" x14ac:dyDescent="0.3">
      <c r="A188">
        <v>1</v>
      </c>
      <c r="B188" t="s">
        <v>391</v>
      </c>
      <c r="C188" s="99">
        <v>46028</v>
      </c>
      <c r="D188" t="s">
        <v>98</v>
      </c>
      <c r="E188">
        <v>79</v>
      </c>
      <c r="F188" s="101">
        <v>46028.291666666664</v>
      </c>
      <c r="G188" s="101">
        <v>46029.291666666664</v>
      </c>
      <c r="H188" s="100">
        <v>0.14583333333333334</v>
      </c>
      <c r="I188" s="100">
        <v>6.9444444444444448E-2</v>
      </c>
      <c r="J188" s="100"/>
      <c r="K188" s="100"/>
      <c r="L188">
        <v>18.833333333333332</v>
      </c>
      <c r="M188">
        <v>24</v>
      </c>
      <c r="N188">
        <v>1487.8333333333333</v>
      </c>
      <c r="O188">
        <v>1896</v>
      </c>
      <c r="P188">
        <v>1117</v>
      </c>
      <c r="Q188">
        <v>1.3319904506117577</v>
      </c>
      <c r="R188">
        <v>1.6974037600716203</v>
      </c>
      <c r="S188">
        <v>0.58913502109704641</v>
      </c>
      <c r="T188">
        <v>24</v>
      </c>
    </row>
    <row r="189" spans="1:20" x14ac:dyDescent="0.3">
      <c r="A189">
        <v>1</v>
      </c>
      <c r="B189" t="s">
        <v>391</v>
      </c>
      <c r="C189" s="99">
        <v>46028</v>
      </c>
      <c r="D189" t="s">
        <v>99</v>
      </c>
      <c r="E189">
        <v>82</v>
      </c>
      <c r="F189" s="101">
        <v>46028.291666666664</v>
      </c>
      <c r="G189" s="101">
        <v>46029.291666666664</v>
      </c>
      <c r="H189" s="100">
        <v>0.14583333333333334</v>
      </c>
      <c r="I189" s="100"/>
      <c r="J189" s="100"/>
      <c r="K189" s="100">
        <v>5.5555555555555552E-2</v>
      </c>
      <c r="L189">
        <v>20.5</v>
      </c>
      <c r="M189">
        <v>24</v>
      </c>
      <c r="N189">
        <v>1681</v>
      </c>
      <c r="O189">
        <v>1968</v>
      </c>
      <c r="P189">
        <v>1131</v>
      </c>
      <c r="Q189">
        <v>1.4862953138815207</v>
      </c>
      <c r="R189">
        <v>1.7400530503978779</v>
      </c>
      <c r="S189">
        <v>0.57469512195121952</v>
      </c>
      <c r="T189">
        <v>24</v>
      </c>
    </row>
    <row r="190" spans="1:20" x14ac:dyDescent="0.3">
      <c r="A190">
        <v>1</v>
      </c>
      <c r="B190" t="s">
        <v>391</v>
      </c>
      <c r="C190" s="99">
        <v>46029</v>
      </c>
      <c r="D190" t="s">
        <v>96</v>
      </c>
      <c r="E190">
        <v>92</v>
      </c>
      <c r="F190" s="101">
        <v>46029.291666666664</v>
      </c>
      <c r="G190" s="101">
        <v>46030.291666666664</v>
      </c>
      <c r="H190" s="100">
        <v>0.14583333333333334</v>
      </c>
      <c r="I190" s="100"/>
      <c r="J190" s="100"/>
      <c r="K190" s="100"/>
      <c r="L190">
        <v>20.5</v>
      </c>
      <c r="M190">
        <v>24</v>
      </c>
      <c r="N190">
        <v>1886</v>
      </c>
      <c r="O190">
        <v>2208</v>
      </c>
      <c r="P190">
        <v>1138</v>
      </c>
      <c r="Q190">
        <v>1.6572934973637961</v>
      </c>
      <c r="R190">
        <v>1.9402460456942003</v>
      </c>
      <c r="S190">
        <v>0.51539855072463769</v>
      </c>
      <c r="T190">
        <v>24</v>
      </c>
    </row>
    <row r="191" spans="1:20" x14ac:dyDescent="0.3">
      <c r="A191">
        <v>1</v>
      </c>
      <c r="B191" t="s">
        <v>391</v>
      </c>
      <c r="C191" s="99">
        <v>46029</v>
      </c>
      <c r="D191" t="s">
        <v>97</v>
      </c>
      <c r="E191">
        <v>11</v>
      </c>
      <c r="F191" s="101">
        <v>46029.291666666664</v>
      </c>
      <c r="G191" s="101">
        <v>46030.291666666664</v>
      </c>
      <c r="H191" s="100">
        <v>0.14583333333333334</v>
      </c>
      <c r="I191" s="100">
        <v>4.8611111111111112E-2</v>
      </c>
      <c r="J191" s="100"/>
      <c r="K191" s="100"/>
      <c r="L191">
        <v>19.333333333333332</v>
      </c>
      <c r="M191">
        <v>24</v>
      </c>
      <c r="N191">
        <v>212.66666666666666</v>
      </c>
      <c r="O191">
        <v>264</v>
      </c>
      <c r="P191">
        <v>1132</v>
      </c>
      <c r="Q191">
        <v>0.18786808009422851</v>
      </c>
      <c r="R191">
        <v>0.2332155477031802</v>
      </c>
      <c r="S191">
        <v>4.2878787878787881</v>
      </c>
      <c r="T191">
        <v>24</v>
      </c>
    </row>
    <row r="192" spans="1:20" x14ac:dyDescent="0.3">
      <c r="A192">
        <v>1</v>
      </c>
      <c r="B192" t="s">
        <v>391</v>
      </c>
      <c r="C192" s="99">
        <v>46029</v>
      </c>
      <c r="D192" t="s">
        <v>98</v>
      </c>
      <c r="E192">
        <v>79</v>
      </c>
      <c r="F192" s="101">
        <v>46029.291666666664</v>
      </c>
      <c r="G192" s="101">
        <v>46030.291666666664</v>
      </c>
      <c r="H192" s="100">
        <v>0.14583333333333334</v>
      </c>
      <c r="I192" s="100">
        <v>4.1666666666666664E-2</v>
      </c>
      <c r="J192" s="100"/>
      <c r="K192" s="100"/>
      <c r="L192">
        <v>19.5</v>
      </c>
      <c r="M192">
        <v>24</v>
      </c>
      <c r="N192">
        <v>1540.5</v>
      </c>
      <c r="O192">
        <v>1896</v>
      </c>
      <c r="P192">
        <v>1126</v>
      </c>
      <c r="Q192">
        <v>1.3681172291296626</v>
      </c>
      <c r="R192">
        <v>1.6838365896980463</v>
      </c>
      <c r="S192">
        <v>0.59388185654008441</v>
      </c>
      <c r="T192">
        <v>24</v>
      </c>
    </row>
    <row r="193" spans="1:20" x14ac:dyDescent="0.3">
      <c r="A193">
        <v>1</v>
      </c>
      <c r="B193" t="s">
        <v>391</v>
      </c>
      <c r="C193" s="99">
        <v>46029</v>
      </c>
      <c r="D193" t="s">
        <v>99</v>
      </c>
      <c r="E193">
        <v>75</v>
      </c>
      <c r="F193" s="101">
        <v>46029.291666666664</v>
      </c>
      <c r="G193" s="101">
        <v>46030.291666666664</v>
      </c>
      <c r="H193" s="100">
        <v>0.14583333333333334</v>
      </c>
      <c r="I193" s="100"/>
      <c r="J193" s="100"/>
      <c r="K193" s="100"/>
      <c r="L193">
        <v>20.5</v>
      </c>
      <c r="M193">
        <v>24</v>
      </c>
      <c r="N193">
        <v>1537.5</v>
      </c>
      <c r="O193">
        <v>1800</v>
      </c>
      <c r="P193">
        <v>1214</v>
      </c>
      <c r="Q193">
        <v>1.2664744645799011</v>
      </c>
      <c r="R193">
        <v>1.4827018121911038</v>
      </c>
      <c r="S193">
        <v>0.67444444444444451</v>
      </c>
      <c r="T193">
        <v>24</v>
      </c>
    </row>
    <row r="194" spans="1:20" x14ac:dyDescent="0.3">
      <c r="A194">
        <v>1</v>
      </c>
      <c r="B194" t="s">
        <v>391</v>
      </c>
      <c r="C194" s="99">
        <v>46030</v>
      </c>
      <c r="D194" t="s">
        <v>96</v>
      </c>
      <c r="E194">
        <v>93</v>
      </c>
      <c r="F194" s="101">
        <v>46030.291666666664</v>
      </c>
      <c r="G194" s="101">
        <v>46031.291666666664</v>
      </c>
      <c r="H194" s="100">
        <v>0.14583333333333334</v>
      </c>
      <c r="I194" s="100"/>
      <c r="J194" s="100"/>
      <c r="K194" s="100"/>
      <c r="L194">
        <v>20.5</v>
      </c>
      <c r="M194">
        <v>24</v>
      </c>
      <c r="N194">
        <v>1906.5</v>
      </c>
      <c r="O194">
        <v>2232</v>
      </c>
      <c r="P194">
        <v>1055</v>
      </c>
      <c r="Q194">
        <v>1.8071090047393366</v>
      </c>
      <c r="R194">
        <v>2.1156398104265404</v>
      </c>
      <c r="S194">
        <v>0.47267025089605735</v>
      </c>
      <c r="T194">
        <v>23</v>
      </c>
    </row>
    <row r="195" spans="1:20" x14ac:dyDescent="0.3">
      <c r="A195">
        <v>1</v>
      </c>
      <c r="B195" t="s">
        <v>391</v>
      </c>
      <c r="C195" s="99">
        <v>46030</v>
      </c>
      <c r="D195" t="s">
        <v>97</v>
      </c>
      <c r="E195">
        <v>12</v>
      </c>
      <c r="F195" s="101">
        <v>46030.291666666664</v>
      </c>
      <c r="G195" s="101">
        <v>46031.291666666664</v>
      </c>
      <c r="H195" s="100">
        <v>0.14583333333333334</v>
      </c>
      <c r="I195" s="100">
        <v>0.2361111111111111</v>
      </c>
      <c r="J195" s="100"/>
      <c r="K195" s="100"/>
      <c r="L195">
        <v>14.833333333333334</v>
      </c>
      <c r="M195">
        <v>24</v>
      </c>
      <c r="N195">
        <v>178</v>
      </c>
      <c r="O195">
        <v>288</v>
      </c>
      <c r="P195">
        <v>941</v>
      </c>
      <c r="Q195">
        <v>0.18916046758767269</v>
      </c>
      <c r="R195">
        <v>0.30605738575982999</v>
      </c>
      <c r="S195">
        <v>3.2673611111111107</v>
      </c>
      <c r="T195">
        <v>23</v>
      </c>
    </row>
    <row r="196" spans="1:20" x14ac:dyDescent="0.3">
      <c r="A196">
        <v>1</v>
      </c>
      <c r="B196" t="s">
        <v>391</v>
      </c>
      <c r="C196" s="99">
        <v>46030</v>
      </c>
      <c r="D196" t="s">
        <v>98</v>
      </c>
      <c r="E196">
        <v>76</v>
      </c>
      <c r="F196" s="101">
        <v>46030.291666666664</v>
      </c>
      <c r="G196" s="101">
        <v>46031.291666666664</v>
      </c>
      <c r="H196" s="100">
        <v>0.14583333333333334</v>
      </c>
      <c r="I196" s="100">
        <v>0.18055555555555555</v>
      </c>
      <c r="J196" s="100"/>
      <c r="K196" s="100"/>
      <c r="L196">
        <v>16.166666666666668</v>
      </c>
      <c r="M196">
        <v>24</v>
      </c>
      <c r="N196">
        <v>1228.6666666666667</v>
      </c>
      <c r="O196">
        <v>1824</v>
      </c>
      <c r="P196">
        <v>864</v>
      </c>
      <c r="Q196">
        <v>1.4220679012345681</v>
      </c>
      <c r="R196">
        <v>2.1111111111111112</v>
      </c>
      <c r="S196">
        <v>0.47368421052631576</v>
      </c>
      <c r="T196">
        <v>23</v>
      </c>
    </row>
    <row r="197" spans="1:20" x14ac:dyDescent="0.3">
      <c r="A197">
        <v>1</v>
      </c>
      <c r="B197" t="s">
        <v>391</v>
      </c>
      <c r="C197" s="99">
        <v>46030</v>
      </c>
      <c r="D197" t="s">
        <v>99</v>
      </c>
      <c r="E197">
        <v>80</v>
      </c>
      <c r="F197" s="101">
        <v>46030.291666666664</v>
      </c>
      <c r="G197" s="101">
        <v>46031.291666666664</v>
      </c>
      <c r="H197" s="100">
        <v>0.13541666666666666</v>
      </c>
      <c r="I197" s="100">
        <v>0.21180555555555555</v>
      </c>
      <c r="J197" s="100"/>
      <c r="K197" s="100"/>
      <c r="L197">
        <v>15.666666666666668</v>
      </c>
      <c r="M197">
        <v>24</v>
      </c>
      <c r="N197">
        <v>1253.3333333333335</v>
      </c>
      <c r="O197">
        <v>1920</v>
      </c>
      <c r="P197">
        <v>863</v>
      </c>
      <c r="Q197">
        <v>1.4522981846272693</v>
      </c>
      <c r="R197">
        <v>2.2247972190034764</v>
      </c>
      <c r="S197">
        <v>0.44947916666666665</v>
      </c>
      <c r="T197">
        <v>22</v>
      </c>
    </row>
    <row r="198" spans="1:20" x14ac:dyDescent="0.3">
      <c r="A198">
        <v>1</v>
      </c>
      <c r="B198" t="s">
        <v>391</v>
      </c>
      <c r="C198" s="99">
        <v>46031</v>
      </c>
      <c r="D198" t="s">
        <v>96</v>
      </c>
      <c r="E198">
        <v>93</v>
      </c>
      <c r="F198" s="101">
        <v>46031.291666666664</v>
      </c>
      <c r="G198" s="101">
        <v>46032.291666666664</v>
      </c>
      <c r="H198" s="100">
        <v>0.14583333333333334</v>
      </c>
      <c r="I198" s="100"/>
      <c r="J198" s="100"/>
      <c r="K198" s="100"/>
      <c r="L198">
        <v>20.5</v>
      </c>
      <c r="M198">
        <v>24</v>
      </c>
      <c r="N198">
        <v>1906.5</v>
      </c>
      <c r="O198">
        <v>2232</v>
      </c>
      <c r="P198">
        <v>1137</v>
      </c>
      <c r="Q198">
        <v>1.6767810026385224</v>
      </c>
      <c r="R198">
        <v>1.9630606860158311</v>
      </c>
      <c r="S198">
        <v>0.50940860215053763</v>
      </c>
      <c r="T198">
        <v>24</v>
      </c>
    </row>
    <row r="199" spans="1:20" x14ac:dyDescent="0.3">
      <c r="A199">
        <v>1</v>
      </c>
      <c r="B199" t="s">
        <v>391</v>
      </c>
      <c r="C199" s="99">
        <v>46031</v>
      </c>
      <c r="D199" t="s">
        <v>97</v>
      </c>
      <c r="E199">
        <v>12</v>
      </c>
      <c r="F199" s="101">
        <v>46031.291666666664</v>
      </c>
      <c r="G199" s="101">
        <v>46032.291666666664</v>
      </c>
      <c r="H199" s="100">
        <v>0.14583333333333334</v>
      </c>
      <c r="I199" s="100"/>
      <c r="J199" s="100"/>
      <c r="K199" s="100"/>
      <c r="L199">
        <v>20.5</v>
      </c>
      <c r="M199">
        <v>24</v>
      </c>
      <c r="N199">
        <v>246</v>
      </c>
      <c r="O199">
        <v>288</v>
      </c>
      <c r="P199">
        <v>1152</v>
      </c>
      <c r="Q199">
        <v>0.21354166666666666</v>
      </c>
      <c r="R199">
        <v>0.25</v>
      </c>
      <c r="S199">
        <v>4</v>
      </c>
      <c r="T199">
        <v>24</v>
      </c>
    </row>
    <row r="200" spans="1:20" x14ac:dyDescent="0.3">
      <c r="A200">
        <v>1</v>
      </c>
      <c r="B200" t="s">
        <v>391</v>
      </c>
      <c r="C200" s="99">
        <v>46031</v>
      </c>
      <c r="D200" t="s">
        <v>98</v>
      </c>
      <c r="E200">
        <v>73</v>
      </c>
      <c r="F200" s="101">
        <v>46031.291666666664</v>
      </c>
      <c r="G200" s="101">
        <v>46032.291666666664</v>
      </c>
      <c r="H200" s="100">
        <v>0.14583333333333334</v>
      </c>
      <c r="I200" s="100">
        <v>4.8611111111111112E-2</v>
      </c>
      <c r="J200" s="100"/>
      <c r="K200" s="100"/>
      <c r="L200">
        <v>19.333333333333332</v>
      </c>
      <c r="M200">
        <v>24</v>
      </c>
      <c r="N200">
        <v>1411.3333333333333</v>
      </c>
      <c r="O200">
        <v>1752</v>
      </c>
      <c r="P200">
        <v>1185</v>
      </c>
      <c r="Q200">
        <v>1.190998593530239</v>
      </c>
      <c r="R200">
        <v>1.478481012658228</v>
      </c>
      <c r="S200">
        <v>0.67636986301369861</v>
      </c>
      <c r="T200">
        <v>24</v>
      </c>
    </row>
    <row r="201" spans="1:20" x14ac:dyDescent="0.3">
      <c r="A201">
        <v>1</v>
      </c>
      <c r="B201" t="s">
        <v>391</v>
      </c>
      <c r="C201" s="99">
        <v>46031</v>
      </c>
      <c r="D201" t="s">
        <v>99</v>
      </c>
      <c r="E201">
        <v>82</v>
      </c>
      <c r="F201" s="101">
        <v>46031.291666666664</v>
      </c>
      <c r="G201" s="101">
        <v>46032.291666666664</v>
      </c>
      <c r="H201" s="100">
        <v>0.14583333333333334</v>
      </c>
      <c r="I201" s="100">
        <v>2.7777777777777776E-2</v>
      </c>
      <c r="J201" s="100"/>
      <c r="K201" s="100"/>
      <c r="L201">
        <v>19.833333333333332</v>
      </c>
      <c r="M201">
        <v>24</v>
      </c>
      <c r="N201">
        <v>1626.3333333333333</v>
      </c>
      <c r="O201">
        <v>1968</v>
      </c>
      <c r="P201">
        <v>1163</v>
      </c>
      <c r="Q201">
        <v>1.3983949555746631</v>
      </c>
      <c r="R201">
        <v>1.6921754084264833</v>
      </c>
      <c r="S201">
        <v>0.59095528455284552</v>
      </c>
      <c r="T201">
        <v>24</v>
      </c>
    </row>
    <row r="202" spans="1:20" x14ac:dyDescent="0.3">
      <c r="A202">
        <v>1</v>
      </c>
      <c r="B202" t="s">
        <v>391</v>
      </c>
      <c r="C202" s="99">
        <v>46032</v>
      </c>
      <c r="D202" t="s">
        <v>96</v>
      </c>
      <c r="E202">
        <v>62</v>
      </c>
      <c r="F202" s="101">
        <v>46032.291666666664</v>
      </c>
      <c r="G202" s="101">
        <v>46033.291666666664</v>
      </c>
      <c r="H202" s="100">
        <v>0.14583333333333334</v>
      </c>
      <c r="I202" s="100"/>
      <c r="J202" s="100"/>
      <c r="K202" s="100"/>
      <c r="L202">
        <v>20.5</v>
      </c>
      <c r="M202">
        <v>24</v>
      </c>
      <c r="N202">
        <v>1271</v>
      </c>
      <c r="O202">
        <v>1488</v>
      </c>
      <c r="P202">
        <v>665</v>
      </c>
      <c r="Q202">
        <v>1.9112781954887219</v>
      </c>
      <c r="R202">
        <v>2.2375939849624058</v>
      </c>
      <c r="S202">
        <v>0.44690860215053768</v>
      </c>
      <c r="T202">
        <v>24</v>
      </c>
    </row>
    <row r="203" spans="1:20" x14ac:dyDescent="0.3">
      <c r="A203">
        <v>1</v>
      </c>
      <c r="B203" t="s">
        <v>391</v>
      </c>
      <c r="C203" s="99">
        <v>46032</v>
      </c>
      <c r="D203" t="s">
        <v>97</v>
      </c>
      <c r="E203">
        <v>11</v>
      </c>
      <c r="F203" s="101">
        <v>46032.291666666664</v>
      </c>
      <c r="G203" s="101">
        <v>46033.291666666664</v>
      </c>
      <c r="H203" s="100">
        <v>0.14583333333333334</v>
      </c>
      <c r="I203" s="100"/>
      <c r="J203" s="100">
        <v>4.1666666666666664E-2</v>
      </c>
      <c r="K203" s="100">
        <v>0.5</v>
      </c>
      <c r="L203">
        <v>20.5</v>
      </c>
      <c r="M203">
        <v>24</v>
      </c>
      <c r="N203">
        <v>225.5</v>
      </c>
      <c r="O203">
        <v>264</v>
      </c>
      <c r="P203">
        <v>768</v>
      </c>
      <c r="Q203">
        <v>0.29361979166666669</v>
      </c>
      <c r="R203">
        <v>0.34375</v>
      </c>
      <c r="S203">
        <v>2.9090909090909092</v>
      </c>
      <c r="T203">
        <v>24</v>
      </c>
    </row>
    <row r="204" spans="1:20" x14ac:dyDescent="0.3">
      <c r="A204">
        <v>1</v>
      </c>
      <c r="B204" t="s">
        <v>391</v>
      </c>
      <c r="C204" s="99">
        <v>46032</v>
      </c>
      <c r="D204" t="s">
        <v>98</v>
      </c>
      <c r="E204">
        <v>72</v>
      </c>
      <c r="F204" s="101">
        <v>46032.291666666664</v>
      </c>
      <c r="G204" s="101">
        <v>46033.291666666664</v>
      </c>
      <c r="H204" s="100">
        <v>0.14583333333333334</v>
      </c>
      <c r="I204" s="100">
        <v>8.3333333333333329E-2</v>
      </c>
      <c r="J204" s="100"/>
      <c r="K204" s="100"/>
      <c r="L204">
        <v>18.5</v>
      </c>
      <c r="M204">
        <v>24</v>
      </c>
      <c r="N204">
        <v>1332</v>
      </c>
      <c r="O204">
        <v>1728</v>
      </c>
      <c r="P204">
        <v>997</v>
      </c>
      <c r="Q204">
        <v>1.3360080240722167</v>
      </c>
      <c r="R204">
        <v>1.7331995987963891</v>
      </c>
      <c r="S204">
        <v>0.57696759259259267</v>
      </c>
      <c r="T204">
        <v>24</v>
      </c>
    </row>
    <row r="205" spans="1:20" x14ac:dyDescent="0.3">
      <c r="A205">
        <v>1</v>
      </c>
      <c r="B205" t="s">
        <v>391</v>
      </c>
      <c r="C205" s="99">
        <v>46032</v>
      </c>
      <c r="D205" t="s">
        <v>99</v>
      </c>
      <c r="E205">
        <v>72</v>
      </c>
      <c r="F205" s="101">
        <v>46032.291666666664</v>
      </c>
      <c r="G205" s="101">
        <v>46033.291666666664</v>
      </c>
      <c r="H205" s="100">
        <v>0.14583333333333334</v>
      </c>
      <c r="I205" s="100"/>
      <c r="J205" s="100"/>
      <c r="K205" s="100"/>
      <c r="L205">
        <v>20.5</v>
      </c>
      <c r="M205">
        <v>24</v>
      </c>
      <c r="N205">
        <v>1476</v>
      </c>
      <c r="O205">
        <v>1728</v>
      </c>
      <c r="P205">
        <v>1057</v>
      </c>
      <c r="Q205">
        <v>1.3964049195837276</v>
      </c>
      <c r="R205">
        <v>1.6348155156102175</v>
      </c>
      <c r="S205">
        <v>0.61168981481481488</v>
      </c>
      <c r="T205">
        <v>24</v>
      </c>
    </row>
    <row r="206" spans="1:20" x14ac:dyDescent="0.3">
      <c r="A206">
        <v>1</v>
      </c>
      <c r="B206" t="s">
        <v>391</v>
      </c>
      <c r="C206" s="99">
        <v>46033</v>
      </c>
      <c r="D206" t="s">
        <v>96</v>
      </c>
      <c r="E206">
        <v>72</v>
      </c>
      <c r="F206" s="101">
        <v>46033.291666666664</v>
      </c>
      <c r="G206" s="101">
        <v>46034.291666666664</v>
      </c>
      <c r="H206" s="100">
        <v>0.14583333333333334</v>
      </c>
      <c r="I206" s="100"/>
      <c r="J206" s="100"/>
      <c r="K206" s="100"/>
      <c r="L206">
        <v>20.5</v>
      </c>
      <c r="M206">
        <v>24</v>
      </c>
      <c r="N206">
        <v>1476</v>
      </c>
      <c r="O206">
        <v>1728</v>
      </c>
      <c r="P206">
        <v>746</v>
      </c>
      <c r="Q206">
        <v>1.9785522788203753</v>
      </c>
      <c r="R206">
        <v>2.316353887399464</v>
      </c>
      <c r="S206">
        <v>0.43171296296296291</v>
      </c>
      <c r="T206">
        <v>24</v>
      </c>
    </row>
    <row r="207" spans="1:20" x14ac:dyDescent="0.3">
      <c r="A207">
        <v>1</v>
      </c>
      <c r="B207" t="s">
        <v>391</v>
      </c>
      <c r="C207" s="99">
        <v>46033</v>
      </c>
      <c r="D207" t="s">
        <v>97</v>
      </c>
      <c r="E207">
        <v>8</v>
      </c>
      <c r="F207" s="101">
        <v>46033.291666666664</v>
      </c>
      <c r="G207" s="101">
        <v>46034.291666666664</v>
      </c>
      <c r="H207" s="100">
        <v>0.14583333333333334</v>
      </c>
      <c r="I207" s="100">
        <v>8.3333333333333329E-2</v>
      </c>
      <c r="J207" s="100"/>
      <c r="K207" s="100">
        <v>0.83333333333333337</v>
      </c>
      <c r="L207">
        <v>18.5</v>
      </c>
      <c r="M207">
        <v>24</v>
      </c>
      <c r="N207">
        <v>148</v>
      </c>
      <c r="O207">
        <v>192</v>
      </c>
      <c r="P207">
        <v>727</v>
      </c>
      <c r="Q207">
        <v>0.20357634112792297</v>
      </c>
      <c r="R207">
        <v>0.26409903713892707</v>
      </c>
      <c r="S207">
        <v>3.7864583333333335</v>
      </c>
      <c r="T207">
        <v>24</v>
      </c>
    </row>
    <row r="208" spans="1:20" x14ac:dyDescent="0.3">
      <c r="A208">
        <v>1</v>
      </c>
      <c r="B208" t="s">
        <v>391</v>
      </c>
      <c r="C208" s="99">
        <v>46033</v>
      </c>
      <c r="D208" t="s">
        <v>98</v>
      </c>
      <c r="E208">
        <v>72</v>
      </c>
      <c r="F208" s="101">
        <v>46033.291666666664</v>
      </c>
      <c r="G208" s="101">
        <v>46034.291666666664</v>
      </c>
      <c r="H208" s="100">
        <v>0.14583333333333334</v>
      </c>
      <c r="I208" s="100">
        <v>0.125</v>
      </c>
      <c r="J208" s="100"/>
      <c r="K208" s="100">
        <v>0.625</v>
      </c>
      <c r="L208">
        <v>17.5</v>
      </c>
      <c r="M208">
        <v>24</v>
      </c>
      <c r="N208">
        <v>1260</v>
      </c>
      <c r="O208">
        <v>1728</v>
      </c>
      <c r="P208">
        <v>732</v>
      </c>
      <c r="Q208">
        <v>1.721311475409836</v>
      </c>
      <c r="R208">
        <v>2.360655737704918</v>
      </c>
      <c r="S208">
        <v>0.4236111111111111</v>
      </c>
      <c r="T208">
        <v>24</v>
      </c>
    </row>
    <row r="209" spans="1:20" x14ac:dyDescent="0.3">
      <c r="A209">
        <v>1</v>
      </c>
      <c r="B209" t="s">
        <v>391</v>
      </c>
      <c r="C209" s="99">
        <v>46033</v>
      </c>
      <c r="D209" t="s">
        <v>99</v>
      </c>
      <c r="E209">
        <v>76</v>
      </c>
      <c r="F209" s="101">
        <v>46033.291666666664</v>
      </c>
      <c r="G209" s="101">
        <v>46034.291666666664</v>
      </c>
      <c r="H209" s="100">
        <v>0.14583333333333334</v>
      </c>
      <c r="I209" s="100">
        <v>8.3333333333333329E-2</v>
      </c>
      <c r="J209" s="100"/>
      <c r="K209" s="100"/>
      <c r="L209">
        <v>18.5</v>
      </c>
      <c r="M209">
        <v>24</v>
      </c>
      <c r="N209">
        <v>1406</v>
      </c>
      <c r="O209">
        <v>1824</v>
      </c>
      <c r="P209">
        <v>707</v>
      </c>
      <c r="Q209">
        <v>1.9886845827439887</v>
      </c>
      <c r="R209">
        <v>2.5799151343705797</v>
      </c>
      <c r="S209">
        <v>0.38760964912280704</v>
      </c>
      <c r="T209">
        <v>24</v>
      </c>
    </row>
    <row r="210" spans="1:20" x14ac:dyDescent="0.3">
      <c r="A210">
        <v>1</v>
      </c>
      <c r="B210" t="s">
        <v>391</v>
      </c>
      <c r="C210" s="99">
        <v>46034</v>
      </c>
      <c r="D210" t="s">
        <v>96</v>
      </c>
      <c r="E210">
        <v>91</v>
      </c>
      <c r="F210" s="101">
        <v>46034.291666666664</v>
      </c>
      <c r="G210" s="101">
        <v>46035.291666666664</v>
      </c>
      <c r="H210" s="100">
        <v>0.14583333333333334</v>
      </c>
      <c r="I210" s="100">
        <v>5.2083333333333336E-2</v>
      </c>
      <c r="J210" s="100"/>
      <c r="K210" s="100"/>
      <c r="L210">
        <v>19.25</v>
      </c>
      <c r="M210">
        <v>24</v>
      </c>
      <c r="N210">
        <v>1751.75</v>
      </c>
      <c r="O210">
        <v>2184</v>
      </c>
      <c r="P210">
        <v>1079</v>
      </c>
      <c r="Q210">
        <v>1.6234939759036144</v>
      </c>
      <c r="R210">
        <v>2.0240963855421685</v>
      </c>
      <c r="S210">
        <v>0.49404761904761907</v>
      </c>
      <c r="T210">
        <v>24</v>
      </c>
    </row>
    <row r="211" spans="1:20" x14ac:dyDescent="0.3">
      <c r="A211">
        <v>1</v>
      </c>
      <c r="B211" t="s">
        <v>391</v>
      </c>
      <c r="C211" s="99">
        <v>46034</v>
      </c>
      <c r="D211" t="s">
        <v>97</v>
      </c>
      <c r="E211">
        <v>13</v>
      </c>
      <c r="F211" s="101">
        <v>46034.291666666664</v>
      </c>
      <c r="G211" s="101">
        <v>46035.291666666664</v>
      </c>
      <c r="H211" s="100">
        <v>0.14583333333333334</v>
      </c>
      <c r="I211" s="100">
        <v>3.125E-2</v>
      </c>
      <c r="J211" s="100"/>
      <c r="K211" s="100">
        <v>0.125</v>
      </c>
      <c r="L211">
        <v>19.75</v>
      </c>
      <c r="M211">
        <v>24</v>
      </c>
      <c r="N211">
        <v>256.75</v>
      </c>
      <c r="O211">
        <v>312</v>
      </c>
      <c r="P211">
        <v>1185</v>
      </c>
      <c r="Q211">
        <v>0.21666666666666667</v>
      </c>
      <c r="R211">
        <v>0.26329113924050634</v>
      </c>
      <c r="S211">
        <v>3.7980769230769229</v>
      </c>
      <c r="T211">
        <v>24</v>
      </c>
    </row>
    <row r="212" spans="1:20" x14ac:dyDescent="0.3">
      <c r="A212">
        <v>1</v>
      </c>
      <c r="B212" t="s">
        <v>391</v>
      </c>
      <c r="C212" s="99">
        <v>46034</v>
      </c>
      <c r="D212" t="s">
        <v>98</v>
      </c>
      <c r="E212">
        <v>73</v>
      </c>
      <c r="F212" s="101">
        <v>46034.291666666664</v>
      </c>
      <c r="G212" s="101">
        <v>46035.291666666664</v>
      </c>
      <c r="H212" s="100">
        <v>0.14583333333333334</v>
      </c>
      <c r="I212" s="100">
        <v>0.125</v>
      </c>
      <c r="J212" s="100"/>
      <c r="K212" s="100"/>
      <c r="L212">
        <v>17.5</v>
      </c>
      <c r="M212">
        <v>24</v>
      </c>
      <c r="N212">
        <v>1277.5</v>
      </c>
      <c r="O212">
        <v>1752</v>
      </c>
      <c r="P212">
        <v>987</v>
      </c>
      <c r="Q212">
        <v>1.2943262411347518</v>
      </c>
      <c r="R212">
        <v>1.7750759878419453</v>
      </c>
      <c r="S212">
        <v>0.56335616438356162</v>
      </c>
      <c r="T212">
        <v>24</v>
      </c>
    </row>
    <row r="213" spans="1:20" x14ac:dyDescent="0.3">
      <c r="A213">
        <v>1</v>
      </c>
      <c r="B213" t="s">
        <v>391</v>
      </c>
      <c r="C213" s="99">
        <v>46034</v>
      </c>
      <c r="D213" t="s">
        <v>99</v>
      </c>
      <c r="E213">
        <v>78</v>
      </c>
      <c r="F213" s="101">
        <v>46034.291666666664</v>
      </c>
      <c r="G213" s="101">
        <v>46035.291666666664</v>
      </c>
      <c r="H213" s="100">
        <v>0.14583333333333334</v>
      </c>
      <c r="I213" s="100">
        <v>2.0833333333333332E-2</v>
      </c>
      <c r="J213" s="100"/>
      <c r="K213" s="100"/>
      <c r="L213">
        <v>20</v>
      </c>
      <c r="M213">
        <v>24</v>
      </c>
      <c r="N213">
        <v>1560</v>
      </c>
      <c r="O213">
        <v>1872</v>
      </c>
      <c r="P213">
        <v>943</v>
      </c>
      <c r="Q213">
        <v>1.6542948038176033</v>
      </c>
      <c r="R213">
        <v>1.9851537645811241</v>
      </c>
      <c r="S213">
        <v>0.50373931623931623</v>
      </c>
      <c r="T213">
        <v>24</v>
      </c>
    </row>
    <row r="214" spans="1:20" x14ac:dyDescent="0.3">
      <c r="A214">
        <v>1</v>
      </c>
      <c r="B214" t="s">
        <v>391</v>
      </c>
      <c r="C214" s="99">
        <v>46035</v>
      </c>
      <c r="D214" t="s">
        <v>96</v>
      </c>
      <c r="E214">
        <v>86</v>
      </c>
      <c r="F214" s="101">
        <v>46035.291666666664</v>
      </c>
      <c r="G214" s="101">
        <v>46036.291666666664</v>
      </c>
      <c r="H214" s="100">
        <v>0.14583333333333334</v>
      </c>
      <c r="I214" s="100"/>
      <c r="J214" s="100"/>
      <c r="K214" s="100"/>
      <c r="L214">
        <v>20.5</v>
      </c>
      <c r="M214">
        <v>24</v>
      </c>
      <c r="N214">
        <v>1763</v>
      </c>
      <c r="O214">
        <v>2064</v>
      </c>
      <c r="P214">
        <v>1141</v>
      </c>
      <c r="Q214">
        <v>1.5451358457493427</v>
      </c>
      <c r="R214">
        <v>1.8089395267309378</v>
      </c>
      <c r="S214">
        <v>0.55281007751937983</v>
      </c>
      <c r="T214">
        <v>24</v>
      </c>
    </row>
    <row r="215" spans="1:20" x14ac:dyDescent="0.3">
      <c r="A215">
        <v>1</v>
      </c>
      <c r="B215" t="s">
        <v>391</v>
      </c>
      <c r="C215" s="99">
        <v>46035</v>
      </c>
      <c r="D215" t="s">
        <v>97</v>
      </c>
      <c r="E215">
        <v>12</v>
      </c>
      <c r="F215" s="101">
        <v>46035.291666666664</v>
      </c>
      <c r="G215" s="101">
        <v>46036.291666666664</v>
      </c>
      <c r="H215" s="100">
        <v>0.14583333333333334</v>
      </c>
      <c r="I215" s="100">
        <v>0.1111111111111111</v>
      </c>
      <c r="J215" s="100"/>
      <c r="K215" s="100">
        <v>0.41666666666666669</v>
      </c>
      <c r="L215">
        <v>17.833333333333332</v>
      </c>
      <c r="M215">
        <v>24</v>
      </c>
      <c r="N215">
        <v>214</v>
      </c>
      <c r="O215">
        <v>288</v>
      </c>
      <c r="P215">
        <v>1016</v>
      </c>
      <c r="Q215">
        <v>0.21062992125984251</v>
      </c>
      <c r="R215">
        <v>0.28346456692913385</v>
      </c>
      <c r="S215">
        <v>3.5277777777777777</v>
      </c>
      <c r="T215">
        <v>24</v>
      </c>
    </row>
    <row r="216" spans="1:20" x14ac:dyDescent="0.3">
      <c r="A216">
        <v>1</v>
      </c>
      <c r="B216" t="s">
        <v>391</v>
      </c>
      <c r="C216" s="99">
        <v>46035</v>
      </c>
      <c r="D216" t="s">
        <v>98</v>
      </c>
      <c r="E216">
        <v>72</v>
      </c>
      <c r="F216" s="101">
        <v>46035.291666666664</v>
      </c>
      <c r="G216" s="101">
        <v>46036.291666666664</v>
      </c>
      <c r="H216" s="100">
        <v>0.14583333333333334</v>
      </c>
      <c r="I216" s="100">
        <v>9.7222222222222224E-2</v>
      </c>
      <c r="J216" s="100"/>
      <c r="K216" s="100"/>
      <c r="L216">
        <v>18.166666666666668</v>
      </c>
      <c r="M216">
        <v>24</v>
      </c>
      <c r="N216">
        <v>1308</v>
      </c>
      <c r="O216">
        <v>1728</v>
      </c>
      <c r="P216">
        <v>1025</v>
      </c>
      <c r="Q216">
        <v>1.2760975609756098</v>
      </c>
      <c r="R216">
        <v>1.6858536585365853</v>
      </c>
      <c r="S216">
        <v>0.59317129629629628</v>
      </c>
      <c r="T216">
        <v>24</v>
      </c>
    </row>
    <row r="217" spans="1:20" x14ac:dyDescent="0.3">
      <c r="A217">
        <v>1</v>
      </c>
      <c r="B217" t="s">
        <v>391</v>
      </c>
      <c r="C217" s="99">
        <v>46035</v>
      </c>
      <c r="D217" t="s">
        <v>99</v>
      </c>
      <c r="E217">
        <v>75</v>
      </c>
      <c r="F217" s="101">
        <v>46035.291666666664</v>
      </c>
      <c r="G217" s="101">
        <v>46036.291666666664</v>
      </c>
      <c r="H217" s="100">
        <v>0.14583333333333334</v>
      </c>
      <c r="I217" s="100">
        <v>2.7777777777777776E-2</v>
      </c>
      <c r="J217" s="100"/>
      <c r="K217" s="100">
        <v>8.3333333333333329E-2</v>
      </c>
      <c r="L217">
        <v>19.833333333333332</v>
      </c>
      <c r="M217">
        <v>24</v>
      </c>
      <c r="N217">
        <v>1487.5</v>
      </c>
      <c r="O217">
        <v>1800</v>
      </c>
      <c r="P217">
        <v>1092</v>
      </c>
      <c r="Q217">
        <v>1.3621794871794872</v>
      </c>
      <c r="R217">
        <v>1.6483516483516483</v>
      </c>
      <c r="S217">
        <v>0.60666666666666669</v>
      </c>
      <c r="T217">
        <v>24</v>
      </c>
    </row>
    <row r="218" spans="1:20" x14ac:dyDescent="0.3">
      <c r="A218">
        <v>1</v>
      </c>
      <c r="B218" t="s">
        <v>391</v>
      </c>
      <c r="C218" s="99">
        <v>46036</v>
      </c>
      <c r="D218" t="s">
        <v>96</v>
      </c>
      <c r="E218">
        <v>89</v>
      </c>
      <c r="F218" s="101">
        <v>46036.291666666664</v>
      </c>
      <c r="G218" s="101">
        <v>46037.291666666664</v>
      </c>
      <c r="H218" s="100">
        <v>0.14583333333333334</v>
      </c>
      <c r="I218" s="100">
        <v>2.0833333333333332E-2</v>
      </c>
      <c r="J218" s="100"/>
      <c r="K218" s="100">
        <v>0.20833333333333334</v>
      </c>
      <c r="L218">
        <v>20</v>
      </c>
      <c r="M218">
        <v>24</v>
      </c>
      <c r="N218">
        <v>1780</v>
      </c>
      <c r="O218">
        <v>2136</v>
      </c>
      <c r="P218">
        <v>1025</v>
      </c>
      <c r="Q218">
        <v>1.7365853658536585</v>
      </c>
      <c r="R218">
        <v>2.0839024390243903</v>
      </c>
      <c r="S218">
        <v>0.47986891385767788</v>
      </c>
      <c r="T218">
        <v>24</v>
      </c>
    </row>
    <row r="219" spans="1:20" x14ac:dyDescent="0.3">
      <c r="A219">
        <v>1</v>
      </c>
      <c r="B219" t="s">
        <v>391</v>
      </c>
      <c r="C219" s="99">
        <v>46036</v>
      </c>
      <c r="D219" t="s">
        <v>97</v>
      </c>
      <c r="E219">
        <v>11</v>
      </c>
      <c r="F219" s="101">
        <v>46036.291666666664</v>
      </c>
      <c r="G219" s="101">
        <v>46037.291666666664</v>
      </c>
      <c r="H219" s="100">
        <v>0.14583333333333334</v>
      </c>
      <c r="I219" s="100">
        <v>9.375E-2</v>
      </c>
      <c r="J219" s="100">
        <v>4.1666666666666664E-2</v>
      </c>
      <c r="K219" s="100"/>
      <c r="L219">
        <v>18.25</v>
      </c>
      <c r="M219">
        <v>24</v>
      </c>
      <c r="N219">
        <v>200.75</v>
      </c>
      <c r="O219">
        <v>264</v>
      </c>
      <c r="P219">
        <v>1148</v>
      </c>
      <c r="Q219">
        <v>0.17486933797909407</v>
      </c>
      <c r="R219">
        <v>0.22996515679442509</v>
      </c>
      <c r="S219">
        <v>4.3484848484848486</v>
      </c>
      <c r="T219">
        <v>24</v>
      </c>
    </row>
    <row r="220" spans="1:20" x14ac:dyDescent="0.3">
      <c r="A220">
        <v>1</v>
      </c>
      <c r="B220" t="s">
        <v>391</v>
      </c>
      <c r="C220" s="99">
        <v>46036</v>
      </c>
      <c r="D220" t="s">
        <v>98</v>
      </c>
      <c r="E220">
        <v>72</v>
      </c>
      <c r="F220" s="101">
        <v>46036.291666666664</v>
      </c>
      <c r="G220" s="101">
        <v>46037.291666666664</v>
      </c>
      <c r="H220" s="100">
        <v>0.14583333333333334</v>
      </c>
      <c r="I220" s="100">
        <v>0.11805555555555555</v>
      </c>
      <c r="J220" s="100"/>
      <c r="K220" s="100"/>
      <c r="L220">
        <v>17.666666666666668</v>
      </c>
      <c r="M220">
        <v>24</v>
      </c>
      <c r="N220">
        <v>1272</v>
      </c>
      <c r="O220">
        <v>1728</v>
      </c>
      <c r="P220">
        <v>1015</v>
      </c>
      <c r="Q220">
        <v>1.2532019704433497</v>
      </c>
      <c r="R220">
        <v>1.7024630541871921</v>
      </c>
      <c r="S220">
        <v>0.5873842592592593</v>
      </c>
      <c r="T220">
        <v>24</v>
      </c>
    </row>
    <row r="221" spans="1:20" x14ac:dyDescent="0.3">
      <c r="A221">
        <v>1</v>
      </c>
      <c r="B221" t="s">
        <v>391</v>
      </c>
      <c r="C221" s="99">
        <v>46036</v>
      </c>
      <c r="D221" t="s">
        <v>99</v>
      </c>
      <c r="E221">
        <v>76</v>
      </c>
      <c r="F221" s="101">
        <v>46036.291666666664</v>
      </c>
      <c r="G221" s="101">
        <v>46037.291666666664</v>
      </c>
      <c r="H221" s="100">
        <v>0.14583333333333334</v>
      </c>
      <c r="I221" s="100"/>
      <c r="J221" s="100"/>
      <c r="K221" s="100"/>
      <c r="L221">
        <v>20.5</v>
      </c>
      <c r="M221">
        <v>24</v>
      </c>
      <c r="N221">
        <v>1558</v>
      </c>
      <c r="O221">
        <v>1824</v>
      </c>
      <c r="P221">
        <v>966</v>
      </c>
      <c r="Q221">
        <v>1.6128364389233953</v>
      </c>
      <c r="R221">
        <v>1.8881987577639752</v>
      </c>
      <c r="S221">
        <v>0.52960526315789469</v>
      </c>
      <c r="T221">
        <v>24</v>
      </c>
    </row>
    <row r="222" spans="1:20" x14ac:dyDescent="0.3">
      <c r="A222">
        <v>1</v>
      </c>
      <c r="B222" t="s">
        <v>391</v>
      </c>
      <c r="C222" s="99">
        <v>46037</v>
      </c>
      <c r="D222" t="s">
        <v>96</v>
      </c>
      <c r="E222">
        <v>88</v>
      </c>
      <c r="F222" s="101">
        <v>46037.291666666664</v>
      </c>
      <c r="G222" s="101">
        <v>46038.291666666664</v>
      </c>
      <c r="H222" s="100">
        <v>0.14583333333333334</v>
      </c>
      <c r="I222" s="100"/>
      <c r="J222" s="100"/>
      <c r="K222" s="100">
        <v>0.125</v>
      </c>
      <c r="L222">
        <v>20.5</v>
      </c>
      <c r="M222">
        <v>24</v>
      </c>
      <c r="N222">
        <v>1804</v>
      </c>
      <c r="O222">
        <v>2112</v>
      </c>
      <c r="P222">
        <v>1093</v>
      </c>
      <c r="Q222">
        <v>1.6505032021957915</v>
      </c>
      <c r="R222">
        <v>1.9322964318389753</v>
      </c>
      <c r="S222">
        <v>0.51751893939393945</v>
      </c>
      <c r="T222">
        <v>24</v>
      </c>
    </row>
    <row r="223" spans="1:20" x14ac:dyDescent="0.3">
      <c r="A223">
        <v>1</v>
      </c>
      <c r="B223" t="s">
        <v>391</v>
      </c>
      <c r="C223" s="99">
        <v>46037</v>
      </c>
      <c r="D223" t="s">
        <v>97</v>
      </c>
      <c r="E223">
        <v>12</v>
      </c>
      <c r="F223" s="101">
        <v>46037.291666666664</v>
      </c>
      <c r="G223" s="101">
        <v>46038.291666666664</v>
      </c>
      <c r="H223" s="100">
        <v>0.14583333333333334</v>
      </c>
      <c r="I223" s="100">
        <v>6.25E-2</v>
      </c>
      <c r="J223" s="100"/>
      <c r="K223" s="100">
        <v>0.4861111111111111</v>
      </c>
      <c r="L223">
        <v>19</v>
      </c>
      <c r="M223">
        <v>24</v>
      </c>
      <c r="N223">
        <v>228</v>
      </c>
      <c r="O223">
        <v>288</v>
      </c>
      <c r="P223">
        <v>1078</v>
      </c>
      <c r="Q223">
        <v>0.21150278293135436</v>
      </c>
      <c r="R223">
        <v>0.26716141001855287</v>
      </c>
      <c r="S223">
        <v>3.7430555555555558</v>
      </c>
      <c r="T223">
        <v>24</v>
      </c>
    </row>
    <row r="224" spans="1:20" x14ac:dyDescent="0.3">
      <c r="A224">
        <v>1</v>
      </c>
      <c r="B224" t="s">
        <v>391</v>
      </c>
      <c r="C224" s="99">
        <v>46037</v>
      </c>
      <c r="D224" t="s">
        <v>98</v>
      </c>
      <c r="E224">
        <v>74</v>
      </c>
      <c r="F224" s="101">
        <v>46037.291666666664</v>
      </c>
      <c r="G224" s="101">
        <v>46038.291666666664</v>
      </c>
      <c r="H224" s="100">
        <v>0.14583333333333334</v>
      </c>
      <c r="I224" s="100">
        <v>0.11458333333333333</v>
      </c>
      <c r="J224" s="100"/>
      <c r="K224" s="100"/>
      <c r="L224">
        <v>17.75</v>
      </c>
      <c r="M224">
        <v>24</v>
      </c>
      <c r="N224">
        <v>1313.5</v>
      </c>
      <c r="O224">
        <v>1776</v>
      </c>
      <c r="P224">
        <v>1046</v>
      </c>
      <c r="Q224">
        <v>1.255736137667304</v>
      </c>
      <c r="R224">
        <v>1.6978967495219885</v>
      </c>
      <c r="S224">
        <v>0.588963963963964</v>
      </c>
      <c r="T224">
        <v>24</v>
      </c>
    </row>
    <row r="225" spans="1:20" x14ac:dyDescent="0.3">
      <c r="A225">
        <v>1</v>
      </c>
      <c r="B225" t="s">
        <v>391</v>
      </c>
      <c r="C225" s="99">
        <v>46037</v>
      </c>
      <c r="D225" t="s">
        <v>99</v>
      </c>
      <c r="E225">
        <v>72</v>
      </c>
      <c r="F225" s="101">
        <v>46037.291666666664</v>
      </c>
      <c r="G225" s="101">
        <v>46038.291666666664</v>
      </c>
      <c r="H225" s="100">
        <v>0.14583333333333334</v>
      </c>
      <c r="I225" s="100"/>
      <c r="J225" s="100"/>
      <c r="K225" s="100"/>
      <c r="L225">
        <v>20.5</v>
      </c>
      <c r="M225">
        <v>24</v>
      </c>
      <c r="N225">
        <v>1476</v>
      </c>
      <c r="O225">
        <v>1728</v>
      </c>
      <c r="P225">
        <v>1128</v>
      </c>
      <c r="Q225">
        <v>1.3085106382978724</v>
      </c>
      <c r="R225">
        <v>1.5319148936170213</v>
      </c>
      <c r="S225">
        <v>0.65277777777777779</v>
      </c>
      <c r="T225">
        <v>24</v>
      </c>
    </row>
    <row r="226" spans="1:20" x14ac:dyDescent="0.3">
      <c r="A226">
        <v>1</v>
      </c>
      <c r="B226" t="s">
        <v>391</v>
      </c>
      <c r="C226" s="99">
        <v>46038</v>
      </c>
      <c r="D226" t="s">
        <v>96</v>
      </c>
      <c r="E226">
        <v>87</v>
      </c>
      <c r="F226" s="101">
        <v>46038.291666666664</v>
      </c>
      <c r="G226" s="101">
        <v>46039.291666666664</v>
      </c>
      <c r="H226" s="100">
        <v>0.14583333333333334</v>
      </c>
      <c r="I226" s="100"/>
      <c r="J226" s="100"/>
      <c r="K226" s="100"/>
      <c r="L226">
        <v>20.5</v>
      </c>
      <c r="M226">
        <v>24</v>
      </c>
      <c r="N226">
        <v>1783.5</v>
      </c>
      <c r="O226">
        <v>2088</v>
      </c>
      <c r="P226">
        <v>1097</v>
      </c>
      <c r="Q226">
        <v>1.6257976298997265</v>
      </c>
      <c r="R226">
        <v>1.9033728350045578</v>
      </c>
      <c r="S226">
        <v>0.52538314176245215</v>
      </c>
      <c r="T226">
        <v>24</v>
      </c>
    </row>
    <row r="227" spans="1:20" x14ac:dyDescent="0.3">
      <c r="A227">
        <v>1</v>
      </c>
      <c r="B227" t="s">
        <v>391</v>
      </c>
      <c r="C227" s="99">
        <v>46038</v>
      </c>
      <c r="D227" t="s">
        <v>97</v>
      </c>
      <c r="E227">
        <v>11</v>
      </c>
      <c r="F227" s="101">
        <v>46038.291666666664</v>
      </c>
      <c r="G227" s="101">
        <v>46039.291666666664</v>
      </c>
      <c r="H227" s="100">
        <v>0.14583333333333334</v>
      </c>
      <c r="I227" s="100">
        <v>0.19791666666666666</v>
      </c>
      <c r="J227" s="100"/>
      <c r="K227" s="100">
        <v>0.41666666666666669</v>
      </c>
      <c r="L227">
        <v>15.75</v>
      </c>
      <c r="M227">
        <v>24</v>
      </c>
      <c r="N227">
        <v>173.25</v>
      </c>
      <c r="O227">
        <v>264</v>
      </c>
      <c r="P227">
        <v>968</v>
      </c>
      <c r="Q227">
        <v>0.17897727272727273</v>
      </c>
      <c r="R227">
        <v>0.27272727272727271</v>
      </c>
      <c r="S227">
        <v>3.666666666666667</v>
      </c>
      <c r="T227">
        <v>24</v>
      </c>
    </row>
    <row r="228" spans="1:20" x14ac:dyDescent="0.3">
      <c r="A228">
        <v>1</v>
      </c>
      <c r="B228" t="s">
        <v>391</v>
      </c>
      <c r="C228" s="99">
        <v>46038</v>
      </c>
      <c r="D228" t="s">
        <v>98</v>
      </c>
      <c r="E228">
        <v>74</v>
      </c>
      <c r="F228" s="101">
        <v>46038.291666666664</v>
      </c>
      <c r="G228" s="101">
        <v>46039.291666666664</v>
      </c>
      <c r="H228" s="100">
        <v>0.14583333333333334</v>
      </c>
      <c r="I228" s="100">
        <v>0.14583333333333334</v>
      </c>
      <c r="J228" s="100"/>
      <c r="K228" s="100"/>
      <c r="L228">
        <v>17</v>
      </c>
      <c r="M228">
        <v>24</v>
      </c>
      <c r="N228">
        <v>1258</v>
      </c>
      <c r="O228">
        <v>1776</v>
      </c>
      <c r="P228">
        <v>986</v>
      </c>
      <c r="Q228">
        <v>1.2758620689655173</v>
      </c>
      <c r="R228">
        <v>1.8012170385395538</v>
      </c>
      <c r="S228">
        <v>0.55518018018018012</v>
      </c>
      <c r="T228">
        <v>24</v>
      </c>
    </row>
    <row r="229" spans="1:20" x14ac:dyDescent="0.3">
      <c r="A229">
        <v>1</v>
      </c>
      <c r="B229" t="s">
        <v>391</v>
      </c>
      <c r="C229" s="99">
        <v>46038</v>
      </c>
      <c r="D229" t="s">
        <v>99</v>
      </c>
      <c r="E229">
        <v>73</v>
      </c>
      <c r="F229" s="101">
        <v>46038.291666666664</v>
      </c>
      <c r="G229" s="101">
        <v>46039.291666666664</v>
      </c>
      <c r="H229" s="100">
        <v>0.14583333333333334</v>
      </c>
      <c r="I229" s="100"/>
      <c r="J229" s="100"/>
      <c r="K229" s="100"/>
      <c r="L229">
        <v>20.5</v>
      </c>
      <c r="M229">
        <v>24</v>
      </c>
      <c r="N229">
        <v>1496.5</v>
      </c>
      <c r="O229">
        <v>1752</v>
      </c>
      <c r="P229">
        <v>1018</v>
      </c>
      <c r="Q229">
        <v>1.4700392927308448</v>
      </c>
      <c r="R229">
        <v>1.7210216110019647</v>
      </c>
      <c r="S229">
        <v>0.58105022831050224</v>
      </c>
      <c r="T229">
        <v>24</v>
      </c>
    </row>
    <row r="230" spans="1:20" x14ac:dyDescent="0.3">
      <c r="A230">
        <v>1</v>
      </c>
      <c r="B230" t="s">
        <v>391</v>
      </c>
      <c r="C230" s="99">
        <v>46039</v>
      </c>
      <c r="D230" t="s">
        <v>96</v>
      </c>
      <c r="E230">
        <v>87</v>
      </c>
      <c r="F230" s="101">
        <v>46039.291666666664</v>
      </c>
      <c r="G230" s="101">
        <v>46040.291666666664</v>
      </c>
      <c r="H230" s="100">
        <v>0.14583333333333334</v>
      </c>
      <c r="I230" s="100"/>
      <c r="J230" s="100"/>
      <c r="K230" s="100">
        <v>0.18055555555555555</v>
      </c>
      <c r="L230">
        <v>20.5</v>
      </c>
      <c r="M230">
        <v>24</v>
      </c>
      <c r="N230">
        <v>1783.5</v>
      </c>
      <c r="O230">
        <v>2088</v>
      </c>
      <c r="P230">
        <v>994</v>
      </c>
      <c r="Q230">
        <v>1.7942655935613683</v>
      </c>
      <c r="R230">
        <v>2.1006036217303823</v>
      </c>
      <c r="S230">
        <v>0.47605363984674332</v>
      </c>
      <c r="T230">
        <v>24</v>
      </c>
    </row>
    <row r="231" spans="1:20" x14ac:dyDescent="0.3">
      <c r="A231">
        <v>1</v>
      </c>
      <c r="B231" t="s">
        <v>391</v>
      </c>
      <c r="C231" s="99">
        <v>46039</v>
      </c>
      <c r="D231" t="s">
        <v>97</v>
      </c>
      <c r="E231">
        <v>11</v>
      </c>
      <c r="F231" s="101">
        <v>46039.291666666664</v>
      </c>
      <c r="G231" s="101">
        <v>46040.291666666664</v>
      </c>
      <c r="H231" s="100">
        <v>0.14583333333333334</v>
      </c>
      <c r="I231" s="100">
        <v>0.27430555555555558</v>
      </c>
      <c r="J231" s="100"/>
      <c r="K231" s="100">
        <v>0.25</v>
      </c>
      <c r="L231">
        <v>13.916666666666668</v>
      </c>
      <c r="M231">
        <v>24</v>
      </c>
      <c r="N231">
        <v>153.08333333333334</v>
      </c>
      <c r="O231">
        <v>264</v>
      </c>
      <c r="P231">
        <v>816</v>
      </c>
      <c r="Q231">
        <v>0.18760212418300654</v>
      </c>
      <c r="R231">
        <v>0.3235294117647059</v>
      </c>
      <c r="S231">
        <v>3.0909090909090908</v>
      </c>
      <c r="T231">
        <v>24</v>
      </c>
    </row>
    <row r="232" spans="1:20" x14ac:dyDescent="0.3">
      <c r="A232">
        <v>1</v>
      </c>
      <c r="B232" t="s">
        <v>391</v>
      </c>
      <c r="C232" s="99">
        <v>46039</v>
      </c>
      <c r="D232" t="s">
        <v>98</v>
      </c>
      <c r="E232">
        <v>71</v>
      </c>
      <c r="F232" s="101">
        <v>46039.291666666664</v>
      </c>
      <c r="G232" s="101">
        <v>46040.291666666664</v>
      </c>
      <c r="H232" s="100">
        <v>0.14583333333333334</v>
      </c>
      <c r="I232" s="100">
        <v>0.2326388888888889</v>
      </c>
      <c r="J232" s="100"/>
      <c r="K232" s="100"/>
      <c r="L232">
        <v>14.916666666666668</v>
      </c>
      <c r="M232">
        <v>24</v>
      </c>
      <c r="N232">
        <v>1059.0833333333335</v>
      </c>
      <c r="O232">
        <v>1704</v>
      </c>
      <c r="P232">
        <v>712</v>
      </c>
      <c r="Q232">
        <v>1.4874765917602999</v>
      </c>
      <c r="R232">
        <v>2.393258426966292</v>
      </c>
      <c r="S232">
        <v>0.4178403755868545</v>
      </c>
      <c r="T232">
        <v>24</v>
      </c>
    </row>
    <row r="233" spans="1:20" x14ac:dyDescent="0.3">
      <c r="A233">
        <v>1</v>
      </c>
      <c r="B233" t="s">
        <v>391</v>
      </c>
      <c r="C233" s="99">
        <v>46039</v>
      </c>
      <c r="D233" t="s">
        <v>99</v>
      </c>
      <c r="E233">
        <v>66</v>
      </c>
      <c r="F233" s="101">
        <v>46039.291666666664</v>
      </c>
      <c r="G233" s="101">
        <v>46040.291666666664</v>
      </c>
      <c r="H233" s="100">
        <v>0.14583333333333334</v>
      </c>
      <c r="I233" s="100">
        <v>0.19791666666666666</v>
      </c>
      <c r="J233" s="100"/>
      <c r="K233" s="100"/>
      <c r="L233">
        <v>15.75</v>
      </c>
      <c r="M233">
        <v>24</v>
      </c>
      <c r="N233">
        <v>1039.5</v>
      </c>
      <c r="O233">
        <v>1584</v>
      </c>
      <c r="P233">
        <v>806</v>
      </c>
      <c r="Q233">
        <v>1.2897022332506203</v>
      </c>
      <c r="R233">
        <v>1.9652605459057071</v>
      </c>
      <c r="S233">
        <v>0.50883838383838387</v>
      </c>
      <c r="T233">
        <v>24</v>
      </c>
    </row>
    <row r="234" spans="1:20" x14ac:dyDescent="0.3">
      <c r="A234">
        <v>1</v>
      </c>
      <c r="B234" t="s">
        <v>391</v>
      </c>
      <c r="C234" s="99">
        <v>46040</v>
      </c>
      <c r="D234" t="s">
        <v>96</v>
      </c>
      <c r="E234">
        <v>33</v>
      </c>
      <c r="F234" s="101">
        <v>46040.291666666664</v>
      </c>
      <c r="G234" s="101">
        <v>46040.708333333336</v>
      </c>
      <c r="H234" s="100">
        <v>6.25E-2</v>
      </c>
      <c r="I234" s="100"/>
      <c r="J234" s="100"/>
      <c r="K234" s="100"/>
      <c r="L234">
        <v>8.5</v>
      </c>
      <c r="M234">
        <v>10</v>
      </c>
      <c r="N234">
        <v>280.5</v>
      </c>
      <c r="O234">
        <v>330</v>
      </c>
      <c r="P234">
        <v>322</v>
      </c>
      <c r="Q234">
        <v>0.8711180124223602</v>
      </c>
      <c r="R234">
        <v>1.0248447204968945</v>
      </c>
      <c r="S234">
        <v>0.97575757575757571</v>
      </c>
      <c r="T234">
        <v>10</v>
      </c>
    </row>
    <row r="235" spans="1:20" x14ac:dyDescent="0.3">
      <c r="A235">
        <v>1</v>
      </c>
      <c r="B235" t="s">
        <v>391</v>
      </c>
      <c r="C235" s="99">
        <v>46040</v>
      </c>
      <c r="D235" t="s">
        <v>97</v>
      </c>
      <c r="E235">
        <v>6</v>
      </c>
      <c r="F235" s="101">
        <v>46040.291666666664</v>
      </c>
      <c r="G235" s="101">
        <v>46040.708333333336</v>
      </c>
      <c r="H235" s="100">
        <v>6.25E-2</v>
      </c>
      <c r="I235" s="100">
        <v>9.0277777777777776E-2</v>
      </c>
      <c r="J235" s="100"/>
      <c r="K235" s="100">
        <v>4.1666666666666664E-2</v>
      </c>
      <c r="L235">
        <v>6.3333333333333339</v>
      </c>
      <c r="M235">
        <v>10</v>
      </c>
      <c r="N235">
        <v>38</v>
      </c>
      <c r="O235">
        <v>60</v>
      </c>
      <c r="P235">
        <v>364</v>
      </c>
      <c r="Q235">
        <v>0.1043956043956044</v>
      </c>
      <c r="R235">
        <v>0.16483516483516483</v>
      </c>
      <c r="S235">
        <v>6.0666666666666664</v>
      </c>
      <c r="T235">
        <v>10</v>
      </c>
    </row>
    <row r="236" spans="1:20" x14ac:dyDescent="0.3">
      <c r="A236">
        <v>1</v>
      </c>
      <c r="B236" t="s">
        <v>391</v>
      </c>
      <c r="C236" s="99">
        <v>46040</v>
      </c>
      <c r="D236" t="s">
        <v>98</v>
      </c>
      <c r="E236">
        <v>38</v>
      </c>
      <c r="F236" s="101">
        <v>46040.291666666664</v>
      </c>
      <c r="G236" s="101">
        <v>46040.708333333336</v>
      </c>
      <c r="H236" s="100">
        <v>6.25E-2</v>
      </c>
      <c r="I236" s="100"/>
      <c r="J236" s="100"/>
      <c r="K236" s="100"/>
      <c r="L236">
        <v>8.5</v>
      </c>
      <c r="M236">
        <v>10</v>
      </c>
      <c r="N236">
        <v>323</v>
      </c>
      <c r="O236">
        <v>380</v>
      </c>
      <c r="P236">
        <v>364</v>
      </c>
      <c r="Q236">
        <v>0.88736263736263732</v>
      </c>
      <c r="R236">
        <v>1.043956043956044</v>
      </c>
      <c r="S236">
        <v>0.95789473684210524</v>
      </c>
      <c r="T236">
        <v>10</v>
      </c>
    </row>
    <row r="237" spans="1:20" x14ac:dyDescent="0.3">
      <c r="A237">
        <v>1</v>
      </c>
      <c r="B237" t="s">
        <v>391</v>
      </c>
      <c r="C237" s="99">
        <v>46040</v>
      </c>
      <c r="D237" t="s">
        <v>99</v>
      </c>
      <c r="E237">
        <v>34</v>
      </c>
      <c r="F237" s="101">
        <v>46040.291666666664</v>
      </c>
      <c r="G237" s="101">
        <v>46040.708333333336</v>
      </c>
      <c r="H237" s="100">
        <v>6.25E-2</v>
      </c>
      <c r="I237" s="100"/>
      <c r="J237" s="100"/>
      <c r="K237" s="100"/>
      <c r="L237">
        <v>8.5</v>
      </c>
      <c r="M237">
        <v>10</v>
      </c>
      <c r="N237">
        <v>289</v>
      </c>
      <c r="O237">
        <v>340</v>
      </c>
      <c r="P237">
        <v>365</v>
      </c>
      <c r="Q237">
        <v>0.79178082191780819</v>
      </c>
      <c r="R237">
        <v>0.93150684931506844</v>
      </c>
      <c r="S237">
        <v>1.0735294117647058</v>
      </c>
      <c r="T237">
        <v>10</v>
      </c>
    </row>
    <row r="238" spans="1:20" x14ac:dyDescent="0.3">
      <c r="A238">
        <v>1</v>
      </c>
      <c r="B238" t="s">
        <v>391</v>
      </c>
      <c r="C238" s="99">
        <v>46041</v>
      </c>
      <c r="D238" t="s">
        <v>96</v>
      </c>
      <c r="E238">
        <v>86</v>
      </c>
      <c r="F238" s="101">
        <v>46041.291666666664</v>
      </c>
      <c r="G238" s="101">
        <v>46042.291666666664</v>
      </c>
      <c r="H238" s="100">
        <v>0.14583333333333334</v>
      </c>
      <c r="I238" s="100"/>
      <c r="J238" s="100"/>
      <c r="K238" s="100"/>
      <c r="L238">
        <v>20.5</v>
      </c>
      <c r="M238">
        <v>24</v>
      </c>
      <c r="N238">
        <v>1763</v>
      </c>
      <c r="O238">
        <v>2064</v>
      </c>
      <c r="P238">
        <v>1033</v>
      </c>
      <c r="Q238">
        <v>1.7066795740561471</v>
      </c>
      <c r="R238">
        <v>1.9980638915779283</v>
      </c>
      <c r="S238">
        <v>0.50048449612403101</v>
      </c>
      <c r="T238">
        <v>24</v>
      </c>
    </row>
    <row r="239" spans="1:20" x14ac:dyDescent="0.3">
      <c r="A239">
        <v>1</v>
      </c>
      <c r="B239" t="s">
        <v>391</v>
      </c>
      <c r="C239" s="99">
        <v>46041</v>
      </c>
      <c r="D239" t="s">
        <v>97</v>
      </c>
      <c r="E239">
        <v>12</v>
      </c>
      <c r="F239" s="101">
        <v>46041.291666666664</v>
      </c>
      <c r="G239" s="101">
        <v>46042.291666666664</v>
      </c>
      <c r="H239" s="100">
        <v>0.14583333333333334</v>
      </c>
      <c r="I239" s="100">
        <v>0.2361111111111111</v>
      </c>
      <c r="J239" s="100"/>
      <c r="K239" s="100">
        <v>0.33333333333333331</v>
      </c>
      <c r="L239">
        <v>14.833333333333334</v>
      </c>
      <c r="M239">
        <v>24</v>
      </c>
      <c r="N239">
        <v>178</v>
      </c>
      <c r="O239">
        <v>288</v>
      </c>
      <c r="P239">
        <v>1007</v>
      </c>
      <c r="Q239">
        <v>0.17676266137040714</v>
      </c>
      <c r="R239">
        <v>0.28599801390268126</v>
      </c>
      <c r="S239">
        <v>3.4965277777777772</v>
      </c>
      <c r="T239">
        <v>24</v>
      </c>
    </row>
    <row r="240" spans="1:20" x14ac:dyDescent="0.3">
      <c r="A240">
        <v>1</v>
      </c>
      <c r="B240" t="s">
        <v>391</v>
      </c>
      <c r="C240" s="99">
        <v>46041</v>
      </c>
      <c r="D240" t="s">
        <v>98</v>
      </c>
      <c r="E240">
        <v>71</v>
      </c>
      <c r="F240" s="101">
        <v>46041.291666666664</v>
      </c>
      <c r="G240" s="101">
        <v>46042.291666666664</v>
      </c>
      <c r="H240" s="100">
        <v>0.14583333333333334</v>
      </c>
      <c r="I240" s="100">
        <v>9.375E-2</v>
      </c>
      <c r="J240" s="100"/>
      <c r="K240" s="100"/>
      <c r="L240">
        <v>18.25</v>
      </c>
      <c r="M240">
        <v>24</v>
      </c>
      <c r="N240">
        <v>1295.75</v>
      </c>
      <c r="O240">
        <v>1704</v>
      </c>
      <c r="P240">
        <v>1021</v>
      </c>
      <c r="Q240">
        <v>1.2690989226248777</v>
      </c>
      <c r="R240">
        <v>1.6689520078354554</v>
      </c>
      <c r="S240">
        <v>0.59917840375586862</v>
      </c>
      <c r="T240">
        <v>24</v>
      </c>
    </row>
    <row r="241" spans="1:20" x14ac:dyDescent="0.3">
      <c r="A241">
        <v>1</v>
      </c>
      <c r="B241" t="s">
        <v>391</v>
      </c>
      <c r="C241" s="99">
        <v>46041</v>
      </c>
      <c r="D241" t="s">
        <v>99</v>
      </c>
      <c r="E241">
        <v>73</v>
      </c>
      <c r="F241" s="101">
        <v>46041.291666666664</v>
      </c>
      <c r="G241" s="101">
        <v>46042.291666666664</v>
      </c>
      <c r="H241" s="100">
        <v>0.14583333333333334</v>
      </c>
      <c r="I241" s="100">
        <v>5.9027777777777776E-2</v>
      </c>
      <c r="J241" s="100"/>
      <c r="K241" s="100"/>
      <c r="L241">
        <v>19.083333333333332</v>
      </c>
      <c r="M241">
        <v>24</v>
      </c>
      <c r="N241">
        <v>1393.0833333333333</v>
      </c>
      <c r="O241">
        <v>1752</v>
      </c>
      <c r="P241">
        <v>983</v>
      </c>
      <c r="Q241">
        <v>1.4171753136656493</v>
      </c>
      <c r="R241">
        <v>1.7822990844354019</v>
      </c>
      <c r="S241">
        <v>0.5610730593607306</v>
      </c>
      <c r="T241">
        <v>24</v>
      </c>
    </row>
    <row r="242" spans="1:20" x14ac:dyDescent="0.3">
      <c r="A242">
        <v>1</v>
      </c>
      <c r="B242" t="s">
        <v>391</v>
      </c>
      <c r="C242" s="99">
        <v>46042</v>
      </c>
      <c r="D242" t="s">
        <v>96</v>
      </c>
      <c r="E242">
        <v>82</v>
      </c>
      <c r="F242" s="101">
        <v>46042.291666666664</v>
      </c>
      <c r="G242" s="101">
        <v>46043.291666666664</v>
      </c>
      <c r="H242" s="100">
        <v>0.14583333333333334</v>
      </c>
      <c r="I242" s="100"/>
      <c r="J242" s="100"/>
      <c r="K242" s="100">
        <v>0.16666666666666666</v>
      </c>
      <c r="L242">
        <v>20.5</v>
      </c>
      <c r="M242">
        <v>24</v>
      </c>
      <c r="N242">
        <v>1681</v>
      </c>
      <c r="O242">
        <v>1968</v>
      </c>
      <c r="P242">
        <v>884</v>
      </c>
      <c r="Q242">
        <v>1.9015837104072397</v>
      </c>
      <c r="R242">
        <v>2.2262443438914028</v>
      </c>
      <c r="S242">
        <v>0.44918699186991867</v>
      </c>
      <c r="T242">
        <v>24</v>
      </c>
    </row>
    <row r="243" spans="1:20" x14ac:dyDescent="0.3">
      <c r="A243">
        <v>1</v>
      </c>
      <c r="B243" t="s">
        <v>391</v>
      </c>
      <c r="C243" s="99">
        <v>46042</v>
      </c>
      <c r="D243" t="s">
        <v>97</v>
      </c>
      <c r="E243">
        <v>11</v>
      </c>
      <c r="F243" s="101">
        <v>46042.291666666664</v>
      </c>
      <c r="G243" s="101">
        <v>46043.291666666664</v>
      </c>
      <c r="H243" s="100">
        <v>0.14583333333333334</v>
      </c>
      <c r="I243" s="100">
        <v>0.19097222222222221</v>
      </c>
      <c r="J243" s="100"/>
      <c r="K243" s="100">
        <v>0.16666666666666666</v>
      </c>
      <c r="L243">
        <v>15.916666666666668</v>
      </c>
      <c r="M243">
        <v>24</v>
      </c>
      <c r="N243">
        <v>175.08333333333334</v>
      </c>
      <c r="O243">
        <v>264</v>
      </c>
      <c r="P243">
        <v>918</v>
      </c>
      <c r="Q243">
        <v>0.19072258533042849</v>
      </c>
      <c r="R243">
        <v>0.28758169934640521</v>
      </c>
      <c r="S243">
        <v>3.4772727272727275</v>
      </c>
      <c r="T243">
        <v>24</v>
      </c>
    </row>
    <row r="244" spans="1:20" x14ac:dyDescent="0.3">
      <c r="A244">
        <v>1</v>
      </c>
      <c r="B244" t="s">
        <v>391</v>
      </c>
      <c r="C244" s="99">
        <v>46042</v>
      </c>
      <c r="D244" t="s">
        <v>98</v>
      </c>
      <c r="E244">
        <v>71</v>
      </c>
      <c r="F244" s="101">
        <v>46042.291666666664</v>
      </c>
      <c r="G244" s="101">
        <v>46043.291666666664</v>
      </c>
      <c r="H244" s="100">
        <v>0.14583333333333334</v>
      </c>
      <c r="I244" s="100">
        <v>5.9027777777777776E-2</v>
      </c>
      <c r="J244" s="100"/>
      <c r="K244" s="100"/>
      <c r="L244">
        <v>19.083333333333332</v>
      </c>
      <c r="M244">
        <v>24</v>
      </c>
      <c r="N244">
        <v>1354.9166666666665</v>
      </c>
      <c r="O244">
        <v>1704</v>
      </c>
      <c r="P244">
        <v>1131</v>
      </c>
      <c r="Q244">
        <v>1.1979811376363099</v>
      </c>
      <c r="R244">
        <v>1.506631299734748</v>
      </c>
      <c r="S244">
        <v>0.66373239436619724</v>
      </c>
      <c r="T244">
        <v>24</v>
      </c>
    </row>
    <row r="245" spans="1:20" x14ac:dyDescent="0.3">
      <c r="A245">
        <v>1</v>
      </c>
      <c r="B245" t="s">
        <v>391</v>
      </c>
      <c r="C245" s="99">
        <v>46042</v>
      </c>
      <c r="D245" t="s">
        <v>99</v>
      </c>
      <c r="E245">
        <v>74</v>
      </c>
      <c r="F245" s="101">
        <v>46042.291666666664</v>
      </c>
      <c r="G245" s="101">
        <v>46043.291666666664</v>
      </c>
      <c r="H245" s="100">
        <v>0.14583333333333334</v>
      </c>
      <c r="I245" s="100"/>
      <c r="J245" s="100"/>
      <c r="K245" s="100"/>
      <c r="L245">
        <v>20.5</v>
      </c>
      <c r="M245">
        <v>24</v>
      </c>
      <c r="N245">
        <v>1517</v>
      </c>
      <c r="O245">
        <v>1776</v>
      </c>
      <c r="P245">
        <v>1158</v>
      </c>
      <c r="Q245">
        <v>1.3100172711571676</v>
      </c>
      <c r="R245">
        <v>1.5336787564766838</v>
      </c>
      <c r="S245">
        <v>0.65202702702702708</v>
      </c>
      <c r="T245">
        <v>24</v>
      </c>
    </row>
    <row r="246" spans="1:20" x14ac:dyDescent="0.3">
      <c r="A246">
        <v>1</v>
      </c>
      <c r="B246" t="s">
        <v>391</v>
      </c>
      <c r="C246" s="99">
        <v>46043</v>
      </c>
      <c r="D246" t="s">
        <v>96</v>
      </c>
      <c r="E246">
        <v>88</v>
      </c>
      <c r="F246" s="101">
        <v>46043.291666666664</v>
      </c>
      <c r="G246" s="101">
        <v>46044.291666666664</v>
      </c>
      <c r="H246" s="100">
        <v>0.14583333333333334</v>
      </c>
      <c r="I246" s="100"/>
      <c r="J246" s="100"/>
      <c r="K246" s="100"/>
      <c r="L246">
        <v>20.5</v>
      </c>
      <c r="M246">
        <v>24</v>
      </c>
      <c r="N246">
        <v>1804</v>
      </c>
      <c r="O246">
        <v>2112</v>
      </c>
      <c r="P246">
        <v>1104</v>
      </c>
      <c r="Q246">
        <v>1.6340579710144927</v>
      </c>
      <c r="R246">
        <v>1.9130434782608696</v>
      </c>
      <c r="S246">
        <v>0.52272727272727271</v>
      </c>
      <c r="T246">
        <v>24</v>
      </c>
    </row>
    <row r="247" spans="1:20" x14ac:dyDescent="0.3">
      <c r="A247">
        <v>1</v>
      </c>
      <c r="B247" t="s">
        <v>391</v>
      </c>
      <c r="C247" s="99">
        <v>46043</v>
      </c>
      <c r="D247" t="s">
        <v>97</v>
      </c>
      <c r="E247">
        <v>12</v>
      </c>
      <c r="F247" s="101">
        <v>46043.291666666664</v>
      </c>
      <c r="G247" s="101">
        <v>46044.291666666664</v>
      </c>
      <c r="H247" s="100">
        <v>0.14583333333333334</v>
      </c>
      <c r="I247" s="100"/>
      <c r="J247" s="100">
        <v>0.20833333333333334</v>
      </c>
      <c r="K247" s="100"/>
      <c r="L247">
        <v>20.5</v>
      </c>
      <c r="M247">
        <v>24</v>
      </c>
      <c r="N247">
        <v>246</v>
      </c>
      <c r="O247">
        <v>288</v>
      </c>
      <c r="P247">
        <v>953</v>
      </c>
      <c r="Q247">
        <v>0.25813221406086045</v>
      </c>
      <c r="R247">
        <v>0.30220356768100737</v>
      </c>
      <c r="S247">
        <v>3.3090277777777777</v>
      </c>
      <c r="T247">
        <v>24</v>
      </c>
    </row>
    <row r="248" spans="1:20" x14ac:dyDescent="0.3">
      <c r="A248">
        <v>1</v>
      </c>
      <c r="B248" t="s">
        <v>391</v>
      </c>
      <c r="C248" s="99">
        <v>46043</v>
      </c>
      <c r="D248" t="s">
        <v>98</v>
      </c>
      <c r="E248">
        <v>74</v>
      </c>
      <c r="F248" s="101">
        <v>46043.291666666664</v>
      </c>
      <c r="G248" s="101">
        <v>46044.291666666664</v>
      </c>
      <c r="H248" s="100">
        <v>0.14583333333333334</v>
      </c>
      <c r="I248" s="100">
        <v>9.7222222222222224E-2</v>
      </c>
      <c r="J248" s="100"/>
      <c r="K248" s="100"/>
      <c r="L248">
        <v>18.166666666666668</v>
      </c>
      <c r="M248">
        <v>24</v>
      </c>
      <c r="N248">
        <v>1344.3333333333335</v>
      </c>
      <c r="O248">
        <v>1776</v>
      </c>
      <c r="P248">
        <v>1230</v>
      </c>
      <c r="Q248">
        <v>1.0929539295392956</v>
      </c>
      <c r="R248">
        <v>1.4439024390243902</v>
      </c>
      <c r="S248">
        <v>0.69256756756756754</v>
      </c>
      <c r="T248">
        <v>24</v>
      </c>
    </row>
    <row r="249" spans="1:20" x14ac:dyDescent="0.3">
      <c r="A249">
        <v>1</v>
      </c>
      <c r="B249" t="s">
        <v>391</v>
      </c>
      <c r="C249" s="99">
        <v>46043</v>
      </c>
      <c r="D249" t="s">
        <v>99</v>
      </c>
      <c r="E249">
        <v>71</v>
      </c>
      <c r="F249" s="101">
        <v>46043.291666666664</v>
      </c>
      <c r="G249" s="101">
        <v>46044.291666666664</v>
      </c>
      <c r="H249" s="100">
        <v>0.14583333333333334</v>
      </c>
      <c r="I249" s="100"/>
      <c r="J249" s="100"/>
      <c r="K249" s="100"/>
      <c r="L249">
        <v>20.5</v>
      </c>
      <c r="M249">
        <v>24</v>
      </c>
      <c r="N249">
        <v>1455.5</v>
      </c>
      <c r="O249">
        <v>1704</v>
      </c>
      <c r="P249">
        <v>1218</v>
      </c>
      <c r="Q249">
        <v>1.194991789819376</v>
      </c>
      <c r="R249">
        <v>1.3990147783251232</v>
      </c>
      <c r="S249">
        <v>0.71478873239436613</v>
      </c>
      <c r="T249">
        <v>24</v>
      </c>
    </row>
    <row r="250" spans="1:20" x14ac:dyDescent="0.3">
      <c r="A250">
        <v>1</v>
      </c>
      <c r="B250" t="s">
        <v>391</v>
      </c>
      <c r="C250" s="99">
        <v>46044</v>
      </c>
      <c r="D250" t="s">
        <v>96</v>
      </c>
      <c r="E250">
        <v>76</v>
      </c>
      <c r="F250" s="101">
        <v>46044.291666666664</v>
      </c>
      <c r="G250" s="101">
        <v>46045.291666666664</v>
      </c>
      <c r="H250" s="100">
        <v>0.14583333333333334</v>
      </c>
      <c r="I250" s="100"/>
      <c r="J250" s="100"/>
      <c r="K250" s="100"/>
      <c r="L250">
        <v>20.5</v>
      </c>
      <c r="M250">
        <v>24</v>
      </c>
      <c r="N250">
        <v>1558</v>
      </c>
      <c r="O250">
        <v>1824</v>
      </c>
      <c r="P250">
        <v>929</v>
      </c>
      <c r="Q250">
        <v>1.6770721205597416</v>
      </c>
      <c r="R250">
        <v>1.9634015069967707</v>
      </c>
      <c r="S250">
        <v>0.50932017543859653</v>
      </c>
      <c r="T250">
        <v>24</v>
      </c>
    </row>
    <row r="251" spans="1:20" x14ac:dyDescent="0.3">
      <c r="A251">
        <v>1</v>
      </c>
      <c r="B251" t="s">
        <v>391</v>
      </c>
      <c r="C251" s="99">
        <v>46044</v>
      </c>
      <c r="D251" t="s">
        <v>97</v>
      </c>
      <c r="E251">
        <v>12</v>
      </c>
      <c r="F251" s="101">
        <v>46044.291666666664</v>
      </c>
      <c r="G251" s="101">
        <v>46045.291666666664</v>
      </c>
      <c r="H251" s="100">
        <v>0.14583333333333334</v>
      </c>
      <c r="I251" s="100">
        <v>8.3333333333333329E-2</v>
      </c>
      <c r="J251" s="100">
        <v>0.16666666666666666</v>
      </c>
      <c r="K251" s="100">
        <v>0.41666666666666669</v>
      </c>
      <c r="L251">
        <v>18.5</v>
      </c>
      <c r="M251">
        <v>24</v>
      </c>
      <c r="N251">
        <v>222</v>
      </c>
      <c r="O251">
        <v>288</v>
      </c>
      <c r="P251">
        <v>985</v>
      </c>
      <c r="Q251">
        <v>0.22538071065989848</v>
      </c>
      <c r="R251">
        <v>0.29238578680203048</v>
      </c>
      <c r="S251">
        <v>3.4201388888888888</v>
      </c>
      <c r="T251">
        <v>24</v>
      </c>
    </row>
    <row r="252" spans="1:20" x14ac:dyDescent="0.3">
      <c r="A252">
        <v>1</v>
      </c>
      <c r="B252" t="s">
        <v>391</v>
      </c>
      <c r="C252" s="99">
        <v>46044</v>
      </c>
      <c r="D252" t="s">
        <v>98</v>
      </c>
      <c r="E252">
        <v>68</v>
      </c>
      <c r="F252" s="101">
        <v>46044.291666666664</v>
      </c>
      <c r="G252" s="101">
        <v>46045.291666666664</v>
      </c>
      <c r="H252" s="100">
        <v>0.14583333333333334</v>
      </c>
      <c r="I252" s="100">
        <v>0.14583333333333334</v>
      </c>
      <c r="J252" s="100"/>
      <c r="K252" s="100"/>
      <c r="L252">
        <v>17</v>
      </c>
      <c r="M252">
        <v>24</v>
      </c>
      <c r="N252">
        <v>1156</v>
      </c>
      <c r="O252">
        <v>1632</v>
      </c>
      <c r="P252">
        <v>1009</v>
      </c>
      <c r="Q252">
        <v>1.1456888007928643</v>
      </c>
      <c r="R252">
        <v>1.6174430128840436</v>
      </c>
      <c r="S252">
        <v>0.61825980392156865</v>
      </c>
      <c r="T252">
        <v>24</v>
      </c>
    </row>
    <row r="253" spans="1:20" x14ac:dyDescent="0.3">
      <c r="A253">
        <v>1</v>
      </c>
      <c r="B253" t="s">
        <v>391</v>
      </c>
      <c r="C253" s="99">
        <v>46044</v>
      </c>
      <c r="D253" t="s">
        <v>99</v>
      </c>
      <c r="E253">
        <v>69</v>
      </c>
      <c r="F253" s="101">
        <v>46044.291666666664</v>
      </c>
      <c r="G253" s="101">
        <v>46045.291666666664</v>
      </c>
      <c r="H253" s="100">
        <v>0.14583333333333334</v>
      </c>
      <c r="I253" s="100">
        <v>0.10416666666666667</v>
      </c>
      <c r="J253" s="100"/>
      <c r="K253" s="100">
        <v>0.10069444444444445</v>
      </c>
      <c r="L253">
        <v>18</v>
      </c>
      <c r="M253">
        <v>24</v>
      </c>
      <c r="N253">
        <v>1242</v>
      </c>
      <c r="O253">
        <v>1656</v>
      </c>
      <c r="P253">
        <v>1100</v>
      </c>
      <c r="Q253">
        <v>1.1290909090909091</v>
      </c>
      <c r="R253">
        <v>1.5054545454545454</v>
      </c>
      <c r="S253">
        <v>0.66425120772946866</v>
      </c>
      <c r="T253">
        <v>24</v>
      </c>
    </row>
    <row r="254" spans="1:20" x14ac:dyDescent="0.3">
      <c r="A254">
        <v>1</v>
      </c>
      <c r="B254" t="s">
        <v>391</v>
      </c>
      <c r="C254" s="99">
        <v>46045</v>
      </c>
      <c r="D254" t="s">
        <v>96</v>
      </c>
      <c r="E254">
        <v>87</v>
      </c>
      <c r="F254" s="101">
        <v>46045.291666666664</v>
      </c>
      <c r="G254" s="101">
        <v>46046.291666666664</v>
      </c>
      <c r="H254" s="100">
        <v>0.14583333333333334</v>
      </c>
      <c r="I254" s="100"/>
      <c r="J254" s="100"/>
      <c r="K254" s="100"/>
      <c r="L254">
        <v>20.5</v>
      </c>
      <c r="M254">
        <v>24</v>
      </c>
      <c r="N254">
        <v>1783.5</v>
      </c>
      <c r="O254">
        <v>2088</v>
      </c>
      <c r="P254">
        <v>1080</v>
      </c>
      <c r="Q254">
        <v>1.6513888888888888</v>
      </c>
      <c r="R254">
        <v>1.9333333333333333</v>
      </c>
      <c r="S254">
        <v>0.51724137931034486</v>
      </c>
      <c r="T254">
        <v>24</v>
      </c>
    </row>
    <row r="255" spans="1:20" x14ac:dyDescent="0.3">
      <c r="A255">
        <v>1</v>
      </c>
      <c r="B255" t="s">
        <v>391</v>
      </c>
      <c r="C255" s="99">
        <v>46045</v>
      </c>
      <c r="D255" t="s">
        <v>97</v>
      </c>
      <c r="E255">
        <v>11</v>
      </c>
      <c r="F255" s="101">
        <v>46045.291666666664</v>
      </c>
      <c r="G255" s="101">
        <v>46046.291666666664</v>
      </c>
      <c r="H255" s="100">
        <v>0.14583333333333334</v>
      </c>
      <c r="I255" s="100"/>
      <c r="J255" s="100"/>
      <c r="K255" s="100">
        <v>0.41666666666666669</v>
      </c>
      <c r="L255">
        <v>20.5</v>
      </c>
      <c r="M255">
        <v>24</v>
      </c>
      <c r="N255">
        <v>225.5</v>
      </c>
      <c r="O255">
        <v>264</v>
      </c>
      <c r="P255">
        <v>1055</v>
      </c>
      <c r="Q255">
        <v>0.21374407582938387</v>
      </c>
      <c r="R255">
        <v>0.25023696682464452</v>
      </c>
      <c r="S255">
        <v>3.9962121212121215</v>
      </c>
      <c r="T255">
        <v>24</v>
      </c>
    </row>
    <row r="256" spans="1:20" x14ac:dyDescent="0.3">
      <c r="A256">
        <v>1</v>
      </c>
      <c r="B256" t="s">
        <v>391</v>
      </c>
      <c r="C256" s="99">
        <v>46045</v>
      </c>
      <c r="D256" t="s">
        <v>98</v>
      </c>
      <c r="E256">
        <v>72</v>
      </c>
      <c r="F256" s="101">
        <v>46045.291666666664</v>
      </c>
      <c r="G256" s="101">
        <v>46046.291666666664</v>
      </c>
      <c r="H256" s="100">
        <v>0.14583333333333334</v>
      </c>
      <c r="I256" s="100">
        <v>9.7222222222222224E-2</v>
      </c>
      <c r="J256" s="100"/>
      <c r="K256" s="100"/>
      <c r="L256">
        <v>18.166666666666668</v>
      </c>
      <c r="M256">
        <v>24</v>
      </c>
      <c r="N256">
        <v>1308</v>
      </c>
      <c r="O256">
        <v>1728</v>
      </c>
      <c r="P256">
        <v>977</v>
      </c>
      <c r="Q256">
        <v>1.3387922210849539</v>
      </c>
      <c r="R256">
        <v>1.7686796315250768</v>
      </c>
      <c r="S256">
        <v>0.56539351851851849</v>
      </c>
      <c r="T256">
        <v>24</v>
      </c>
    </row>
    <row r="257" spans="1:20" x14ac:dyDescent="0.3">
      <c r="A257">
        <v>1</v>
      </c>
      <c r="B257" t="s">
        <v>391</v>
      </c>
      <c r="C257" s="99">
        <v>46045</v>
      </c>
      <c r="D257" t="s">
        <v>99</v>
      </c>
      <c r="E257">
        <v>72</v>
      </c>
      <c r="F257" s="101">
        <v>46045.291666666664</v>
      </c>
      <c r="G257" s="101">
        <v>46046.291666666664</v>
      </c>
      <c r="H257" s="100">
        <v>0.14583333333333334</v>
      </c>
      <c r="I257" s="100"/>
      <c r="J257" s="100"/>
      <c r="K257" s="100"/>
      <c r="L257">
        <v>20.5</v>
      </c>
      <c r="M257">
        <v>24</v>
      </c>
      <c r="N257">
        <v>1476</v>
      </c>
      <c r="O257">
        <v>1728</v>
      </c>
      <c r="P257">
        <v>1068</v>
      </c>
      <c r="Q257">
        <v>1.3820224719101124</v>
      </c>
      <c r="R257">
        <v>1.6179775280898876</v>
      </c>
      <c r="S257">
        <v>0.61805555555555558</v>
      </c>
      <c r="T257">
        <v>24</v>
      </c>
    </row>
    <row r="258" spans="1:20" x14ac:dyDescent="0.3">
      <c r="A258">
        <v>1</v>
      </c>
      <c r="B258" t="s">
        <v>391</v>
      </c>
      <c r="C258" s="99">
        <v>46046</v>
      </c>
      <c r="D258" t="s">
        <v>96</v>
      </c>
      <c r="E258">
        <v>85</v>
      </c>
      <c r="F258" s="101">
        <v>46046.291666666664</v>
      </c>
      <c r="G258" s="101">
        <v>46047.291666666664</v>
      </c>
      <c r="H258" s="100">
        <v>0.14583333333333334</v>
      </c>
      <c r="I258" s="100"/>
      <c r="J258" s="100"/>
      <c r="K258" s="100"/>
      <c r="L258">
        <v>20.5</v>
      </c>
      <c r="M258">
        <v>24</v>
      </c>
      <c r="N258">
        <v>1742.5</v>
      </c>
      <c r="O258">
        <v>2040</v>
      </c>
      <c r="P258">
        <v>999</v>
      </c>
      <c r="Q258">
        <v>1.7442442442442443</v>
      </c>
      <c r="R258">
        <v>2.0420420420420422</v>
      </c>
      <c r="S258">
        <v>0.48970588235294116</v>
      </c>
      <c r="T258">
        <v>24</v>
      </c>
    </row>
    <row r="259" spans="1:20" x14ac:dyDescent="0.3">
      <c r="A259">
        <v>1</v>
      </c>
      <c r="B259" t="s">
        <v>391</v>
      </c>
      <c r="C259" s="99">
        <v>46046</v>
      </c>
      <c r="D259" t="s">
        <v>97</v>
      </c>
      <c r="E259">
        <v>12</v>
      </c>
      <c r="F259" s="101">
        <v>46046.291666666664</v>
      </c>
      <c r="G259" s="101">
        <v>46047.291666666664</v>
      </c>
      <c r="H259" s="100">
        <v>0.14583333333333334</v>
      </c>
      <c r="I259" s="100">
        <v>6.9444444444444448E-2</v>
      </c>
      <c r="J259" s="100"/>
      <c r="K259" s="100">
        <v>0.54166666666666663</v>
      </c>
      <c r="L259">
        <v>18.833333333333332</v>
      </c>
      <c r="M259">
        <v>24</v>
      </c>
      <c r="N259">
        <v>226</v>
      </c>
      <c r="O259">
        <v>288</v>
      </c>
      <c r="P259">
        <v>1057</v>
      </c>
      <c r="Q259">
        <v>0.21381267738883633</v>
      </c>
      <c r="R259">
        <v>0.27246925260170296</v>
      </c>
      <c r="S259">
        <v>3.6701388888888884</v>
      </c>
      <c r="T259">
        <v>24</v>
      </c>
    </row>
    <row r="260" spans="1:20" x14ac:dyDescent="0.3">
      <c r="A260">
        <v>1</v>
      </c>
      <c r="B260" t="s">
        <v>391</v>
      </c>
      <c r="C260" s="99">
        <v>46046</v>
      </c>
      <c r="D260" t="s">
        <v>98</v>
      </c>
      <c r="E260">
        <v>70</v>
      </c>
      <c r="F260" s="101">
        <v>46046.291666666664</v>
      </c>
      <c r="G260" s="101">
        <v>46047.291666666664</v>
      </c>
      <c r="H260" s="100">
        <v>0.14583333333333334</v>
      </c>
      <c r="I260" s="100"/>
      <c r="J260" s="100"/>
      <c r="K260" s="100"/>
      <c r="L260">
        <v>20.5</v>
      </c>
      <c r="M260">
        <v>24</v>
      </c>
      <c r="N260">
        <v>1435</v>
      </c>
      <c r="O260">
        <v>1680</v>
      </c>
      <c r="P260">
        <v>1102</v>
      </c>
      <c r="Q260">
        <v>1.3021778584392014</v>
      </c>
      <c r="R260">
        <v>1.5245009074410163</v>
      </c>
      <c r="S260">
        <v>0.65595238095238095</v>
      </c>
      <c r="T260">
        <v>24</v>
      </c>
    </row>
    <row r="261" spans="1:20" x14ac:dyDescent="0.3">
      <c r="A261">
        <v>1</v>
      </c>
      <c r="B261" t="s">
        <v>391</v>
      </c>
      <c r="C261" s="99">
        <v>46046</v>
      </c>
      <c r="D261" t="s">
        <v>99</v>
      </c>
      <c r="E261">
        <v>71</v>
      </c>
      <c r="F261" s="101">
        <v>46046.291666666664</v>
      </c>
      <c r="G261" s="101">
        <v>46047.291666666664</v>
      </c>
      <c r="H261" s="100">
        <v>0.14583333333333334</v>
      </c>
      <c r="I261" s="100"/>
      <c r="J261" s="100"/>
      <c r="K261" s="100"/>
      <c r="L261">
        <v>20.5</v>
      </c>
      <c r="M261">
        <v>24</v>
      </c>
      <c r="N261">
        <v>1455.5</v>
      </c>
      <c r="O261">
        <v>1704</v>
      </c>
      <c r="P261">
        <v>1111</v>
      </c>
      <c r="Q261">
        <v>1.3100810081008101</v>
      </c>
      <c r="R261">
        <v>1.5337533753375339</v>
      </c>
      <c r="S261">
        <v>0.65199530516431925</v>
      </c>
      <c r="T261">
        <v>24</v>
      </c>
    </row>
    <row r="262" spans="1:20" x14ac:dyDescent="0.3">
      <c r="A262">
        <v>1</v>
      </c>
      <c r="B262" t="s">
        <v>391</v>
      </c>
      <c r="C262" s="99">
        <v>46047</v>
      </c>
      <c r="D262" t="s">
        <v>97</v>
      </c>
      <c r="E262">
        <v>1</v>
      </c>
      <c r="F262" s="101">
        <v>46047.291666666664</v>
      </c>
      <c r="G262" s="101">
        <v>46047.708333333336</v>
      </c>
      <c r="H262" s="100">
        <v>6.25E-2</v>
      </c>
      <c r="I262" s="100"/>
      <c r="J262" s="100"/>
      <c r="K262" s="100"/>
      <c r="L262">
        <v>8.5</v>
      </c>
      <c r="M262">
        <v>10</v>
      </c>
      <c r="N262">
        <v>8.5</v>
      </c>
      <c r="O262">
        <v>10</v>
      </c>
      <c r="P262">
        <v>15</v>
      </c>
      <c r="Q262">
        <v>0.56666666666666665</v>
      </c>
      <c r="R262">
        <v>0.66666666666666663</v>
      </c>
      <c r="S262">
        <v>1.5</v>
      </c>
      <c r="T262">
        <v>10</v>
      </c>
    </row>
    <row r="263" spans="1:20" x14ac:dyDescent="0.3">
      <c r="A263">
        <v>1</v>
      </c>
      <c r="B263" t="s">
        <v>391</v>
      </c>
      <c r="C263" s="99">
        <v>46047</v>
      </c>
      <c r="D263" t="s">
        <v>98</v>
      </c>
      <c r="E263">
        <v>36</v>
      </c>
      <c r="F263" s="101">
        <v>46047.291666666664</v>
      </c>
      <c r="G263" s="101">
        <v>46047.708333333336</v>
      </c>
      <c r="H263" s="100">
        <v>6.25E-2</v>
      </c>
      <c r="I263" s="100"/>
      <c r="J263" s="100"/>
      <c r="K263" s="100"/>
      <c r="L263">
        <v>8.5</v>
      </c>
      <c r="M263">
        <v>10</v>
      </c>
      <c r="N263">
        <v>306</v>
      </c>
      <c r="O263">
        <v>360</v>
      </c>
      <c r="P263">
        <v>252</v>
      </c>
      <c r="Q263">
        <v>1.2142857142857142</v>
      </c>
      <c r="R263">
        <v>1.4285714285714286</v>
      </c>
      <c r="S263">
        <v>0.7</v>
      </c>
      <c r="T263">
        <v>10</v>
      </c>
    </row>
    <row r="264" spans="1:20" x14ac:dyDescent="0.3">
      <c r="A264">
        <v>1</v>
      </c>
      <c r="B264" t="s">
        <v>391</v>
      </c>
      <c r="C264" s="99">
        <v>46047</v>
      </c>
      <c r="D264" t="s">
        <v>99</v>
      </c>
      <c r="E264">
        <v>37</v>
      </c>
      <c r="F264" s="101">
        <v>46047.291666666664</v>
      </c>
      <c r="G264" s="101">
        <v>46047.708333333336</v>
      </c>
      <c r="H264" s="100">
        <v>6.25E-2</v>
      </c>
      <c r="I264" s="100"/>
      <c r="J264" s="100"/>
      <c r="K264" s="100">
        <v>4.1666666666666664E-2</v>
      </c>
      <c r="L264">
        <v>8.5</v>
      </c>
      <c r="M264">
        <v>10</v>
      </c>
      <c r="N264">
        <v>314.5</v>
      </c>
      <c r="O264">
        <v>370</v>
      </c>
      <c r="P264">
        <v>336</v>
      </c>
      <c r="Q264">
        <v>0.93601190476190477</v>
      </c>
      <c r="R264">
        <v>1.1011904761904763</v>
      </c>
      <c r="S264">
        <v>0.90810810810810805</v>
      </c>
      <c r="T264">
        <v>10</v>
      </c>
    </row>
    <row r="265" spans="1:20" x14ac:dyDescent="0.3">
      <c r="A265">
        <v>1</v>
      </c>
      <c r="B265" t="s">
        <v>391</v>
      </c>
      <c r="C265" s="99">
        <v>46048</v>
      </c>
      <c r="D265" t="s">
        <v>96</v>
      </c>
      <c r="E265">
        <v>93</v>
      </c>
      <c r="F265" s="101">
        <v>46048.291666666664</v>
      </c>
      <c r="G265" s="101">
        <v>46049.291666666664</v>
      </c>
      <c r="H265" s="100">
        <v>0.14583333333333334</v>
      </c>
      <c r="I265" s="100"/>
      <c r="J265" s="100"/>
      <c r="K265" s="100"/>
      <c r="L265">
        <v>20.5</v>
      </c>
      <c r="M265">
        <v>24</v>
      </c>
      <c r="N265">
        <v>1906.5</v>
      </c>
      <c r="O265">
        <v>2232</v>
      </c>
      <c r="P265">
        <v>759</v>
      </c>
      <c r="Q265">
        <v>2.5118577075098814</v>
      </c>
      <c r="R265">
        <v>2.9407114624505928</v>
      </c>
      <c r="S265">
        <v>0.34005376344086025</v>
      </c>
      <c r="T265">
        <v>24</v>
      </c>
    </row>
    <row r="266" spans="1:20" x14ac:dyDescent="0.3">
      <c r="A266">
        <v>1</v>
      </c>
      <c r="B266" t="s">
        <v>391</v>
      </c>
      <c r="C266" s="99">
        <v>46048</v>
      </c>
      <c r="D266" t="s">
        <v>97</v>
      </c>
      <c r="E266">
        <v>12</v>
      </c>
      <c r="F266" s="101">
        <v>46048.291666666664</v>
      </c>
      <c r="G266" s="101">
        <v>46049.291666666664</v>
      </c>
      <c r="H266" s="100">
        <v>0.14583333333333334</v>
      </c>
      <c r="I266" s="100"/>
      <c r="J266" s="100">
        <v>0.3125</v>
      </c>
      <c r="K266" s="100">
        <v>0.375</v>
      </c>
      <c r="L266">
        <v>20.5</v>
      </c>
      <c r="M266">
        <v>24</v>
      </c>
      <c r="N266">
        <v>246</v>
      </c>
      <c r="O266">
        <v>288</v>
      </c>
      <c r="P266">
        <v>911</v>
      </c>
      <c r="Q266">
        <v>0.27003293084522501</v>
      </c>
      <c r="R266">
        <v>0.31613611416026344</v>
      </c>
      <c r="S266">
        <v>3.1631944444444446</v>
      </c>
      <c r="T266">
        <v>24</v>
      </c>
    </row>
    <row r="267" spans="1:20" x14ac:dyDescent="0.3">
      <c r="A267">
        <v>1</v>
      </c>
      <c r="B267" t="s">
        <v>391</v>
      </c>
      <c r="C267" s="99">
        <v>46048</v>
      </c>
      <c r="D267" t="s">
        <v>98</v>
      </c>
      <c r="E267">
        <v>67</v>
      </c>
      <c r="F267" s="101">
        <v>46048.291666666664</v>
      </c>
      <c r="G267" s="101">
        <v>46049.291666666664</v>
      </c>
      <c r="H267" s="100">
        <v>0.14583333333333334</v>
      </c>
      <c r="I267" s="100">
        <v>0.12847222222222221</v>
      </c>
      <c r="J267" s="100"/>
      <c r="K267" s="100"/>
      <c r="L267">
        <v>17.416666666666668</v>
      </c>
      <c r="M267">
        <v>24</v>
      </c>
      <c r="N267">
        <v>1166.9166666666667</v>
      </c>
      <c r="O267">
        <v>1608</v>
      </c>
      <c r="P267">
        <v>860</v>
      </c>
      <c r="Q267">
        <v>1.3568798449612405</v>
      </c>
      <c r="R267">
        <v>1.8697674418604651</v>
      </c>
      <c r="S267">
        <v>0.53482587064676623</v>
      </c>
      <c r="T267">
        <v>24</v>
      </c>
    </row>
    <row r="268" spans="1:20" x14ac:dyDescent="0.3">
      <c r="A268">
        <v>1</v>
      </c>
      <c r="B268" t="s">
        <v>391</v>
      </c>
      <c r="C268" s="99">
        <v>46048</v>
      </c>
      <c r="D268" t="s">
        <v>99</v>
      </c>
      <c r="E268">
        <v>71</v>
      </c>
      <c r="F268" s="101">
        <v>46048.291666666664</v>
      </c>
      <c r="G268" s="101">
        <v>46049.291666666664</v>
      </c>
      <c r="H268" s="100">
        <v>0.14583333333333334</v>
      </c>
      <c r="I268" s="100">
        <v>4.1666666666666664E-2</v>
      </c>
      <c r="J268" s="100"/>
      <c r="K268" s="100"/>
      <c r="L268">
        <v>19.5</v>
      </c>
      <c r="M268">
        <v>24</v>
      </c>
      <c r="N268">
        <v>1384.5</v>
      </c>
      <c r="O268">
        <v>1704</v>
      </c>
      <c r="P268">
        <v>810</v>
      </c>
      <c r="Q268">
        <v>1.7092592592592593</v>
      </c>
      <c r="R268">
        <v>2.1037037037037036</v>
      </c>
      <c r="S268">
        <v>0.47535211267605637</v>
      </c>
      <c r="T268">
        <v>24</v>
      </c>
    </row>
    <row r="269" spans="1:20" x14ac:dyDescent="0.3">
      <c r="A269">
        <v>1</v>
      </c>
      <c r="B269" t="s">
        <v>391</v>
      </c>
      <c r="C269" s="99">
        <v>46049</v>
      </c>
      <c r="D269" t="s">
        <v>96</v>
      </c>
      <c r="E269">
        <v>91</v>
      </c>
      <c r="F269" s="101">
        <v>46049.291666666664</v>
      </c>
      <c r="G269" s="101">
        <v>46050.291666666664</v>
      </c>
      <c r="H269" s="100">
        <v>0.14583333333333334</v>
      </c>
      <c r="I269" s="100"/>
      <c r="J269" s="100"/>
      <c r="K269" s="100"/>
      <c r="L269">
        <v>20.5</v>
      </c>
      <c r="M269">
        <v>24</v>
      </c>
      <c r="N269">
        <v>1865.5</v>
      </c>
      <c r="O269">
        <v>2184</v>
      </c>
      <c r="P269">
        <v>1093</v>
      </c>
      <c r="Q269">
        <v>1.7067703568161026</v>
      </c>
      <c r="R269">
        <v>1.9981701738334858</v>
      </c>
      <c r="S269">
        <v>0.50045787545787546</v>
      </c>
      <c r="T269">
        <v>24</v>
      </c>
    </row>
    <row r="270" spans="1:20" x14ac:dyDescent="0.3">
      <c r="A270">
        <v>1</v>
      </c>
      <c r="B270" t="s">
        <v>391</v>
      </c>
      <c r="C270" s="99">
        <v>46049</v>
      </c>
      <c r="D270" t="s">
        <v>97</v>
      </c>
      <c r="E270">
        <v>13</v>
      </c>
      <c r="F270" s="101">
        <v>46049.291666666664</v>
      </c>
      <c r="G270" s="101">
        <v>46050.291666666664</v>
      </c>
      <c r="H270" s="100">
        <v>0.14583333333333334</v>
      </c>
      <c r="I270" s="100">
        <v>8.3333333333333329E-2</v>
      </c>
      <c r="J270" s="100"/>
      <c r="K270" s="100"/>
      <c r="L270">
        <v>18.5</v>
      </c>
      <c r="M270">
        <v>24</v>
      </c>
      <c r="N270">
        <v>240.5</v>
      </c>
      <c r="O270">
        <v>312</v>
      </c>
      <c r="P270">
        <v>1145</v>
      </c>
      <c r="Q270">
        <v>0.21004366812227074</v>
      </c>
      <c r="R270">
        <v>0.27248908296943231</v>
      </c>
      <c r="S270">
        <v>3.6698717948717952</v>
      </c>
      <c r="T270">
        <v>24</v>
      </c>
    </row>
    <row r="271" spans="1:20" x14ac:dyDescent="0.3">
      <c r="A271">
        <v>1</v>
      </c>
      <c r="B271" t="s">
        <v>391</v>
      </c>
      <c r="C271" s="99">
        <v>46049</v>
      </c>
      <c r="D271" t="s">
        <v>98</v>
      </c>
      <c r="E271">
        <v>72</v>
      </c>
      <c r="F271" s="101">
        <v>46049.291666666664</v>
      </c>
      <c r="G271" s="101">
        <v>46050.291666666664</v>
      </c>
      <c r="H271" s="100">
        <v>0.14583333333333334</v>
      </c>
      <c r="I271" s="100">
        <v>6.9444444444444448E-2</v>
      </c>
      <c r="J271" s="100"/>
      <c r="K271" s="100"/>
      <c r="L271">
        <v>18.833333333333332</v>
      </c>
      <c r="M271">
        <v>24</v>
      </c>
      <c r="N271">
        <v>1356</v>
      </c>
      <c r="O271">
        <v>1728</v>
      </c>
      <c r="P271">
        <v>995</v>
      </c>
      <c r="Q271">
        <v>1.3628140703517588</v>
      </c>
      <c r="R271">
        <v>1.7366834170854271</v>
      </c>
      <c r="S271">
        <v>0.57581018518518523</v>
      </c>
      <c r="T271">
        <v>24</v>
      </c>
    </row>
    <row r="272" spans="1:20" x14ac:dyDescent="0.3">
      <c r="A272">
        <v>1</v>
      </c>
      <c r="B272" t="s">
        <v>391</v>
      </c>
      <c r="C272" s="99">
        <v>46049</v>
      </c>
      <c r="D272" t="s">
        <v>99</v>
      </c>
      <c r="E272">
        <v>69</v>
      </c>
      <c r="F272" s="101">
        <v>46049.291666666664</v>
      </c>
      <c r="G272" s="101">
        <v>46050.291666666664</v>
      </c>
      <c r="H272" s="100">
        <v>0.14583333333333334</v>
      </c>
      <c r="I272" s="100"/>
      <c r="J272" s="100"/>
      <c r="K272" s="100">
        <v>4.1666666666666664E-2</v>
      </c>
      <c r="L272">
        <v>20.5</v>
      </c>
      <c r="M272">
        <v>24</v>
      </c>
      <c r="N272">
        <v>1414.5</v>
      </c>
      <c r="O272">
        <v>1656</v>
      </c>
      <c r="P272">
        <v>945</v>
      </c>
      <c r="Q272">
        <v>1.4968253968253968</v>
      </c>
      <c r="R272">
        <v>1.7523809523809524</v>
      </c>
      <c r="S272">
        <v>0.57065217391304346</v>
      </c>
      <c r="T272">
        <v>24</v>
      </c>
    </row>
    <row r="273" spans="1:20" x14ac:dyDescent="0.3">
      <c r="A273">
        <v>1</v>
      </c>
      <c r="B273" t="s">
        <v>391</v>
      </c>
      <c r="C273" s="99">
        <v>46050</v>
      </c>
      <c r="D273" t="s">
        <v>96</v>
      </c>
      <c r="E273">
        <v>88</v>
      </c>
      <c r="F273" s="101">
        <v>46050.291666666664</v>
      </c>
      <c r="G273" s="101">
        <v>46051.291666666664</v>
      </c>
      <c r="H273" s="100">
        <v>0.14583333333333334</v>
      </c>
      <c r="I273" s="100"/>
      <c r="J273" s="100"/>
      <c r="K273" s="100">
        <v>0.26041666666666669</v>
      </c>
      <c r="L273">
        <v>20.5</v>
      </c>
      <c r="M273">
        <v>24</v>
      </c>
      <c r="N273">
        <v>1804</v>
      </c>
      <c r="O273">
        <v>2112</v>
      </c>
      <c r="P273">
        <v>906</v>
      </c>
      <c r="Q273">
        <v>1.9911699779249448</v>
      </c>
      <c r="R273">
        <v>2.3311258278145695</v>
      </c>
      <c r="S273">
        <v>0.42897727272727276</v>
      </c>
      <c r="T273">
        <v>24</v>
      </c>
    </row>
    <row r="274" spans="1:20" x14ac:dyDescent="0.3">
      <c r="A274">
        <v>1</v>
      </c>
      <c r="B274" t="s">
        <v>391</v>
      </c>
      <c r="C274" s="99">
        <v>46050</v>
      </c>
      <c r="D274" t="s">
        <v>97</v>
      </c>
      <c r="E274">
        <v>12</v>
      </c>
      <c r="F274" s="101">
        <v>46050.291666666664</v>
      </c>
      <c r="G274" s="101">
        <v>46051.291666666664</v>
      </c>
      <c r="H274" s="100">
        <v>0.14583333333333334</v>
      </c>
      <c r="I274" s="100"/>
      <c r="J274" s="100">
        <v>8.3333333333333329E-2</v>
      </c>
      <c r="K274" s="100">
        <v>0.16666666666666666</v>
      </c>
      <c r="L274">
        <v>20.5</v>
      </c>
      <c r="M274">
        <v>24</v>
      </c>
      <c r="N274">
        <v>246</v>
      </c>
      <c r="O274">
        <v>288</v>
      </c>
      <c r="P274">
        <v>1091</v>
      </c>
      <c r="Q274">
        <v>0.22548120989917506</v>
      </c>
      <c r="R274">
        <v>0.26397800183318054</v>
      </c>
      <c r="S274">
        <v>3.7881944444444446</v>
      </c>
      <c r="T274">
        <v>24</v>
      </c>
    </row>
    <row r="275" spans="1:20" x14ac:dyDescent="0.3">
      <c r="A275">
        <v>1</v>
      </c>
      <c r="B275" t="s">
        <v>391</v>
      </c>
      <c r="C275" s="99">
        <v>46050</v>
      </c>
      <c r="D275" t="s">
        <v>98</v>
      </c>
      <c r="E275">
        <v>73</v>
      </c>
      <c r="F275" s="101">
        <v>46050.291666666664</v>
      </c>
      <c r="G275" s="101">
        <v>46051.291666666664</v>
      </c>
      <c r="H275" s="100">
        <v>0.14583333333333334</v>
      </c>
      <c r="I275" s="100">
        <v>8.3333333333333329E-2</v>
      </c>
      <c r="J275" s="100"/>
      <c r="K275" s="100"/>
      <c r="L275">
        <v>18.5</v>
      </c>
      <c r="M275">
        <v>24</v>
      </c>
      <c r="N275">
        <v>1350.5</v>
      </c>
      <c r="O275">
        <v>1752</v>
      </c>
      <c r="P275">
        <v>1098</v>
      </c>
      <c r="Q275">
        <v>1.2299635701275045</v>
      </c>
      <c r="R275">
        <v>1.5956284153005464</v>
      </c>
      <c r="S275">
        <v>0.62671232876712324</v>
      </c>
      <c r="T275">
        <v>24</v>
      </c>
    </row>
    <row r="276" spans="1:20" x14ac:dyDescent="0.3">
      <c r="A276">
        <v>1</v>
      </c>
      <c r="B276" t="s">
        <v>391</v>
      </c>
      <c r="C276" s="99">
        <v>46050</v>
      </c>
      <c r="D276" t="s">
        <v>99</v>
      </c>
      <c r="E276">
        <v>72</v>
      </c>
      <c r="F276" s="101">
        <v>46050.291666666664</v>
      </c>
      <c r="G276" s="101">
        <v>46051.291666666664</v>
      </c>
      <c r="H276" s="100">
        <v>0.14583333333333334</v>
      </c>
      <c r="I276" s="100"/>
      <c r="J276" s="100"/>
      <c r="K276" s="100"/>
      <c r="L276">
        <v>20.5</v>
      </c>
      <c r="M276">
        <v>24</v>
      </c>
      <c r="N276">
        <v>1476</v>
      </c>
      <c r="O276">
        <v>1728</v>
      </c>
      <c r="P276">
        <v>1170</v>
      </c>
      <c r="Q276">
        <v>1.2615384615384615</v>
      </c>
      <c r="R276">
        <v>1.476923076923077</v>
      </c>
      <c r="S276">
        <v>0.67708333333333326</v>
      </c>
      <c r="T276">
        <v>24</v>
      </c>
    </row>
    <row r="277" spans="1:20" x14ac:dyDescent="0.3">
      <c r="A277">
        <v>1</v>
      </c>
      <c r="B277" t="s">
        <v>391</v>
      </c>
      <c r="C277" s="99">
        <v>46051</v>
      </c>
      <c r="D277" t="s">
        <v>96</v>
      </c>
      <c r="E277">
        <v>88</v>
      </c>
      <c r="F277" s="101">
        <v>46051.291666666664</v>
      </c>
      <c r="G277" s="101">
        <v>46052.291666666664</v>
      </c>
      <c r="H277" s="100">
        <v>0.14583333333333334</v>
      </c>
      <c r="I277" s="100"/>
      <c r="J277" s="100"/>
      <c r="K277" s="100">
        <v>1.0416666666666666E-2</v>
      </c>
      <c r="L277">
        <v>20.5</v>
      </c>
      <c r="M277">
        <v>24</v>
      </c>
      <c r="N277">
        <v>1804</v>
      </c>
      <c r="O277">
        <v>2112</v>
      </c>
      <c r="P277">
        <v>1036</v>
      </c>
      <c r="Q277">
        <v>1.7413127413127414</v>
      </c>
      <c r="R277">
        <v>2.0386100386100385</v>
      </c>
      <c r="S277">
        <v>0.49053030303030304</v>
      </c>
      <c r="T277">
        <v>24</v>
      </c>
    </row>
    <row r="278" spans="1:20" x14ac:dyDescent="0.3">
      <c r="A278">
        <v>1</v>
      </c>
      <c r="B278" t="s">
        <v>391</v>
      </c>
      <c r="C278" s="99">
        <v>46051</v>
      </c>
      <c r="D278" t="s">
        <v>97</v>
      </c>
      <c r="E278">
        <v>12</v>
      </c>
      <c r="F278" s="101">
        <v>46051.291666666664</v>
      </c>
      <c r="G278" s="101">
        <v>46052.291666666664</v>
      </c>
      <c r="H278" s="100">
        <v>0.14583333333333334</v>
      </c>
      <c r="I278" s="100"/>
      <c r="J278" s="100"/>
      <c r="K278" s="100">
        <v>0.45833333333333331</v>
      </c>
      <c r="L278">
        <v>20.5</v>
      </c>
      <c r="M278">
        <v>24</v>
      </c>
      <c r="N278">
        <v>246</v>
      </c>
      <c r="O278">
        <v>288</v>
      </c>
      <c r="P278">
        <v>1033</v>
      </c>
      <c r="Q278">
        <v>0.23814133591481124</v>
      </c>
      <c r="R278">
        <v>0.27879961277831561</v>
      </c>
      <c r="S278">
        <v>3.5868055555555554</v>
      </c>
      <c r="T278">
        <v>24</v>
      </c>
    </row>
    <row r="279" spans="1:20" x14ac:dyDescent="0.3">
      <c r="A279">
        <v>1</v>
      </c>
      <c r="B279" t="s">
        <v>391</v>
      </c>
      <c r="C279" s="99">
        <v>46051</v>
      </c>
      <c r="D279" t="s">
        <v>98</v>
      </c>
      <c r="E279">
        <v>73</v>
      </c>
      <c r="F279" s="101">
        <v>46051.291666666664</v>
      </c>
      <c r="G279" s="101">
        <v>46052.291666666664</v>
      </c>
      <c r="H279" s="100">
        <v>0.14583333333333334</v>
      </c>
      <c r="I279" s="100">
        <v>6.5972222222222224E-2</v>
      </c>
      <c r="J279" s="100"/>
      <c r="K279" s="100"/>
      <c r="L279">
        <v>18.916666666666668</v>
      </c>
      <c r="M279">
        <v>24</v>
      </c>
      <c r="N279">
        <v>1380.9166666666667</v>
      </c>
      <c r="O279">
        <v>1752</v>
      </c>
      <c r="P279">
        <v>1117</v>
      </c>
      <c r="Q279">
        <v>1.2362727544016712</v>
      </c>
      <c r="R279">
        <v>1.5684870188003581</v>
      </c>
      <c r="S279">
        <v>0.63755707762557079</v>
      </c>
      <c r="T279">
        <v>24</v>
      </c>
    </row>
    <row r="280" spans="1:20" x14ac:dyDescent="0.3">
      <c r="A280">
        <v>1</v>
      </c>
      <c r="B280" t="s">
        <v>391</v>
      </c>
      <c r="C280" s="99">
        <v>46051</v>
      </c>
      <c r="D280" t="s">
        <v>99</v>
      </c>
      <c r="E280">
        <v>69</v>
      </c>
      <c r="F280" s="101">
        <v>46051.291666666664</v>
      </c>
      <c r="G280" s="101">
        <v>46052.291666666664</v>
      </c>
      <c r="H280" s="100">
        <v>0.14583333333333334</v>
      </c>
      <c r="I280" s="100"/>
      <c r="J280" s="100"/>
      <c r="K280" s="100"/>
      <c r="L280">
        <v>20.5</v>
      </c>
      <c r="M280">
        <v>24</v>
      </c>
      <c r="N280">
        <v>1414.5</v>
      </c>
      <c r="O280">
        <v>1656</v>
      </c>
      <c r="P280">
        <v>1059</v>
      </c>
      <c r="Q280">
        <v>1.3356940509915014</v>
      </c>
      <c r="R280">
        <v>1.5637393767705383</v>
      </c>
      <c r="S280">
        <v>0.63949275362318836</v>
      </c>
      <c r="T280">
        <v>24</v>
      </c>
    </row>
    <row r="281" spans="1:20" x14ac:dyDescent="0.3">
      <c r="A281">
        <v>1</v>
      </c>
      <c r="B281" t="s">
        <v>391</v>
      </c>
      <c r="C281" s="99">
        <v>46052</v>
      </c>
      <c r="D281" t="s">
        <v>96</v>
      </c>
      <c r="E281">
        <v>86</v>
      </c>
      <c r="F281" s="101">
        <v>46052.291666666664</v>
      </c>
      <c r="G281" s="101">
        <v>46053.291666666664</v>
      </c>
      <c r="H281" s="100">
        <v>0.14583333333333334</v>
      </c>
      <c r="I281" s="100"/>
      <c r="J281" s="100"/>
      <c r="K281" s="100">
        <v>0.20833333333333334</v>
      </c>
      <c r="L281">
        <v>20.5</v>
      </c>
      <c r="M281">
        <v>24</v>
      </c>
      <c r="N281">
        <v>1763</v>
      </c>
      <c r="O281">
        <v>2064</v>
      </c>
      <c r="P281">
        <v>933</v>
      </c>
      <c r="Q281">
        <v>1.8896034297963558</v>
      </c>
      <c r="R281">
        <v>2.212218649517685</v>
      </c>
      <c r="S281">
        <v>0.4520348837209302</v>
      </c>
      <c r="T281">
        <v>24</v>
      </c>
    </row>
    <row r="282" spans="1:20" x14ac:dyDescent="0.3">
      <c r="A282">
        <v>1</v>
      </c>
      <c r="B282" t="s">
        <v>391</v>
      </c>
      <c r="C282" s="99">
        <v>46052</v>
      </c>
      <c r="D282" t="s">
        <v>97</v>
      </c>
      <c r="E282">
        <v>12</v>
      </c>
      <c r="F282" s="101">
        <v>46052.291666666664</v>
      </c>
      <c r="G282" s="101">
        <v>46053.291666666664</v>
      </c>
      <c r="H282" s="100">
        <v>0.14583333333333334</v>
      </c>
      <c r="I282" s="100"/>
      <c r="J282" s="100">
        <v>0.12152777777777778</v>
      </c>
      <c r="K282" s="100">
        <v>0.33333333333333331</v>
      </c>
      <c r="L282">
        <v>20.5</v>
      </c>
      <c r="M282">
        <v>24</v>
      </c>
      <c r="N282">
        <v>246</v>
      </c>
      <c r="O282">
        <v>288</v>
      </c>
      <c r="P282">
        <v>939</v>
      </c>
      <c r="Q282">
        <v>0.26198083067092653</v>
      </c>
      <c r="R282">
        <v>0.30670926517571884</v>
      </c>
      <c r="S282">
        <v>3.260416666666667</v>
      </c>
      <c r="T282">
        <v>24</v>
      </c>
    </row>
    <row r="283" spans="1:20" x14ac:dyDescent="0.3">
      <c r="A283">
        <v>1</v>
      </c>
      <c r="B283" t="s">
        <v>391</v>
      </c>
      <c r="C283" s="99">
        <v>46052</v>
      </c>
      <c r="D283" t="s">
        <v>98</v>
      </c>
      <c r="E283">
        <v>74</v>
      </c>
      <c r="F283" s="101">
        <v>46052.291666666664</v>
      </c>
      <c r="G283" s="101">
        <v>46053.291666666664</v>
      </c>
      <c r="H283" s="100">
        <v>0.14583333333333334</v>
      </c>
      <c r="I283" s="100">
        <v>7.2916666666666671E-2</v>
      </c>
      <c r="J283" s="100"/>
      <c r="K283" s="100"/>
      <c r="L283">
        <v>18.75</v>
      </c>
      <c r="M283">
        <v>24</v>
      </c>
      <c r="N283">
        <v>1387.5</v>
      </c>
      <c r="O283">
        <v>1776</v>
      </c>
      <c r="P283">
        <v>995</v>
      </c>
      <c r="Q283">
        <v>1.3944723618090453</v>
      </c>
      <c r="R283">
        <v>1.784924623115578</v>
      </c>
      <c r="S283">
        <v>0.56024774774774777</v>
      </c>
      <c r="T283">
        <v>24</v>
      </c>
    </row>
    <row r="284" spans="1:20" x14ac:dyDescent="0.3">
      <c r="A284">
        <v>1</v>
      </c>
      <c r="B284" t="s">
        <v>391</v>
      </c>
      <c r="C284" s="99">
        <v>46052</v>
      </c>
      <c r="D284" t="s">
        <v>99</v>
      </c>
      <c r="E284">
        <v>70</v>
      </c>
      <c r="F284" s="101">
        <v>46052.291666666664</v>
      </c>
      <c r="G284" s="101">
        <v>46053.291666666664</v>
      </c>
      <c r="H284" s="100">
        <v>0.14583333333333334</v>
      </c>
      <c r="I284" s="100"/>
      <c r="J284" s="100"/>
      <c r="K284" s="100">
        <v>8.3333333333333329E-2</v>
      </c>
      <c r="L284">
        <v>20.5</v>
      </c>
      <c r="M284">
        <v>24</v>
      </c>
      <c r="N284">
        <v>1435</v>
      </c>
      <c r="O284">
        <v>1680</v>
      </c>
      <c r="P284">
        <v>1056</v>
      </c>
      <c r="Q284">
        <v>1.3589015151515151</v>
      </c>
      <c r="R284">
        <v>1.5909090909090908</v>
      </c>
      <c r="S284">
        <v>0.62857142857142856</v>
      </c>
      <c r="T284">
        <v>24</v>
      </c>
    </row>
    <row r="285" spans="1:20" x14ac:dyDescent="0.3">
      <c r="A285">
        <v>1</v>
      </c>
      <c r="B285" t="s">
        <v>391</v>
      </c>
      <c r="C285" s="99">
        <v>46053</v>
      </c>
      <c r="D285" t="s">
        <v>96</v>
      </c>
      <c r="E285">
        <v>82</v>
      </c>
      <c r="F285" s="101">
        <v>46053.291666666664</v>
      </c>
      <c r="G285" s="101">
        <v>46054.291666666664</v>
      </c>
      <c r="H285" s="100">
        <v>0.14583333333333334</v>
      </c>
      <c r="I285" s="100">
        <v>3.4722222222222224E-2</v>
      </c>
      <c r="J285" s="100"/>
      <c r="K285" s="100">
        <v>0.33333333333333331</v>
      </c>
      <c r="L285">
        <v>19.666666666666668</v>
      </c>
      <c r="M285">
        <v>24</v>
      </c>
      <c r="N285">
        <v>1612.6666666666667</v>
      </c>
      <c r="O285">
        <v>1968</v>
      </c>
      <c r="P285">
        <v>956</v>
      </c>
      <c r="Q285">
        <v>1.686889818688982</v>
      </c>
      <c r="R285">
        <v>2.0585774058577404</v>
      </c>
      <c r="S285">
        <v>0.4857723577235773</v>
      </c>
      <c r="T285">
        <v>24</v>
      </c>
    </row>
    <row r="286" spans="1:20" x14ac:dyDescent="0.3">
      <c r="A286">
        <v>1</v>
      </c>
      <c r="B286" t="s">
        <v>391</v>
      </c>
      <c r="C286" s="99">
        <v>46053</v>
      </c>
      <c r="D286" t="s">
        <v>97</v>
      </c>
      <c r="E286">
        <v>11</v>
      </c>
      <c r="F286" s="101">
        <v>46053.291666666664</v>
      </c>
      <c r="G286" s="101">
        <v>46054.291666666664</v>
      </c>
      <c r="H286" s="100">
        <v>0.14583333333333334</v>
      </c>
      <c r="I286" s="100">
        <v>4.8611111111111112E-2</v>
      </c>
      <c r="J286" s="100">
        <v>4.8611111111111112E-2</v>
      </c>
      <c r="K286" s="100">
        <v>0.375</v>
      </c>
      <c r="L286">
        <v>19.333333333333332</v>
      </c>
      <c r="M286">
        <v>24</v>
      </c>
      <c r="N286">
        <v>212.66666666666666</v>
      </c>
      <c r="O286">
        <v>264</v>
      </c>
      <c r="P286">
        <v>959</v>
      </c>
      <c r="Q286">
        <v>0.22175877650330203</v>
      </c>
      <c r="R286">
        <v>0.27528675703858185</v>
      </c>
      <c r="S286">
        <v>3.6325757575757578</v>
      </c>
      <c r="T286">
        <v>24</v>
      </c>
    </row>
    <row r="287" spans="1:20" x14ac:dyDescent="0.3">
      <c r="A287">
        <v>1</v>
      </c>
      <c r="B287" t="s">
        <v>391</v>
      </c>
      <c r="C287" s="99">
        <v>46053</v>
      </c>
      <c r="D287" t="s">
        <v>98</v>
      </c>
      <c r="E287">
        <v>68</v>
      </c>
      <c r="F287" s="101">
        <v>46053.291666666664</v>
      </c>
      <c r="G287" s="101">
        <v>46054.291666666664</v>
      </c>
      <c r="H287" s="100">
        <v>0.14583333333333334</v>
      </c>
      <c r="I287" s="100">
        <v>8.3333333333333329E-2</v>
      </c>
      <c r="J287" s="100"/>
      <c r="K287" s="100"/>
      <c r="L287">
        <v>18.5</v>
      </c>
      <c r="M287">
        <v>24</v>
      </c>
      <c r="N287">
        <v>1258</v>
      </c>
      <c r="O287">
        <v>1632</v>
      </c>
      <c r="P287">
        <v>983</v>
      </c>
      <c r="Q287">
        <v>1.2797558494404884</v>
      </c>
      <c r="R287">
        <v>1.6602238046795523</v>
      </c>
      <c r="S287">
        <v>0.60232843137254899</v>
      </c>
      <c r="T287">
        <v>24</v>
      </c>
    </row>
    <row r="288" spans="1:20" x14ac:dyDescent="0.3">
      <c r="A288">
        <v>1</v>
      </c>
      <c r="B288" t="s">
        <v>391</v>
      </c>
      <c r="C288" s="99">
        <v>46053</v>
      </c>
      <c r="D288" t="s">
        <v>99</v>
      </c>
      <c r="E288">
        <v>68</v>
      </c>
      <c r="F288" s="101">
        <v>46053.291666666664</v>
      </c>
      <c r="G288" s="101">
        <v>46054.291666666664</v>
      </c>
      <c r="H288" s="100">
        <v>0.14583333333333334</v>
      </c>
      <c r="I288" s="100"/>
      <c r="J288" s="100"/>
      <c r="K288" s="100"/>
      <c r="L288">
        <v>20.5</v>
      </c>
      <c r="M288">
        <v>24</v>
      </c>
      <c r="N288">
        <v>1394</v>
      </c>
      <c r="O288">
        <v>1632</v>
      </c>
      <c r="P288">
        <v>978</v>
      </c>
      <c r="Q288">
        <v>1.425357873210634</v>
      </c>
      <c r="R288">
        <v>1.6687116564417177</v>
      </c>
      <c r="S288">
        <v>0.59926470588235292</v>
      </c>
      <c r="T288">
        <v>24</v>
      </c>
    </row>
    <row r="289" spans="1:20" x14ac:dyDescent="0.3">
      <c r="A289">
        <v>2</v>
      </c>
      <c r="B289" t="s">
        <v>391</v>
      </c>
      <c r="C289" s="99">
        <v>46054</v>
      </c>
      <c r="D289" t="s">
        <v>96</v>
      </c>
      <c r="E289">
        <v>29</v>
      </c>
      <c r="F289" s="101">
        <v>46054.291666666664</v>
      </c>
      <c r="G289" s="101">
        <v>46054.708333333336</v>
      </c>
      <c r="H289" s="100">
        <v>6.25E-2</v>
      </c>
      <c r="I289" s="100"/>
      <c r="J289" s="100"/>
      <c r="K289" s="100">
        <v>8.3333333333333329E-2</v>
      </c>
      <c r="L289">
        <v>8.5</v>
      </c>
      <c r="M289">
        <v>10</v>
      </c>
      <c r="N289">
        <v>246.5</v>
      </c>
      <c r="O289">
        <v>290</v>
      </c>
      <c r="P289">
        <v>217</v>
      </c>
      <c r="Q289">
        <v>1.1359447004608294</v>
      </c>
      <c r="R289">
        <v>1.336405529953917</v>
      </c>
      <c r="S289">
        <v>0.74827586206896557</v>
      </c>
      <c r="T289">
        <v>10</v>
      </c>
    </row>
    <row r="290" spans="1:20" x14ac:dyDescent="0.3">
      <c r="A290">
        <v>2</v>
      </c>
      <c r="B290" t="s">
        <v>391</v>
      </c>
      <c r="C290" s="99">
        <v>46054</v>
      </c>
      <c r="D290" t="s">
        <v>97</v>
      </c>
      <c r="E290">
        <v>3</v>
      </c>
      <c r="F290" s="101">
        <v>46054.291666666664</v>
      </c>
      <c r="G290" s="101">
        <v>46054.708333333336</v>
      </c>
      <c r="H290" s="100">
        <v>6.25E-2</v>
      </c>
      <c r="I290" s="100"/>
      <c r="J290" s="100"/>
      <c r="K290" s="100"/>
      <c r="L290">
        <v>8.5</v>
      </c>
      <c r="M290">
        <v>10</v>
      </c>
      <c r="N290">
        <v>25.5</v>
      </c>
      <c r="O290">
        <v>30</v>
      </c>
      <c r="P290">
        <v>189</v>
      </c>
      <c r="Q290">
        <v>0.13492063492063491</v>
      </c>
      <c r="R290">
        <v>0.15873015873015872</v>
      </c>
      <c r="S290">
        <v>6.3000000000000007</v>
      </c>
      <c r="T290">
        <v>10</v>
      </c>
    </row>
    <row r="291" spans="1:20" x14ac:dyDescent="0.3">
      <c r="A291">
        <v>2</v>
      </c>
      <c r="B291" t="s">
        <v>391</v>
      </c>
      <c r="C291" s="99">
        <v>46054</v>
      </c>
      <c r="D291" t="s">
        <v>98</v>
      </c>
      <c r="E291">
        <v>33</v>
      </c>
      <c r="F291" s="101">
        <v>46054.291666666664</v>
      </c>
      <c r="G291" s="101">
        <v>46054.708333333336</v>
      </c>
      <c r="H291" s="100">
        <v>6.25E-2</v>
      </c>
      <c r="I291" s="100"/>
      <c r="J291" s="100"/>
      <c r="K291" s="100"/>
      <c r="L291">
        <v>8.5</v>
      </c>
      <c r="M291">
        <v>10</v>
      </c>
      <c r="N291">
        <v>280.5</v>
      </c>
      <c r="O291">
        <v>330</v>
      </c>
      <c r="P291">
        <v>251</v>
      </c>
      <c r="Q291">
        <v>1.1175298804780875</v>
      </c>
      <c r="R291">
        <v>1.3147410358565736</v>
      </c>
      <c r="S291">
        <v>0.76060606060606062</v>
      </c>
      <c r="T291">
        <v>10</v>
      </c>
    </row>
    <row r="292" spans="1:20" x14ac:dyDescent="0.3">
      <c r="A292">
        <v>2</v>
      </c>
      <c r="B292" t="s">
        <v>391</v>
      </c>
      <c r="C292" s="99">
        <v>46054</v>
      </c>
      <c r="D292" t="s">
        <v>99</v>
      </c>
      <c r="E292">
        <v>26</v>
      </c>
      <c r="F292" s="101">
        <v>46054.291666666664</v>
      </c>
      <c r="G292" s="101">
        <v>46054.708333333336</v>
      </c>
      <c r="H292" s="100">
        <v>6.25E-2</v>
      </c>
      <c r="I292" s="100"/>
      <c r="J292" s="100"/>
      <c r="K292" s="100"/>
      <c r="L292">
        <v>8.5</v>
      </c>
      <c r="M292">
        <v>10</v>
      </c>
      <c r="N292">
        <v>221</v>
      </c>
      <c r="O292">
        <v>260</v>
      </c>
      <c r="P292">
        <v>232</v>
      </c>
      <c r="Q292">
        <v>0.95258620689655171</v>
      </c>
      <c r="R292">
        <v>1.1206896551724137</v>
      </c>
      <c r="S292">
        <v>0.89230769230769236</v>
      </c>
      <c r="T292">
        <v>10</v>
      </c>
    </row>
    <row r="293" spans="1:20" x14ac:dyDescent="0.3">
      <c r="A293">
        <v>2</v>
      </c>
      <c r="B293" t="s">
        <v>391</v>
      </c>
      <c r="C293" s="99">
        <v>46055</v>
      </c>
      <c r="D293" t="s">
        <v>96</v>
      </c>
      <c r="E293">
        <v>66</v>
      </c>
      <c r="F293" s="101">
        <v>46055.291666666664</v>
      </c>
      <c r="G293" s="101">
        <v>46056.291666666664</v>
      </c>
      <c r="H293" s="100">
        <v>0.14583333333333334</v>
      </c>
      <c r="I293" s="100"/>
      <c r="J293" s="100"/>
      <c r="K293" s="100"/>
      <c r="L293">
        <v>20.5</v>
      </c>
      <c r="M293">
        <v>24</v>
      </c>
      <c r="N293">
        <v>1353</v>
      </c>
      <c r="O293">
        <v>1584</v>
      </c>
      <c r="P293">
        <v>848</v>
      </c>
      <c r="Q293">
        <v>1.5955188679245282</v>
      </c>
      <c r="R293">
        <v>1.8679245283018868</v>
      </c>
      <c r="S293">
        <v>0.53535353535353536</v>
      </c>
      <c r="T293">
        <v>24</v>
      </c>
    </row>
    <row r="294" spans="1:20" x14ac:dyDescent="0.3">
      <c r="A294">
        <v>2</v>
      </c>
      <c r="B294" t="s">
        <v>391</v>
      </c>
      <c r="C294" s="99">
        <v>46055</v>
      </c>
      <c r="D294" t="s">
        <v>97</v>
      </c>
      <c r="E294">
        <v>10</v>
      </c>
      <c r="F294" s="101">
        <v>46055.291666666664</v>
      </c>
      <c r="G294" s="101">
        <v>46056.291666666664</v>
      </c>
      <c r="H294" s="100">
        <v>0.14583333333333334</v>
      </c>
      <c r="I294" s="100"/>
      <c r="J294" s="100"/>
      <c r="K294" s="100">
        <v>0.375</v>
      </c>
      <c r="L294">
        <v>20.5</v>
      </c>
      <c r="M294">
        <v>24</v>
      </c>
      <c r="N294">
        <v>205</v>
      </c>
      <c r="O294">
        <v>240</v>
      </c>
      <c r="P294">
        <v>785</v>
      </c>
      <c r="Q294">
        <v>0.26114649681528662</v>
      </c>
      <c r="R294">
        <v>0.30573248407643311</v>
      </c>
      <c r="S294">
        <v>3.2708333333333335</v>
      </c>
      <c r="T294">
        <v>24</v>
      </c>
    </row>
    <row r="295" spans="1:20" x14ac:dyDescent="0.3">
      <c r="A295">
        <v>2</v>
      </c>
      <c r="B295" t="s">
        <v>391</v>
      </c>
      <c r="C295" s="99">
        <v>46055</v>
      </c>
      <c r="D295" t="s">
        <v>98</v>
      </c>
      <c r="E295">
        <v>67</v>
      </c>
      <c r="F295" s="101">
        <v>46055.291666666664</v>
      </c>
      <c r="G295" s="101">
        <v>46056.291666666664</v>
      </c>
      <c r="H295" s="100">
        <v>0.14583333333333334</v>
      </c>
      <c r="I295" s="100">
        <v>0.21527777777777779</v>
      </c>
      <c r="J295" s="100"/>
      <c r="K295" s="100">
        <v>6.25E-2</v>
      </c>
      <c r="L295">
        <v>15.333333333333334</v>
      </c>
      <c r="M295">
        <v>24</v>
      </c>
      <c r="N295">
        <v>1027.3333333333335</v>
      </c>
      <c r="O295">
        <v>1608</v>
      </c>
      <c r="P295">
        <v>807</v>
      </c>
      <c r="Q295">
        <v>1.2730276745146636</v>
      </c>
      <c r="R295">
        <v>1.9925650557620818</v>
      </c>
      <c r="S295">
        <v>0.50186567164179108</v>
      </c>
      <c r="T295">
        <v>24</v>
      </c>
    </row>
    <row r="296" spans="1:20" x14ac:dyDescent="0.3">
      <c r="A296">
        <v>2</v>
      </c>
      <c r="B296" t="s">
        <v>391</v>
      </c>
      <c r="C296" s="99">
        <v>46055</v>
      </c>
      <c r="D296" t="s">
        <v>99</v>
      </c>
      <c r="E296">
        <v>64</v>
      </c>
      <c r="F296" s="101">
        <v>46055.291666666664</v>
      </c>
      <c r="G296" s="101">
        <v>46056.291666666664</v>
      </c>
      <c r="H296" s="100">
        <v>0.14583333333333334</v>
      </c>
      <c r="I296" s="100">
        <v>8.3333333333333329E-2</v>
      </c>
      <c r="J296" s="100"/>
      <c r="K296" s="100"/>
      <c r="L296">
        <v>18.5</v>
      </c>
      <c r="M296">
        <v>24</v>
      </c>
      <c r="N296">
        <v>1184</v>
      </c>
      <c r="O296">
        <v>1536</v>
      </c>
      <c r="P296">
        <v>823</v>
      </c>
      <c r="Q296">
        <v>1.4386391251518833</v>
      </c>
      <c r="R296">
        <v>1.8663426488456865</v>
      </c>
      <c r="S296">
        <v>0.53580729166666663</v>
      </c>
      <c r="T296">
        <v>24</v>
      </c>
    </row>
    <row r="297" spans="1:20" x14ac:dyDescent="0.3">
      <c r="A297">
        <v>2</v>
      </c>
      <c r="B297" t="s">
        <v>391</v>
      </c>
      <c r="C297" s="99">
        <v>46056</v>
      </c>
      <c r="D297" t="s">
        <v>96</v>
      </c>
      <c r="E297">
        <v>86</v>
      </c>
      <c r="F297" s="101">
        <v>46056.291666666664</v>
      </c>
      <c r="G297" s="101">
        <v>46057.291666666664</v>
      </c>
      <c r="H297" s="100">
        <v>0.14583333333333334</v>
      </c>
      <c r="I297" s="100"/>
      <c r="J297" s="100"/>
      <c r="K297" s="100">
        <v>0.16666666666666666</v>
      </c>
      <c r="L297">
        <v>20.5</v>
      </c>
      <c r="M297">
        <v>24</v>
      </c>
      <c r="N297">
        <v>1763</v>
      </c>
      <c r="O297">
        <v>2064</v>
      </c>
      <c r="P297">
        <v>926</v>
      </c>
      <c r="Q297">
        <v>1.9038876889848813</v>
      </c>
      <c r="R297">
        <v>2.2289416846652266</v>
      </c>
      <c r="S297">
        <v>0.4486434108527132</v>
      </c>
      <c r="T297">
        <v>24</v>
      </c>
    </row>
    <row r="298" spans="1:20" x14ac:dyDescent="0.3">
      <c r="A298">
        <v>2</v>
      </c>
      <c r="B298" t="s">
        <v>391</v>
      </c>
      <c r="C298" s="99">
        <v>46056</v>
      </c>
      <c r="D298" t="s">
        <v>97</v>
      </c>
      <c r="E298">
        <v>11</v>
      </c>
      <c r="F298" s="101">
        <v>46056.291666666664</v>
      </c>
      <c r="G298" s="101">
        <v>46057.291666666664</v>
      </c>
      <c r="H298" s="100">
        <v>0.14583333333333334</v>
      </c>
      <c r="I298" s="100"/>
      <c r="J298" s="100"/>
      <c r="K298" s="100">
        <v>0.25</v>
      </c>
      <c r="L298">
        <v>20.5</v>
      </c>
      <c r="M298">
        <v>24</v>
      </c>
      <c r="N298">
        <v>225.5</v>
      </c>
      <c r="O298">
        <v>264</v>
      </c>
      <c r="P298">
        <v>948</v>
      </c>
      <c r="Q298">
        <v>0.2378691983122363</v>
      </c>
      <c r="R298">
        <v>0.27848101265822783</v>
      </c>
      <c r="S298">
        <v>3.5909090909090913</v>
      </c>
      <c r="T298">
        <v>24</v>
      </c>
    </row>
    <row r="299" spans="1:20" x14ac:dyDescent="0.3">
      <c r="A299">
        <v>2</v>
      </c>
      <c r="B299" t="s">
        <v>391</v>
      </c>
      <c r="C299" s="99">
        <v>46056</v>
      </c>
      <c r="D299" t="s">
        <v>98</v>
      </c>
      <c r="E299">
        <v>69</v>
      </c>
      <c r="F299" s="101">
        <v>46056.291666666664</v>
      </c>
      <c r="G299" s="101">
        <v>46057.291666666664</v>
      </c>
      <c r="H299" s="100">
        <v>0.14583333333333334</v>
      </c>
      <c r="I299" s="100">
        <v>4.1666666666666664E-2</v>
      </c>
      <c r="J299" s="100"/>
      <c r="K299" s="100"/>
      <c r="L299">
        <v>19.5</v>
      </c>
      <c r="M299">
        <v>24</v>
      </c>
      <c r="N299">
        <v>1345.5</v>
      </c>
      <c r="O299">
        <v>1656</v>
      </c>
      <c r="P299">
        <v>1041</v>
      </c>
      <c r="Q299">
        <v>1.2925072046109509</v>
      </c>
      <c r="R299">
        <v>1.5907780979827089</v>
      </c>
      <c r="S299">
        <v>0.62862318840579712</v>
      </c>
      <c r="T299">
        <v>24</v>
      </c>
    </row>
    <row r="300" spans="1:20" x14ac:dyDescent="0.3">
      <c r="A300">
        <v>2</v>
      </c>
      <c r="B300" t="s">
        <v>391</v>
      </c>
      <c r="C300" s="99">
        <v>46056</v>
      </c>
      <c r="D300" t="s">
        <v>99</v>
      </c>
      <c r="E300">
        <v>68</v>
      </c>
      <c r="F300" s="101">
        <v>46056.291666666664</v>
      </c>
      <c r="G300" s="101">
        <v>46057.291666666664</v>
      </c>
      <c r="H300" s="100">
        <v>0.14583333333333334</v>
      </c>
      <c r="I300" s="100"/>
      <c r="J300" s="100"/>
      <c r="K300" s="100">
        <v>8.3333333333333329E-2</v>
      </c>
      <c r="L300">
        <v>20.5</v>
      </c>
      <c r="M300">
        <v>24</v>
      </c>
      <c r="N300">
        <v>1394</v>
      </c>
      <c r="O300">
        <v>1632</v>
      </c>
      <c r="P300">
        <v>973</v>
      </c>
      <c r="Q300">
        <v>1.4326824254881809</v>
      </c>
      <c r="R300">
        <v>1.6772867420349435</v>
      </c>
      <c r="S300">
        <v>0.59620098039215685</v>
      </c>
      <c r="T300">
        <v>24</v>
      </c>
    </row>
    <row r="301" spans="1:20" x14ac:dyDescent="0.3">
      <c r="A301">
        <v>2</v>
      </c>
      <c r="B301" t="s">
        <v>391</v>
      </c>
      <c r="C301" s="99">
        <v>46057</v>
      </c>
      <c r="D301" t="s">
        <v>96</v>
      </c>
      <c r="E301">
        <v>85</v>
      </c>
      <c r="F301" s="101">
        <v>46057.291666666664</v>
      </c>
      <c r="G301" s="101">
        <v>46058.291666666664</v>
      </c>
      <c r="H301" s="100">
        <v>0.14583333333333334</v>
      </c>
      <c r="I301" s="100"/>
      <c r="J301" s="100"/>
      <c r="K301" s="100">
        <v>8.3333333333333329E-2</v>
      </c>
      <c r="L301">
        <v>20.5</v>
      </c>
      <c r="M301">
        <v>24</v>
      </c>
      <c r="N301">
        <v>1742.5</v>
      </c>
      <c r="O301">
        <v>2040</v>
      </c>
      <c r="P301">
        <v>1029</v>
      </c>
      <c r="Q301">
        <v>1.6933916423712343</v>
      </c>
      <c r="R301">
        <v>1.9825072886297377</v>
      </c>
      <c r="S301">
        <v>0.50441176470588234</v>
      </c>
      <c r="T301">
        <v>24</v>
      </c>
    </row>
    <row r="302" spans="1:20" x14ac:dyDescent="0.3">
      <c r="A302">
        <v>2</v>
      </c>
      <c r="B302" t="s">
        <v>391</v>
      </c>
      <c r="C302" s="99">
        <v>46057</v>
      </c>
      <c r="D302" t="s">
        <v>97</v>
      </c>
      <c r="E302">
        <v>10</v>
      </c>
      <c r="F302" s="101">
        <v>46057.291666666664</v>
      </c>
      <c r="G302" s="101">
        <v>46058.291666666664</v>
      </c>
      <c r="H302" s="100">
        <v>0.14583333333333334</v>
      </c>
      <c r="I302" s="100">
        <v>7.2916666666666671E-2</v>
      </c>
      <c r="J302" s="100"/>
      <c r="K302" s="100">
        <v>0.25</v>
      </c>
      <c r="L302">
        <v>18.75</v>
      </c>
      <c r="M302">
        <v>24</v>
      </c>
      <c r="N302">
        <v>187.5</v>
      </c>
      <c r="O302">
        <v>240</v>
      </c>
      <c r="P302">
        <v>1006</v>
      </c>
      <c r="Q302">
        <v>0.18638170974155069</v>
      </c>
      <c r="R302">
        <v>0.23856858846918488</v>
      </c>
      <c r="S302">
        <v>4.1916666666666664</v>
      </c>
      <c r="T302">
        <v>24</v>
      </c>
    </row>
    <row r="303" spans="1:20" x14ac:dyDescent="0.3">
      <c r="A303">
        <v>2</v>
      </c>
      <c r="B303" t="s">
        <v>391</v>
      </c>
      <c r="C303" s="99">
        <v>46057</v>
      </c>
      <c r="D303" t="s">
        <v>98</v>
      </c>
      <c r="E303">
        <v>68</v>
      </c>
      <c r="F303" s="101">
        <v>46057.291666666664</v>
      </c>
      <c r="G303" s="101">
        <v>46058.291666666664</v>
      </c>
      <c r="H303" s="100">
        <v>0.14583333333333334</v>
      </c>
      <c r="I303" s="100">
        <v>0.1111111111111111</v>
      </c>
      <c r="J303" s="100"/>
      <c r="K303" s="100">
        <v>0.16666666666666666</v>
      </c>
      <c r="L303">
        <v>17.833333333333332</v>
      </c>
      <c r="M303">
        <v>24</v>
      </c>
      <c r="N303">
        <v>1212.6666666666665</v>
      </c>
      <c r="O303">
        <v>1632</v>
      </c>
      <c r="P303">
        <v>1050</v>
      </c>
      <c r="Q303">
        <v>1.1549206349206347</v>
      </c>
      <c r="R303">
        <v>1.5542857142857143</v>
      </c>
      <c r="S303">
        <v>0.64338235294117652</v>
      </c>
      <c r="T303">
        <v>24</v>
      </c>
    </row>
    <row r="304" spans="1:20" x14ac:dyDescent="0.3">
      <c r="A304">
        <v>2</v>
      </c>
      <c r="B304" t="s">
        <v>391</v>
      </c>
      <c r="C304" s="99">
        <v>46057</v>
      </c>
      <c r="D304" t="s">
        <v>99</v>
      </c>
      <c r="E304">
        <v>67</v>
      </c>
      <c r="F304" s="101">
        <v>46057.291666666664</v>
      </c>
      <c r="G304" s="101">
        <v>46058.291666666664</v>
      </c>
      <c r="H304" s="100">
        <v>0.14583333333333334</v>
      </c>
      <c r="I304" s="100"/>
      <c r="J304" s="100"/>
      <c r="K304" s="100"/>
      <c r="L304">
        <v>20.5</v>
      </c>
      <c r="M304">
        <v>24</v>
      </c>
      <c r="N304">
        <v>1373.5</v>
      </c>
      <c r="O304">
        <v>1608</v>
      </c>
      <c r="P304">
        <v>1063</v>
      </c>
      <c r="Q304">
        <v>1.2920978363123237</v>
      </c>
      <c r="R304">
        <v>1.5126999059266228</v>
      </c>
      <c r="S304">
        <v>0.66106965174129351</v>
      </c>
      <c r="T304">
        <v>24</v>
      </c>
    </row>
    <row r="305" spans="1:20" x14ac:dyDescent="0.3">
      <c r="A305">
        <v>2</v>
      </c>
      <c r="B305" t="s">
        <v>391</v>
      </c>
      <c r="C305" s="99">
        <v>46058</v>
      </c>
      <c r="D305" t="s">
        <v>96</v>
      </c>
      <c r="E305">
        <v>64</v>
      </c>
      <c r="F305" s="101">
        <v>46058.291666666664</v>
      </c>
      <c r="G305" s="101">
        <v>46059.291666666664</v>
      </c>
      <c r="H305" s="100">
        <v>0.14583333333333334</v>
      </c>
      <c r="I305" s="100"/>
      <c r="J305" s="100"/>
      <c r="K305" s="100"/>
      <c r="L305">
        <v>20.5</v>
      </c>
      <c r="M305">
        <v>24</v>
      </c>
      <c r="N305">
        <v>1312</v>
      </c>
      <c r="O305">
        <v>1536</v>
      </c>
      <c r="P305">
        <v>742</v>
      </c>
      <c r="Q305">
        <v>1.7681940700808625</v>
      </c>
      <c r="R305">
        <v>2.0700808625336928</v>
      </c>
      <c r="S305">
        <v>0.48307291666666663</v>
      </c>
      <c r="T305">
        <v>24</v>
      </c>
    </row>
    <row r="306" spans="1:20" x14ac:dyDescent="0.3">
      <c r="A306">
        <v>2</v>
      </c>
      <c r="B306" t="s">
        <v>391</v>
      </c>
      <c r="C306" s="99">
        <v>46058</v>
      </c>
      <c r="D306" t="s">
        <v>97</v>
      </c>
      <c r="E306">
        <v>10</v>
      </c>
      <c r="F306" s="101">
        <v>46058.291666666664</v>
      </c>
      <c r="G306" s="101">
        <v>46059.291666666664</v>
      </c>
      <c r="H306" s="100">
        <v>0.14583333333333334</v>
      </c>
      <c r="I306" s="100"/>
      <c r="J306" s="100">
        <v>6.25E-2</v>
      </c>
      <c r="K306" s="100">
        <v>0.70833333333333337</v>
      </c>
      <c r="L306">
        <v>20.5</v>
      </c>
      <c r="M306">
        <v>24</v>
      </c>
      <c r="N306">
        <v>205</v>
      </c>
      <c r="O306">
        <v>240</v>
      </c>
      <c r="P306">
        <v>764</v>
      </c>
      <c r="Q306">
        <v>0.26832460732984292</v>
      </c>
      <c r="R306">
        <v>0.31413612565445026</v>
      </c>
      <c r="S306">
        <v>3.1833333333333336</v>
      </c>
      <c r="T306">
        <v>24</v>
      </c>
    </row>
    <row r="307" spans="1:20" x14ac:dyDescent="0.3">
      <c r="A307">
        <v>2</v>
      </c>
      <c r="B307" t="s">
        <v>391</v>
      </c>
      <c r="C307" s="99">
        <v>46058</v>
      </c>
      <c r="D307" t="s">
        <v>98</v>
      </c>
      <c r="E307">
        <v>67</v>
      </c>
      <c r="F307" s="101">
        <v>46058.291666666664</v>
      </c>
      <c r="G307" s="101">
        <v>46059.291666666664</v>
      </c>
      <c r="H307" s="100">
        <v>0.14583333333333334</v>
      </c>
      <c r="I307" s="100">
        <v>0.1111111111111111</v>
      </c>
      <c r="J307" s="100"/>
      <c r="K307" s="100">
        <v>0.125</v>
      </c>
      <c r="L307">
        <v>17.833333333333332</v>
      </c>
      <c r="M307">
        <v>24</v>
      </c>
      <c r="N307">
        <v>1194.8333333333333</v>
      </c>
      <c r="O307">
        <v>1608</v>
      </c>
      <c r="P307">
        <v>785</v>
      </c>
      <c r="Q307">
        <v>1.5220806794055202</v>
      </c>
      <c r="R307">
        <v>2.0484076433121019</v>
      </c>
      <c r="S307">
        <v>0.48818407960199006</v>
      </c>
      <c r="T307">
        <v>24</v>
      </c>
    </row>
    <row r="308" spans="1:20" x14ac:dyDescent="0.3">
      <c r="A308">
        <v>2</v>
      </c>
      <c r="B308" t="s">
        <v>391</v>
      </c>
      <c r="C308" s="99">
        <v>46058</v>
      </c>
      <c r="D308" t="s">
        <v>99</v>
      </c>
      <c r="E308">
        <v>67</v>
      </c>
      <c r="F308" s="101">
        <v>46058.291666666664</v>
      </c>
      <c r="G308" s="101">
        <v>46059.291666666664</v>
      </c>
      <c r="H308" s="100">
        <v>0.14583333333333334</v>
      </c>
      <c r="I308" s="100">
        <v>6.25E-2</v>
      </c>
      <c r="J308" s="100"/>
      <c r="K308" s="100"/>
      <c r="L308">
        <v>19</v>
      </c>
      <c r="M308">
        <v>24</v>
      </c>
      <c r="N308">
        <v>1273</v>
      </c>
      <c r="O308">
        <v>1608</v>
      </c>
      <c r="P308">
        <v>917</v>
      </c>
      <c r="Q308">
        <v>1.3882224645583425</v>
      </c>
      <c r="R308">
        <v>1.7535441657579063</v>
      </c>
      <c r="S308">
        <v>0.57027363184079605</v>
      </c>
      <c r="T308">
        <v>24</v>
      </c>
    </row>
  </sheetData>
  <phoneticPr fontId="2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96BF-E7A6-4DBB-9E77-6336B9D26754}">
  <dimension ref="A1:C6"/>
  <sheetViews>
    <sheetView workbookViewId="0">
      <selection activeCell="F5" sqref="F5"/>
    </sheetView>
  </sheetViews>
  <sheetFormatPr defaultRowHeight="14.4" x14ac:dyDescent="0.3"/>
  <cols>
    <col min="1" max="1" width="10.109375" bestFit="1" customWidth="1"/>
  </cols>
  <sheetData>
    <row r="1" spans="1:3" x14ac:dyDescent="0.3">
      <c r="A1" t="s">
        <v>426</v>
      </c>
      <c r="B1" t="s">
        <v>426</v>
      </c>
      <c r="C1" t="s">
        <v>426</v>
      </c>
    </row>
    <row r="2" spans="1:3" x14ac:dyDescent="0.3">
      <c r="A2" t="s">
        <v>392</v>
      </c>
      <c r="B2">
        <v>1</v>
      </c>
      <c r="C2" t="s">
        <v>401</v>
      </c>
    </row>
    <row r="3" spans="1:3" x14ac:dyDescent="0.3">
      <c r="A3" t="s">
        <v>96</v>
      </c>
      <c r="B3">
        <v>2</v>
      </c>
      <c r="C3" t="s">
        <v>402</v>
      </c>
    </row>
    <row r="4" spans="1:3" x14ac:dyDescent="0.3">
      <c r="A4" t="s">
        <v>97</v>
      </c>
      <c r="C4" t="s">
        <v>391</v>
      </c>
    </row>
    <row r="5" spans="1:3" x14ac:dyDescent="0.3">
      <c r="A5" t="s">
        <v>98</v>
      </c>
    </row>
    <row r="6" spans="1:3" x14ac:dyDescent="0.3">
      <c r="A6"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733212-d099-4632-8561-3d14d335d8a6">
      <Terms xmlns="http://schemas.microsoft.com/office/infopath/2007/PartnerControls"/>
    </lcf76f155ced4ddcb4097134ff3c332f>
    <TaxCatchAll xmlns="4b3df194-7198-47fa-85b3-ad63ebaf89a9" xsi:nil="true"/>
    <SharedWithUsers xmlns="4b3df194-7198-47fa-85b3-ad63ebaf89a9">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4310EF44F4FC84FACA104CF6105DA04" ma:contentTypeVersion="15" ma:contentTypeDescription="Create a new document." ma:contentTypeScope="" ma:versionID="3ebee4dd5257bdfb968a92e5eaaaadaf">
  <xsd:schema xmlns:xsd="http://www.w3.org/2001/XMLSchema" xmlns:xs="http://www.w3.org/2001/XMLSchema" xmlns:p="http://schemas.microsoft.com/office/2006/metadata/properties" xmlns:ns2="76733212-d099-4632-8561-3d14d335d8a6" xmlns:ns3="4b3df194-7198-47fa-85b3-ad63ebaf89a9" targetNamespace="http://schemas.microsoft.com/office/2006/metadata/properties" ma:root="true" ma:fieldsID="4fcf144943fea7767ba97d4aecb37608" ns2:_="" ns3:_="">
    <xsd:import namespace="76733212-d099-4632-8561-3d14d335d8a6"/>
    <xsd:import namespace="4b3df194-7198-47fa-85b3-ad63ebaf89a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33212-d099-4632-8561-3d14d335d8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3df194-7198-47fa-85b3-ad63ebaf89a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642b77d-143b-4521-8e0d-d67ab9ca7329}" ma:internalName="TaxCatchAll" ma:showField="CatchAllData" ma:web="4b3df194-7198-47fa-85b3-ad63ebaf89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288C4F-B58D-4108-A527-ACC8CF2E80D4}">
  <ds:schemaRefs>
    <ds:schemaRef ds:uri="http://schemas.microsoft.com/sharepoint/v3/contenttype/forms"/>
  </ds:schemaRefs>
</ds:datastoreItem>
</file>

<file path=customXml/itemProps2.xml><?xml version="1.0" encoding="utf-8"?>
<ds:datastoreItem xmlns:ds="http://schemas.openxmlformats.org/officeDocument/2006/customXml" ds:itemID="{1E72E3CF-6261-4C1D-99CC-42641E50CEB5}">
  <ds:schemaRefs>
    <ds:schemaRef ds:uri="http://schemas.microsoft.com/DataMashup"/>
  </ds:schemaRefs>
</ds:datastoreItem>
</file>

<file path=customXml/itemProps3.xml><?xml version="1.0" encoding="utf-8"?>
<ds:datastoreItem xmlns:ds="http://schemas.openxmlformats.org/officeDocument/2006/customXml" ds:itemID="{CB4983DF-7902-4ED2-BFFB-3C90452BAEEE}">
  <ds:schemaRefs>
    <ds:schemaRef ds:uri="http://schemas.microsoft.com/office/2006/metadata/properties"/>
    <ds:schemaRef ds:uri="http://schemas.microsoft.com/office/infopath/2007/PartnerControls"/>
    <ds:schemaRef ds:uri="76733212-d099-4632-8561-3d14d335d8a6"/>
    <ds:schemaRef ds:uri="4b3df194-7198-47fa-85b3-ad63ebaf89a9"/>
  </ds:schemaRefs>
</ds:datastoreItem>
</file>

<file path=customXml/itemProps4.xml><?xml version="1.0" encoding="utf-8"?>
<ds:datastoreItem xmlns:ds="http://schemas.openxmlformats.org/officeDocument/2006/customXml" ds:itemID="{D7E59790-E74C-4649-B7FD-70CD38BDE9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733212-d099-4632-8561-3d14d335d8a6"/>
    <ds:schemaRef ds:uri="4b3df194-7198-47fa-85b3-ad63ebaf89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 PU cánh</vt:lpstr>
      <vt:lpstr>3. DCTĐ</vt:lpstr>
      <vt:lpstr>4. DCTL</vt:lpstr>
      <vt:lpstr>Finish (4)</vt:lpstr>
      <vt:lpstr>Biểu đồ </vt:lpstr>
      <vt:lpstr>Dashboard</vt:lpstr>
      <vt:lpstr>Finish</vt:lpstr>
      <vt:lpstr>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a42629 Hoàng Tuấn Kha</cp:lastModifiedBy>
  <cp:revision/>
  <dcterms:created xsi:type="dcterms:W3CDTF">2015-06-05T18:17:20Z</dcterms:created>
  <dcterms:modified xsi:type="dcterms:W3CDTF">2026-05-20T16:55:44Z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0x01010064310EF44F4FC84FACA104CF6105DA04</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SIP_Label_d1b3bce7-7b5b-4cc1-a2d8-8f8ed77af37c_Enabled">
    <vt:lpwstr>true</vt:lpwstr>
  </property>
  <property fmtid="{D5CDD505-2E9C-101B-9397-08002B2CF9AE}" pid="8" name="MSIP_Label_d1b3bce7-7b5b-4cc1-a2d8-8f8ed77af37c_SetDate">
    <vt:lpwstr>2025-07-07T04:50:31Z</vt:lpwstr>
  </property>
  <property fmtid="{D5CDD505-2E9C-101B-9397-08002B2CF9AE}" pid="9" name="MSIP_Label_d1b3bce7-7b5b-4cc1-a2d8-8f8ed77af37c_Method">
    <vt:lpwstr>Privileged</vt:lpwstr>
  </property>
  <property fmtid="{D5CDD505-2E9C-101B-9397-08002B2CF9AE}" pid="10" name="MSIP_Label_d1b3bce7-7b5b-4cc1-a2d8-8f8ed77af37c_Name">
    <vt:lpwstr>HoaPhat - Tài liệu Công khai</vt:lpwstr>
  </property>
  <property fmtid="{D5CDD505-2E9C-101B-9397-08002B2CF9AE}" pid="11" name="MSIP_Label_d1b3bce7-7b5b-4cc1-a2d8-8f8ed77af37c_SiteId">
    <vt:lpwstr>b158e9a5-0691-4e4f-bba1-417b99ecd0a0</vt:lpwstr>
  </property>
  <property fmtid="{D5CDD505-2E9C-101B-9397-08002B2CF9AE}" pid="12" name="MSIP_Label_d1b3bce7-7b5b-4cc1-a2d8-8f8ed77af37c_ActionId">
    <vt:lpwstr>2e2b9bc0-9af7-4105-a8ed-7381a37aa8cc</vt:lpwstr>
  </property>
  <property fmtid="{D5CDD505-2E9C-101B-9397-08002B2CF9AE}" pid="13" name="MSIP_Label_d1b3bce7-7b5b-4cc1-a2d8-8f8ed77af37c_ContentBits">
    <vt:lpwstr>0</vt:lpwstr>
  </property>
  <property fmtid="{D5CDD505-2E9C-101B-9397-08002B2CF9AE}" pid="14" name="MSIP_Label_d1b3bce7-7b5b-4cc1-a2d8-8f8ed77af37c_Tag">
    <vt:lpwstr>10, 0, 1, 2</vt:lpwstr>
  </property>
</Properties>
</file>